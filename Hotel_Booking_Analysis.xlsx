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LOGAVARSHINI\Downloads\"/>
    </mc:Choice>
  </mc:AlternateContent>
  <xr:revisionPtr revIDLastSave="0" documentId="13_ncr:1_{10A931FE-1B97-4D39-8E3A-D5D48FCE422C}" xr6:coauthVersionLast="47" xr6:coauthVersionMax="47" xr10:uidLastSave="{00000000-0000-0000-0000-000000000000}"/>
  <bookViews>
    <workbookView xWindow="-108" yWindow="-108" windowWidth="23256" windowHeight="12456" activeTab="7" xr2:uid="{1D35D3DA-5D99-4B54-B4CC-F462B59723A0}"/>
  </bookViews>
  <sheets>
    <sheet name="Cancellation_By_Channel" sheetId="3" r:id="rId1"/>
    <sheet name="Lead-Time Analysis" sheetId="4" r:id="rId2"/>
    <sheet name="Seasonal Occupancy" sheetId="5" r:id="rId3"/>
    <sheet name="Guest-Type Comparison" sheetId="7" r:id="rId4"/>
    <sheet name="Room Performance" sheetId="8" r:id="rId5"/>
    <sheet name="Event Impact" sheetId="9" r:id="rId6"/>
    <sheet name="Statistical_Summary" sheetId="10" r:id="rId7"/>
    <sheet name="Executive_Summary" sheetId="11" r:id="rId8"/>
    <sheet name="cleaned_bookings" sheetId="2" r:id="rId9"/>
  </sheets>
  <definedNames>
    <definedName name="ExternalData_1" localSheetId="8" hidden="1">'cleaned_bookings'!$A$1:$AH$1779</definedName>
  </definedNames>
  <calcPr calcId="191029"/>
  <pivotCaches>
    <pivotCache cacheId="9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28" i="11" l="1"/>
  <c r="B10" i="10"/>
  <c r="B9" i="10"/>
  <c r="B8" i="10"/>
  <c r="B7" i="10"/>
  <c r="B6" i="10"/>
  <c r="B5" i="10"/>
  <c r="B4" i="10"/>
  <c r="B3" i="10"/>
  <c r="B2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37F1F13-0863-45BD-888C-FFE12908878A}" keepAlive="1" name="Query - cleaned_bookings" description="Connection to the 'cleaned_bookings' query in the workbook." type="5" refreshedVersion="8" background="1" saveData="1">
    <dbPr connection="Provider=Microsoft.Mashup.OleDb.1;Data Source=$Workbook$;Location=cleaned_bookings;Extended Properties=&quot;&quot;" command="SELECT * FROM [cleaned_bookings]"/>
  </connection>
</connections>
</file>

<file path=xl/sharedStrings.xml><?xml version="1.0" encoding="utf-8"?>
<sst xmlns="http://schemas.openxmlformats.org/spreadsheetml/2006/main" count="35667" uniqueCount="2514">
  <si>
    <t>booking_id</t>
  </si>
  <si>
    <t>guest_id</t>
  </si>
  <si>
    <t>hotel_id</t>
  </si>
  <si>
    <t>channel_id</t>
  </si>
  <si>
    <t>booking_date</t>
  </si>
  <si>
    <t>stay_date</t>
  </si>
  <si>
    <t>room_type</t>
  </si>
  <si>
    <t>room_rate</t>
  </si>
  <si>
    <t>booking_status</t>
  </si>
  <si>
    <t>rate_outlier_flag</t>
  </si>
  <si>
    <t>lead_time_days</t>
  </si>
  <si>
    <t>stay_month</t>
  </si>
  <si>
    <t>stay_year</t>
  </si>
  <si>
    <t>stay_day_of_week</t>
  </si>
  <si>
    <t>booking_month</t>
  </si>
  <si>
    <t>booking_year</t>
  </si>
  <si>
    <t>booking_day_of_week</t>
  </si>
  <si>
    <t>weekend_stay</t>
  </si>
  <si>
    <t>guest_type</t>
  </si>
  <si>
    <t>origin</t>
  </si>
  <si>
    <t>repeat_guest</t>
  </si>
  <si>
    <t>hotel_name</t>
  </si>
  <si>
    <t>city</t>
  </si>
  <si>
    <t>property_type</t>
  </si>
  <si>
    <t>capacity</t>
  </si>
  <si>
    <t>booking_channel</t>
  </si>
  <si>
    <t>campaign</t>
  </si>
  <si>
    <t>calendar_date</t>
  </si>
  <si>
    <t>weekend</t>
  </si>
  <si>
    <t>holiday</t>
  </si>
  <si>
    <t>season</t>
  </si>
  <si>
    <t>local_event</t>
  </si>
  <si>
    <t>is_cancelled</t>
  </si>
  <si>
    <t>lead_time_group</t>
  </si>
  <si>
    <t>B000001</t>
  </si>
  <si>
    <t>G00385</t>
  </si>
  <si>
    <t>H002</t>
  </si>
  <si>
    <t>CH06</t>
  </si>
  <si>
    <t>Deluxe</t>
  </si>
  <si>
    <t>Checked-out</t>
  </si>
  <si>
    <t>No</t>
  </si>
  <si>
    <t>Family</t>
  </si>
  <si>
    <t>India</t>
  </si>
  <si>
    <t>StayNest Central</t>
  </si>
  <si>
    <t>Bengaluru</t>
  </si>
  <si>
    <t>Business</t>
  </si>
  <si>
    <t>Call Center</t>
  </si>
  <si>
    <t>Retention</t>
  </si>
  <si>
    <t>Unknown</t>
  </si>
  <si>
    <t>91–180 days</t>
  </si>
  <si>
    <t>B000002</t>
  </si>
  <si>
    <t>G00004</t>
  </si>
  <si>
    <t>H001</t>
  </si>
  <si>
    <t>CH03</t>
  </si>
  <si>
    <t>Cancelled</t>
  </si>
  <si>
    <t>Leisure</t>
  </si>
  <si>
    <t>StayNest Marina</t>
  </si>
  <si>
    <t>Chennai</t>
  </si>
  <si>
    <t>Online Travel Agent</t>
  </si>
  <si>
    <t>OTA Promo</t>
  </si>
  <si>
    <t>Shoulder</t>
  </si>
  <si>
    <t>31–90 days</t>
  </si>
  <si>
    <t>B000003</t>
  </si>
  <si>
    <t>G00116</t>
  </si>
  <si>
    <t>Standard</t>
  </si>
  <si>
    <t>Confirmed</t>
  </si>
  <si>
    <t>Yes</t>
  </si>
  <si>
    <t>Couple</t>
  </si>
  <si>
    <t>Germany</t>
  </si>
  <si>
    <t>Peak</t>
  </si>
  <si>
    <t>8–30 days</t>
  </si>
  <si>
    <t>B000004</t>
  </si>
  <si>
    <t>G00050</t>
  </si>
  <si>
    <t>H004</t>
  </si>
  <si>
    <t>StayNest Lakeview</t>
  </si>
  <si>
    <t>Kodaikanal</t>
  </si>
  <si>
    <t>Resort</t>
  </si>
  <si>
    <t>B000005</t>
  </si>
  <si>
    <t>G00590</t>
  </si>
  <si>
    <t>H006</t>
  </si>
  <si>
    <t>CH05</t>
  </si>
  <si>
    <t>Suite</t>
  </si>
  <si>
    <t>StayNest Beach</t>
  </si>
  <si>
    <t>Pondicherry</t>
  </si>
  <si>
    <t>Corporate</t>
  </si>
  <si>
    <t>Corporate Rate</t>
  </si>
  <si>
    <t>Off-Peak</t>
  </si>
  <si>
    <t>B000006</t>
  </si>
  <si>
    <t>G00606</t>
  </si>
  <si>
    <t>H012</t>
  </si>
  <si>
    <t>CH02</t>
  </si>
  <si>
    <t>StayNest Valley</t>
  </si>
  <si>
    <t>Wayanad</t>
  </si>
  <si>
    <t>Mobile App</t>
  </si>
  <si>
    <t>App Push</t>
  </si>
  <si>
    <t>B000007</t>
  </si>
  <si>
    <t>G00419</t>
  </si>
  <si>
    <t>H003</t>
  </si>
  <si>
    <t>StayNest Hills</t>
  </si>
  <si>
    <t>Ooty</t>
  </si>
  <si>
    <t>0–7 days</t>
  </si>
  <si>
    <t>B000008</t>
  </si>
  <si>
    <t>G00576</t>
  </si>
  <si>
    <t>H007</t>
  </si>
  <si>
    <t>CH04</t>
  </si>
  <si>
    <t>StayNest Tech Park</t>
  </si>
  <si>
    <t>Hyderabad</t>
  </si>
  <si>
    <t>Travel Agent</t>
  </si>
  <si>
    <t>Partner</t>
  </si>
  <si>
    <t>B000009</t>
  </si>
  <si>
    <t>G00549</t>
  </si>
  <si>
    <t>B000010</t>
  </si>
  <si>
    <t>G00311</t>
  </si>
  <si>
    <t>United States</t>
  </si>
  <si>
    <t>B000011</t>
  </si>
  <si>
    <t>G00290</t>
  </si>
  <si>
    <t>B000012</t>
  </si>
  <si>
    <t>G00328</t>
  </si>
  <si>
    <t>B000013</t>
  </si>
  <si>
    <t>G00201</t>
  </si>
  <si>
    <t>B000014</t>
  </si>
  <si>
    <t>G00503</t>
  </si>
  <si>
    <t>H008</t>
  </si>
  <si>
    <t>United Kingdom</t>
  </si>
  <si>
    <t>StayNest Palace</t>
  </si>
  <si>
    <t>Mysuru</t>
  </si>
  <si>
    <t>Heritage</t>
  </si>
  <si>
    <t>B000015</t>
  </si>
  <si>
    <t>G00077</t>
  </si>
  <si>
    <t>H011</t>
  </si>
  <si>
    <t>CH01</t>
  </si>
  <si>
    <t>StayNest Grand</t>
  </si>
  <si>
    <t>Coimbatore</t>
  </si>
  <si>
    <t>Website</t>
  </si>
  <si>
    <t>Direct</t>
  </si>
  <si>
    <t>B000016</t>
  </si>
  <si>
    <t>G00632</t>
  </si>
  <si>
    <t>B000017</t>
  </si>
  <si>
    <t>G00441</t>
  </si>
  <si>
    <t>UAE</t>
  </si>
  <si>
    <t>B000018</t>
  </si>
  <si>
    <t>G00416</t>
  </si>
  <si>
    <t>181+ days</t>
  </si>
  <si>
    <t>B000019</t>
  </si>
  <si>
    <t>B000020</t>
  </si>
  <si>
    <t>G00098</t>
  </si>
  <si>
    <t>H009</t>
  </si>
  <si>
    <t>StayNest Airport</t>
  </si>
  <si>
    <t>Mumbai</t>
  </si>
  <si>
    <t>B000021</t>
  </si>
  <si>
    <t>G00323</t>
  </si>
  <si>
    <t>B000022</t>
  </si>
  <si>
    <t>G00554</t>
  </si>
  <si>
    <t>B000023</t>
  </si>
  <si>
    <t>G00629</t>
  </si>
  <si>
    <t>H010</t>
  </si>
  <si>
    <t>StayNest Garden</t>
  </si>
  <si>
    <t>Kochi</t>
  </si>
  <si>
    <t>Boutique</t>
  </si>
  <si>
    <t>B000024</t>
  </si>
  <si>
    <t>G00390</t>
  </si>
  <si>
    <t>B000025</t>
  </si>
  <si>
    <t>G00370</t>
  </si>
  <si>
    <t>B000026</t>
  </si>
  <si>
    <t>G00525</t>
  </si>
  <si>
    <t>B000027</t>
  </si>
  <si>
    <t>G00573</t>
  </si>
  <si>
    <t>B000028</t>
  </si>
  <si>
    <t>G00446</t>
  </si>
  <si>
    <t>H005</t>
  </si>
  <si>
    <t>StayNest Heritage</t>
  </si>
  <si>
    <t>Madurai</t>
  </si>
  <si>
    <t>B000029</t>
  </si>
  <si>
    <t>G00312</t>
  </si>
  <si>
    <t>B000030</t>
  </si>
  <si>
    <t>G00308</t>
  </si>
  <si>
    <t>B000031</t>
  </si>
  <si>
    <t>G00249</t>
  </si>
  <si>
    <t>B000032</t>
  </si>
  <si>
    <t>G00564</t>
  </si>
  <si>
    <t>B000033</t>
  </si>
  <si>
    <t>G00143</t>
  </si>
  <si>
    <t>B000034</t>
  </si>
  <si>
    <t>G00519</t>
  </si>
  <si>
    <t>B000035</t>
  </si>
  <si>
    <t>G00628</t>
  </si>
  <si>
    <t>B000036</t>
  </si>
  <si>
    <t>G00572</t>
  </si>
  <si>
    <t>B000037</t>
  </si>
  <si>
    <t>G00108</t>
  </si>
  <si>
    <t>B000038</t>
  </si>
  <si>
    <t>G00449</t>
  </si>
  <si>
    <t>B000039</t>
  </si>
  <si>
    <t>G00169</t>
  </si>
  <si>
    <t>B000040</t>
  </si>
  <si>
    <t>G00443</t>
  </si>
  <si>
    <t>B000041</t>
  </si>
  <si>
    <t>G00065</t>
  </si>
  <si>
    <t>B000042</t>
  </si>
  <si>
    <t>G00612</t>
  </si>
  <si>
    <t>B000043</t>
  </si>
  <si>
    <t>G00630</t>
  </si>
  <si>
    <t>B000044</t>
  </si>
  <si>
    <t>G00142</t>
  </si>
  <si>
    <t>B000045</t>
  </si>
  <si>
    <t>G00368</t>
  </si>
  <si>
    <t>B000046</t>
  </si>
  <si>
    <t>G00172</t>
  </si>
  <si>
    <t>B000047</t>
  </si>
  <si>
    <t>G00508</t>
  </si>
  <si>
    <t>B000048</t>
  </si>
  <si>
    <t>G00224</t>
  </si>
  <si>
    <t>No-show</t>
  </si>
  <si>
    <t>B000050</t>
  </si>
  <si>
    <t>G00288</t>
  </si>
  <si>
    <t>B000051</t>
  </si>
  <si>
    <t>G00422</t>
  </si>
  <si>
    <t>B000052</t>
  </si>
  <si>
    <t>G00648</t>
  </si>
  <si>
    <t>B000053</t>
  </si>
  <si>
    <t>G00336</t>
  </si>
  <si>
    <t>B000054</t>
  </si>
  <si>
    <t>G00275</t>
  </si>
  <si>
    <t>B000055</t>
  </si>
  <si>
    <t>G00102</t>
  </si>
  <si>
    <t>B000056</t>
  </si>
  <si>
    <t>G00310</t>
  </si>
  <si>
    <t>B000057</t>
  </si>
  <si>
    <t>G00440</t>
  </si>
  <si>
    <t>B000058</t>
  </si>
  <si>
    <t>G00352</t>
  </si>
  <si>
    <t>B000059</t>
  </si>
  <si>
    <t>G00137</t>
  </si>
  <si>
    <t>B000060</t>
  </si>
  <si>
    <t>B000061</t>
  </si>
  <si>
    <t>G00144</t>
  </si>
  <si>
    <t>B000062</t>
  </si>
  <si>
    <t>G00402</t>
  </si>
  <si>
    <t>B000063</t>
  </si>
  <si>
    <t>G00013</t>
  </si>
  <si>
    <t>B000064</t>
  </si>
  <si>
    <t>G00602</t>
  </si>
  <si>
    <t>B000065</t>
  </si>
  <si>
    <t>G00085</t>
  </si>
  <si>
    <t>B000066</t>
  </si>
  <si>
    <t>G00401</t>
  </si>
  <si>
    <t>B000067</t>
  </si>
  <si>
    <t>G00627</t>
  </si>
  <si>
    <t>B000068</t>
  </si>
  <si>
    <t>G00266</t>
  </si>
  <si>
    <t>B000069</t>
  </si>
  <si>
    <t>G00591</t>
  </si>
  <si>
    <t>B000070</t>
  </si>
  <si>
    <t>G00119</t>
  </si>
  <si>
    <t>B000071</t>
  </si>
  <si>
    <t>G00037</t>
  </si>
  <si>
    <t>B000072</t>
  </si>
  <si>
    <t>G00054</t>
  </si>
  <si>
    <t>B000073</t>
  </si>
  <si>
    <t>G00009</t>
  </si>
  <si>
    <t>B000074</t>
  </si>
  <si>
    <t>G00560</t>
  </si>
  <si>
    <t>B000075</t>
  </si>
  <si>
    <t>G00344</t>
  </si>
  <si>
    <t>B000076</t>
  </si>
  <si>
    <t>G00146</t>
  </si>
  <si>
    <t>B000077</t>
  </si>
  <si>
    <t>G00404</t>
  </si>
  <si>
    <t>B000078</t>
  </si>
  <si>
    <t>G00326</t>
  </si>
  <si>
    <t>B000079</t>
  </si>
  <si>
    <t>G00124</t>
  </si>
  <si>
    <t>B000080</t>
  </si>
  <si>
    <t>G00618</t>
  </si>
  <si>
    <t>B000081</t>
  </si>
  <si>
    <t>G00415</t>
  </si>
  <si>
    <t>B000082</t>
  </si>
  <si>
    <t>G00203</t>
  </si>
  <si>
    <t>B000083</t>
  </si>
  <si>
    <t>G00455</t>
  </si>
  <si>
    <t>B000084</t>
  </si>
  <si>
    <t>G00437</t>
  </si>
  <si>
    <t>B000085</t>
  </si>
  <si>
    <t>G00303</t>
  </si>
  <si>
    <t>B000086</t>
  </si>
  <si>
    <t>G00557</t>
  </si>
  <si>
    <t>Singapore</t>
  </si>
  <si>
    <t>B000087</t>
  </si>
  <si>
    <t>G00225</t>
  </si>
  <si>
    <t>B000088</t>
  </si>
  <si>
    <t>G00247</t>
  </si>
  <si>
    <t>B000089</t>
  </si>
  <si>
    <t>G00607</t>
  </si>
  <si>
    <t>B000090</t>
  </si>
  <si>
    <t>G00505</t>
  </si>
  <si>
    <t>B000091</t>
  </si>
  <si>
    <t>B000092</t>
  </si>
  <si>
    <t>G00374</t>
  </si>
  <si>
    <t>B000093</t>
  </si>
  <si>
    <t>G00499</t>
  </si>
  <si>
    <t>B000094</t>
  </si>
  <si>
    <t>G00002</t>
  </si>
  <si>
    <t>B000095</t>
  </si>
  <si>
    <t>G00509</t>
  </si>
  <si>
    <t>B000096</t>
  </si>
  <si>
    <t>G00215</t>
  </si>
  <si>
    <t>B000097</t>
  </si>
  <si>
    <t>G00388</t>
  </si>
  <si>
    <t>B000098</t>
  </si>
  <si>
    <t>G00327</t>
  </si>
  <si>
    <t>B000099</t>
  </si>
  <si>
    <t>B000100</t>
  </si>
  <si>
    <t>G00568</t>
  </si>
  <si>
    <t>B000101</t>
  </si>
  <si>
    <t>B000102</t>
  </si>
  <si>
    <t>B000103</t>
  </si>
  <si>
    <t>G00046</t>
  </si>
  <si>
    <t>B000104</t>
  </si>
  <si>
    <t>G00604</t>
  </si>
  <si>
    <t>B000105</t>
  </si>
  <si>
    <t>G00405</t>
  </si>
  <si>
    <t>B000106</t>
  </si>
  <si>
    <t>G00130</t>
  </si>
  <si>
    <t>B000107</t>
  </si>
  <si>
    <t>G00090</t>
  </si>
  <si>
    <t>B000108</t>
  </si>
  <si>
    <t>G00152</t>
  </si>
  <si>
    <t>B000109</t>
  </si>
  <si>
    <t>G00393</t>
  </si>
  <si>
    <t>B000110</t>
  </si>
  <si>
    <t>G00340</t>
  </si>
  <si>
    <t>B000111</t>
  </si>
  <si>
    <t>G00101</t>
  </si>
  <si>
    <t>B000112</t>
  </si>
  <si>
    <t>G00417</t>
  </si>
  <si>
    <t>B000113</t>
  </si>
  <si>
    <t>G00537</t>
  </si>
  <si>
    <t>B000114</t>
  </si>
  <si>
    <t>G00476</t>
  </si>
  <si>
    <t>B000115</t>
  </si>
  <si>
    <t>G00359</t>
  </si>
  <si>
    <t>B000116</t>
  </si>
  <si>
    <t>G00227</t>
  </si>
  <si>
    <t>B000117</t>
  </si>
  <si>
    <t>G00230</t>
  </si>
  <si>
    <t>B000118</t>
  </si>
  <si>
    <t>G00639</t>
  </si>
  <si>
    <t>B000119</t>
  </si>
  <si>
    <t>G00284</t>
  </si>
  <si>
    <t>B000120</t>
  </si>
  <si>
    <t>G00414</t>
  </si>
  <si>
    <t>B000122</t>
  </si>
  <si>
    <t>G00483</t>
  </si>
  <si>
    <t>B000123</t>
  </si>
  <si>
    <t>B000124</t>
  </si>
  <si>
    <t>G00123</t>
  </si>
  <si>
    <t>B000125</t>
  </si>
  <si>
    <t>G00147</t>
  </si>
  <si>
    <t>B000126</t>
  </si>
  <si>
    <t>G00173</t>
  </si>
  <si>
    <t>B000127</t>
  </si>
  <si>
    <t>G00039</t>
  </si>
  <si>
    <t>B000128</t>
  </si>
  <si>
    <t>G00353</t>
  </si>
  <si>
    <t>B000129</t>
  </si>
  <si>
    <t>G00346</t>
  </si>
  <si>
    <t>B000130</t>
  </si>
  <si>
    <t>B000131</t>
  </si>
  <si>
    <t>G00609</t>
  </si>
  <si>
    <t>B000132</t>
  </si>
  <si>
    <t>G00157</t>
  </si>
  <si>
    <t>B000133</t>
  </si>
  <si>
    <t>B000134</t>
  </si>
  <si>
    <t>G00367</t>
  </si>
  <si>
    <t>B000135</t>
  </si>
  <si>
    <t>G00114</t>
  </si>
  <si>
    <t>B000136</t>
  </si>
  <si>
    <t>B000137</t>
  </si>
  <si>
    <t>G00010</t>
  </si>
  <si>
    <t>B000138</t>
  </si>
  <si>
    <t>G00468</t>
  </si>
  <si>
    <t>B000139</t>
  </si>
  <si>
    <t>B000140</t>
  </si>
  <si>
    <t>G00268</t>
  </si>
  <si>
    <t>B000141</t>
  </si>
  <si>
    <t>G00395</t>
  </si>
  <si>
    <t>B000142</t>
  </si>
  <si>
    <t>G00339</t>
  </si>
  <si>
    <t>B000143</t>
  </si>
  <si>
    <t>G00511</t>
  </si>
  <si>
    <t>B000144</t>
  </si>
  <si>
    <t>G00634</t>
  </si>
  <si>
    <t>B000145</t>
  </si>
  <si>
    <t>G00485</t>
  </si>
  <si>
    <t>B000146</t>
  </si>
  <si>
    <t>G00561</t>
  </si>
  <si>
    <t>B000147</t>
  </si>
  <si>
    <t>G00403</t>
  </si>
  <si>
    <t>B000148</t>
  </si>
  <si>
    <t>G00517</t>
  </si>
  <si>
    <t>B000149</t>
  </si>
  <si>
    <t>G00593</t>
  </si>
  <si>
    <t>B000150</t>
  </si>
  <si>
    <t>B000151</t>
  </si>
  <si>
    <t>G00354</t>
  </si>
  <si>
    <t>B000152</t>
  </si>
  <si>
    <t>G00428</t>
  </si>
  <si>
    <t>B000153</t>
  </si>
  <si>
    <t>G00165</t>
  </si>
  <si>
    <t>B000154</t>
  </si>
  <si>
    <t>B000155</t>
  </si>
  <si>
    <t>G00321</t>
  </si>
  <si>
    <t>B000156</t>
  </si>
  <si>
    <t>G00603</t>
  </si>
  <si>
    <t>B000157</t>
  </si>
  <si>
    <t>G00042</t>
  </si>
  <si>
    <t>B000158</t>
  </si>
  <si>
    <t>G00331</t>
  </si>
  <si>
    <t>B000160</t>
  </si>
  <si>
    <t>B000161</t>
  </si>
  <si>
    <t>G00041</t>
  </si>
  <si>
    <t>B000162</t>
  </si>
  <si>
    <t>G00521</t>
  </si>
  <si>
    <t>B000163</t>
  </si>
  <si>
    <t>G00642</t>
  </si>
  <si>
    <t>B000164</t>
  </si>
  <si>
    <t>B000165</t>
  </si>
  <si>
    <t>G00234</t>
  </si>
  <si>
    <t>B000166</t>
  </si>
  <si>
    <t>B000167</t>
  </si>
  <si>
    <t>B000168</t>
  </si>
  <si>
    <t>G00148</t>
  </si>
  <si>
    <t>B000169</t>
  </si>
  <si>
    <t>B000170</t>
  </si>
  <si>
    <t>G00118</t>
  </si>
  <si>
    <t>B000171</t>
  </si>
  <si>
    <t>B000172</t>
  </si>
  <si>
    <t>G00599</t>
  </si>
  <si>
    <t>B000173</t>
  </si>
  <si>
    <t>B000174</t>
  </si>
  <si>
    <t>B000175</t>
  </si>
  <si>
    <t>G00605</t>
  </si>
  <si>
    <t>B000176</t>
  </si>
  <si>
    <t>B000177</t>
  </si>
  <si>
    <t>G00150</t>
  </si>
  <si>
    <t>B000178</t>
  </si>
  <si>
    <t>G00212</t>
  </si>
  <si>
    <t>B000179</t>
  </si>
  <si>
    <t>G00270</t>
  </si>
  <si>
    <t>B000180</t>
  </si>
  <si>
    <t>G00362</t>
  </si>
  <si>
    <t>B000181</t>
  </si>
  <si>
    <t>G00154</t>
  </si>
  <si>
    <t>B000182</t>
  </si>
  <si>
    <t>G00421</t>
  </si>
  <si>
    <t>B000183</t>
  </si>
  <si>
    <t>G00185</t>
  </si>
  <si>
    <t>B000184</t>
  </si>
  <si>
    <t>B000185</t>
  </si>
  <si>
    <t>B000186</t>
  </si>
  <si>
    <t>G00488</t>
  </si>
  <si>
    <t>B000187</t>
  </si>
  <si>
    <t>G00442</t>
  </si>
  <si>
    <t>B000188</t>
  </si>
  <si>
    <t>B000189</t>
  </si>
  <si>
    <t>G00008</t>
  </si>
  <si>
    <t>B000190</t>
  </si>
  <si>
    <t>B000192</t>
  </si>
  <si>
    <t>B000193</t>
  </si>
  <si>
    <t>G00066</t>
  </si>
  <si>
    <t>B000194</t>
  </si>
  <si>
    <t>G00180</t>
  </si>
  <si>
    <t>B000195</t>
  </si>
  <si>
    <t>G00369</t>
  </si>
  <si>
    <t>B000196</t>
  </si>
  <si>
    <t>G00071</t>
  </si>
  <si>
    <t>B000197</t>
  </si>
  <si>
    <t>G00005</t>
  </si>
  <si>
    <t>B000198</t>
  </si>
  <si>
    <t>G00589</t>
  </si>
  <si>
    <t>B000199</t>
  </si>
  <si>
    <t>G00120</t>
  </si>
  <si>
    <t>B000200</t>
  </si>
  <si>
    <t>B000201</t>
  </si>
  <si>
    <t>G00195</t>
  </si>
  <si>
    <t>B000202</t>
  </si>
  <si>
    <t>G00110</t>
  </si>
  <si>
    <t>B000203</t>
  </si>
  <si>
    <t>B000204</t>
  </si>
  <si>
    <t>G00034</t>
  </si>
  <si>
    <t>B000205</t>
  </si>
  <si>
    <t>G00216</t>
  </si>
  <si>
    <t>B000206</t>
  </si>
  <si>
    <t>B000207</t>
  </si>
  <si>
    <t>G00235</t>
  </si>
  <si>
    <t>B000208</t>
  </si>
  <si>
    <t>G00646</t>
  </si>
  <si>
    <t>B000209</t>
  </si>
  <si>
    <t>G00261</t>
  </si>
  <si>
    <t>B000210</t>
  </si>
  <si>
    <t>G00125</t>
  </si>
  <si>
    <t>B000211</t>
  </si>
  <si>
    <t>B000212</t>
  </si>
  <si>
    <t>B000213</t>
  </si>
  <si>
    <t>B000214</t>
  </si>
  <si>
    <t>G00171</t>
  </si>
  <si>
    <t>B000215</t>
  </si>
  <si>
    <t>G00269</t>
  </si>
  <si>
    <t>B000216</t>
  </si>
  <si>
    <t>G00030</t>
  </si>
  <si>
    <t>B000217</t>
  </si>
  <si>
    <t>G00182</t>
  </si>
  <si>
    <t>B000218</t>
  </si>
  <si>
    <t>G00453</t>
  </si>
  <si>
    <t>B000219</t>
  </si>
  <si>
    <t>G00504</t>
  </si>
  <si>
    <t>B000220</t>
  </si>
  <si>
    <t>G00256</t>
  </si>
  <si>
    <t>B000221</t>
  </si>
  <si>
    <t>G00279</t>
  </si>
  <si>
    <t>B000222</t>
  </si>
  <si>
    <t>B000223</t>
  </si>
  <si>
    <t>B000224</t>
  </si>
  <si>
    <t>G00033</t>
  </si>
  <si>
    <t>B000225</t>
  </si>
  <si>
    <t>B000226</t>
  </si>
  <si>
    <t>G00214</t>
  </si>
  <si>
    <t>B000227</t>
  </si>
  <si>
    <t>B000228</t>
  </si>
  <si>
    <t>B000229</t>
  </si>
  <si>
    <t>B000230</t>
  </si>
  <si>
    <t>G00356</t>
  </si>
  <si>
    <t>B000231</t>
  </si>
  <si>
    <t>G00556</t>
  </si>
  <si>
    <t>B000232</t>
  </si>
  <si>
    <t>B000233</t>
  </si>
  <si>
    <t>G00020</t>
  </si>
  <si>
    <t>B000234</t>
  </si>
  <si>
    <t>B000235</t>
  </si>
  <si>
    <t>B000236</t>
  </si>
  <si>
    <t>B000237</t>
  </si>
  <si>
    <t>B000238</t>
  </si>
  <si>
    <t>G00584</t>
  </si>
  <si>
    <t>B000239</t>
  </si>
  <si>
    <t>B000240</t>
  </si>
  <si>
    <t>G00381</t>
  </si>
  <si>
    <t>B000241</t>
  </si>
  <si>
    <t>B000242</t>
  </si>
  <si>
    <t>G00228</t>
  </si>
  <si>
    <t>B000243</t>
  </si>
  <si>
    <t>G00472</t>
  </si>
  <si>
    <t>B000244</t>
  </si>
  <si>
    <t>G00333</t>
  </si>
  <si>
    <t>B000245</t>
  </si>
  <si>
    <t>G00343</t>
  </si>
  <si>
    <t>B000246</t>
  </si>
  <si>
    <t>G00043</t>
  </si>
  <si>
    <t>B000247</t>
  </si>
  <si>
    <t>G00297</t>
  </si>
  <si>
    <t>B000248</t>
  </si>
  <si>
    <t>G00134</t>
  </si>
  <si>
    <t>B000249</t>
  </si>
  <si>
    <t>B000250</t>
  </si>
  <si>
    <t>G00174</t>
  </si>
  <si>
    <t>B000251</t>
  </si>
  <si>
    <t>B000252</t>
  </si>
  <si>
    <t>B000253</t>
  </si>
  <si>
    <t>G00262</t>
  </si>
  <si>
    <t>B000254</t>
  </si>
  <si>
    <t>B000255</t>
  </si>
  <si>
    <t>G00191</t>
  </si>
  <si>
    <t>B000256</t>
  </si>
  <si>
    <t>G00361</t>
  </si>
  <si>
    <t>B000257</t>
  </si>
  <si>
    <t>G00287</t>
  </si>
  <si>
    <t>B000258</t>
  </si>
  <si>
    <t>B000259</t>
  </si>
  <si>
    <t>G00208</t>
  </si>
  <si>
    <t>B000260</t>
  </si>
  <si>
    <t>G00189</t>
  </si>
  <si>
    <t>B000261</t>
  </si>
  <si>
    <t>G00135</t>
  </si>
  <si>
    <t>B000262</t>
  </si>
  <si>
    <t>G00620</t>
  </si>
  <si>
    <t>B000263</t>
  </si>
  <si>
    <t>G00277</t>
  </si>
  <si>
    <t>B000264</t>
  </si>
  <si>
    <t>G00438</t>
  </si>
  <si>
    <t>B000265</t>
  </si>
  <si>
    <t>G00534</t>
  </si>
  <si>
    <t>B000266</t>
  </si>
  <si>
    <t>G00051</t>
  </si>
  <si>
    <t>B000267</t>
  </si>
  <si>
    <t>G00530</t>
  </si>
  <si>
    <t>B000268</t>
  </si>
  <si>
    <t>G00465</t>
  </si>
  <si>
    <t>B000269</t>
  </si>
  <si>
    <t>B000270</t>
  </si>
  <si>
    <t>B000271</t>
  </si>
  <si>
    <t>B000272</t>
  </si>
  <si>
    <t>B000273</t>
  </si>
  <si>
    <t>G00190</t>
  </si>
  <si>
    <t>B000274</t>
  </si>
  <si>
    <t>G00112</t>
  </si>
  <si>
    <t>B000275</t>
  </si>
  <si>
    <t>G00389</t>
  </si>
  <si>
    <t>B000277</t>
  </si>
  <si>
    <t>B000278</t>
  </si>
  <si>
    <t>G00025</t>
  </si>
  <si>
    <t>B000279</t>
  </si>
  <si>
    <t>G00207</t>
  </si>
  <si>
    <t>B000280</t>
  </si>
  <si>
    <t>G00583</t>
  </si>
  <si>
    <t>B000281</t>
  </si>
  <si>
    <t>G00550</t>
  </si>
  <si>
    <t>B000282</t>
  </si>
  <si>
    <t>B000283</t>
  </si>
  <si>
    <t>G00316</t>
  </si>
  <si>
    <t>B000284</t>
  </si>
  <si>
    <t>B000285</t>
  </si>
  <si>
    <t>G00496</t>
  </si>
  <si>
    <t>B000286</t>
  </si>
  <si>
    <t>G00535</t>
  </si>
  <si>
    <t>B000287</t>
  </si>
  <si>
    <t>G00320</t>
  </si>
  <si>
    <t>B000288</t>
  </si>
  <si>
    <t>G00016</t>
  </si>
  <si>
    <t>B000289</t>
  </si>
  <si>
    <t>G00073</t>
  </si>
  <si>
    <t>B000290</t>
  </si>
  <si>
    <t>G00611</t>
  </si>
  <si>
    <t>B000291</t>
  </si>
  <si>
    <t>G00477</t>
  </si>
  <si>
    <t>B000292</t>
  </si>
  <si>
    <t>B000293</t>
  </si>
  <si>
    <t>G00175</t>
  </si>
  <si>
    <t>B000294</t>
  </si>
  <si>
    <t>G00411</t>
  </si>
  <si>
    <t>B000295</t>
  </si>
  <si>
    <t>B000296</t>
  </si>
  <si>
    <t>G00456</t>
  </si>
  <si>
    <t>B000297</t>
  </si>
  <si>
    <t>G00223</t>
  </si>
  <si>
    <t>B000298</t>
  </si>
  <si>
    <t>G00325</t>
  </si>
  <si>
    <t>B000299</t>
  </si>
  <si>
    <t>G00302</t>
  </si>
  <si>
    <t>B000300</t>
  </si>
  <si>
    <t>B000301</t>
  </si>
  <si>
    <t>G00394</t>
  </si>
  <si>
    <t>B000302</t>
  </si>
  <si>
    <t>G00140</t>
  </si>
  <si>
    <t>B000303</t>
  </si>
  <si>
    <t>B000304</t>
  </si>
  <si>
    <t>B000305</t>
  </si>
  <si>
    <t>G00252</t>
  </si>
  <si>
    <t>B000306</t>
  </si>
  <si>
    <t>G00481</t>
  </si>
  <si>
    <t>B000307</t>
  </si>
  <si>
    <t>G00578</t>
  </si>
  <si>
    <t>B000308</t>
  </si>
  <si>
    <t>G00285</t>
  </si>
  <si>
    <t>B000309</t>
  </si>
  <si>
    <t>G00379</t>
  </si>
  <si>
    <t>B000310</t>
  </si>
  <si>
    <t>G00423</t>
  </si>
  <si>
    <t>B000311</t>
  </si>
  <si>
    <t>B000312</t>
  </si>
  <si>
    <t>G00460</t>
  </si>
  <si>
    <t>B000313</t>
  </si>
  <si>
    <t>G00280</t>
  </si>
  <si>
    <t>B000314</t>
  </si>
  <si>
    <t>B000315</t>
  </si>
  <si>
    <t>G00258</t>
  </si>
  <si>
    <t>B000316</t>
  </si>
  <si>
    <t>B000317</t>
  </si>
  <si>
    <t>B000318</t>
  </si>
  <si>
    <t>G00265</t>
  </si>
  <si>
    <t>B000319</t>
  </si>
  <si>
    <t>B000320</t>
  </si>
  <si>
    <t>G00153</t>
  </si>
  <si>
    <t>B000321</t>
  </si>
  <si>
    <t>G00447</t>
  </si>
  <si>
    <t>B000322</t>
  </si>
  <si>
    <t>B000323</t>
  </si>
  <si>
    <t>G00181</t>
  </si>
  <si>
    <t>B000324</t>
  </si>
  <si>
    <t>B000325</t>
  </si>
  <si>
    <t>G00461</t>
  </si>
  <si>
    <t>B000326</t>
  </si>
  <si>
    <t>B000327</t>
  </si>
  <si>
    <t>B000328</t>
  </si>
  <si>
    <t>G00109</t>
  </si>
  <si>
    <t>B000329</t>
  </si>
  <si>
    <t>B000330</t>
  </si>
  <si>
    <t>G00426</t>
  </si>
  <si>
    <t>B000331</t>
  </si>
  <si>
    <t>G00162</t>
  </si>
  <si>
    <t>B000332</t>
  </si>
  <si>
    <t>B000333</t>
  </si>
  <si>
    <t>G00091</t>
  </si>
  <si>
    <t>B000334</t>
  </si>
  <si>
    <t>B000335</t>
  </si>
  <si>
    <t>G00373</t>
  </si>
  <si>
    <t>B000336</t>
  </si>
  <si>
    <t>G00528</t>
  </si>
  <si>
    <t>B000337</t>
  </si>
  <si>
    <t>B000338</t>
  </si>
  <si>
    <t>B000339</t>
  </si>
  <si>
    <t>B000340</t>
  </si>
  <si>
    <t>G00236</t>
  </si>
  <si>
    <t>B000341</t>
  </si>
  <si>
    <t>B000342</t>
  </si>
  <si>
    <t>G00035</t>
  </si>
  <si>
    <t>B000343</t>
  </si>
  <si>
    <t>B000344</t>
  </si>
  <si>
    <t>G00466</t>
  </si>
  <si>
    <t>B000345</t>
  </si>
  <si>
    <t>G00304</t>
  </si>
  <si>
    <t>B000346</t>
  </si>
  <si>
    <t>B000347</t>
  </si>
  <si>
    <t>B000348</t>
  </si>
  <si>
    <t>B000349</t>
  </si>
  <si>
    <t>G00068</t>
  </si>
  <si>
    <t>B000350</t>
  </si>
  <si>
    <t>G00210</t>
  </si>
  <si>
    <t>B000351</t>
  </si>
  <si>
    <t>G00238</t>
  </si>
  <si>
    <t>B000352</t>
  </si>
  <si>
    <t>G00581</t>
  </si>
  <si>
    <t>B000353</t>
  </si>
  <si>
    <t>B000354</t>
  </si>
  <si>
    <t>B000355</t>
  </si>
  <si>
    <t>G00026</t>
  </si>
  <si>
    <t>B000356</t>
  </si>
  <si>
    <t>B000357</t>
  </si>
  <si>
    <t>B000358</t>
  </si>
  <si>
    <t>B000359</t>
  </si>
  <si>
    <t>G00058</t>
  </si>
  <si>
    <t>B000360</t>
  </si>
  <si>
    <t>G00457</t>
  </si>
  <si>
    <t>B000361</t>
  </si>
  <si>
    <t>G00425</t>
  </si>
  <si>
    <t>B000362</t>
  </si>
  <si>
    <t>G00007</t>
  </si>
  <si>
    <t>B000363</t>
  </si>
  <si>
    <t>B000364</t>
  </si>
  <si>
    <t>G00128</t>
  </si>
  <si>
    <t>B000365</t>
  </si>
  <si>
    <t>G00371</t>
  </si>
  <si>
    <t>B000366</t>
  </si>
  <si>
    <t>B000367</t>
  </si>
  <si>
    <t>B000368</t>
  </si>
  <si>
    <t>G00309</t>
  </si>
  <si>
    <t>B000369</t>
  </si>
  <si>
    <t>G00167</t>
  </si>
  <si>
    <t>B000370</t>
  </si>
  <si>
    <t>B000371</t>
  </si>
  <si>
    <t>G00351</t>
  </si>
  <si>
    <t>B000372</t>
  </si>
  <si>
    <t>G00115</t>
  </si>
  <si>
    <t>B000373</t>
  </si>
  <si>
    <t>G00045</t>
  </si>
  <si>
    <t>B000374</t>
  </si>
  <si>
    <t>G00360</t>
  </si>
  <si>
    <t>B000375</t>
  </si>
  <si>
    <t>B000376</t>
  </si>
  <si>
    <t>B000377</t>
  </si>
  <si>
    <t>B000378</t>
  </si>
  <si>
    <t>G00506</t>
  </si>
  <si>
    <t>B000379</t>
  </si>
  <si>
    <t>B000380</t>
  </si>
  <si>
    <t>B000381</t>
  </si>
  <si>
    <t>G00435</t>
  </si>
  <si>
    <t>B000382</t>
  </si>
  <si>
    <t>G00151</t>
  </si>
  <si>
    <t>B000384</t>
  </si>
  <si>
    <t>B000385</t>
  </si>
  <si>
    <t>B000386</t>
  </si>
  <si>
    <t>B000387</t>
  </si>
  <si>
    <t>G00482</t>
  </si>
  <si>
    <t>B000388</t>
  </si>
  <si>
    <t>G00063</t>
  </si>
  <si>
    <t>B000389</t>
  </si>
  <si>
    <t>B000390</t>
  </si>
  <si>
    <t>B000391</t>
  </si>
  <si>
    <t>B000392</t>
  </si>
  <si>
    <t>B000393</t>
  </si>
  <si>
    <t>G00640</t>
  </si>
  <si>
    <t>B000394</t>
  </si>
  <si>
    <t>B000395</t>
  </si>
  <si>
    <t>B000396</t>
  </si>
  <si>
    <t>G00445</t>
  </si>
  <si>
    <t>B000397</t>
  </si>
  <si>
    <t>B000398</t>
  </si>
  <si>
    <t>G00117</t>
  </si>
  <si>
    <t>B000399</t>
  </si>
  <si>
    <t>G00164</t>
  </si>
  <si>
    <t>B000400</t>
  </si>
  <si>
    <t>G00617</t>
  </si>
  <si>
    <t>B000401</t>
  </si>
  <si>
    <t>G00595</t>
  </si>
  <si>
    <t>B000402</t>
  </si>
  <si>
    <t>G00242</t>
  </si>
  <si>
    <t>B000403</t>
  </si>
  <si>
    <t>B000404</t>
  </si>
  <si>
    <t>G00621</t>
  </si>
  <si>
    <t>B000405</t>
  </si>
  <si>
    <t>B000406</t>
  </si>
  <si>
    <t>G00647</t>
  </si>
  <si>
    <t>B000407</t>
  </si>
  <si>
    <t>G00103</t>
  </si>
  <si>
    <t>B000408</t>
  </si>
  <si>
    <t>B000409</t>
  </si>
  <si>
    <t>B000410</t>
  </si>
  <si>
    <t>G00204</t>
  </si>
  <si>
    <t>B000411</t>
  </si>
  <si>
    <t>G00092</t>
  </si>
  <si>
    <t>B000412</t>
  </si>
  <si>
    <t>B000413</t>
  </si>
  <si>
    <t>G00507</t>
  </si>
  <si>
    <t>B000414</t>
  </si>
  <si>
    <t>G00298</t>
  </si>
  <si>
    <t>B000415</t>
  </si>
  <si>
    <t>G00408</t>
  </si>
  <si>
    <t>B000416</t>
  </si>
  <si>
    <t>B000417</t>
  </si>
  <si>
    <t>B000418</t>
  </si>
  <si>
    <t>G00512</t>
  </si>
  <si>
    <t>B000419</t>
  </si>
  <si>
    <t>B000420</t>
  </si>
  <si>
    <t>G00479</t>
  </si>
  <si>
    <t>B000421</t>
  </si>
  <si>
    <t>G00096</t>
  </si>
  <si>
    <t>B000422</t>
  </si>
  <si>
    <t>G00585</t>
  </si>
  <si>
    <t>B000423</t>
  </si>
  <si>
    <t>B000424</t>
  </si>
  <si>
    <t>B000425</t>
  </si>
  <si>
    <t>G00183</t>
  </si>
  <si>
    <t>B000426</t>
  </si>
  <si>
    <t>B000427</t>
  </si>
  <si>
    <t>B000428</t>
  </si>
  <si>
    <t>G00350</t>
  </si>
  <si>
    <t>B000429</t>
  </si>
  <si>
    <t>B000430</t>
  </si>
  <si>
    <t>G00523</t>
  </si>
  <si>
    <t>B000431</t>
  </si>
  <si>
    <t>G00474</t>
  </si>
  <si>
    <t>B000432</t>
  </si>
  <si>
    <t>G00192</t>
  </si>
  <si>
    <t>B000433</t>
  </si>
  <si>
    <t>G00489</t>
  </si>
  <si>
    <t>B000434</t>
  </si>
  <si>
    <t>G00015</t>
  </si>
  <si>
    <t>B000435</t>
  </si>
  <si>
    <t>G00552</t>
  </si>
  <si>
    <t>B000436</t>
  </si>
  <si>
    <t>G00497</t>
  </si>
  <si>
    <t>B000437</t>
  </si>
  <si>
    <t>B000438</t>
  </si>
  <si>
    <t>G00500</t>
  </si>
  <si>
    <t>B000439</t>
  </si>
  <si>
    <t>B000440</t>
  </si>
  <si>
    <t>G00348</t>
  </si>
  <si>
    <t>B000441</t>
  </si>
  <si>
    <t>G00166</t>
  </si>
  <si>
    <t>B000442</t>
  </si>
  <si>
    <t>B000443</t>
  </si>
  <si>
    <t>B000444</t>
  </si>
  <si>
    <t>G00571</t>
  </si>
  <si>
    <t>B000445</t>
  </si>
  <si>
    <t>B000446</t>
  </si>
  <si>
    <t>G00300</t>
  </si>
  <si>
    <t>B000447</t>
  </si>
  <si>
    <t>B000448</t>
  </si>
  <si>
    <t>G00543</t>
  </si>
  <si>
    <t>B000449</t>
  </si>
  <si>
    <t>G00011</t>
  </si>
  <si>
    <t>B000450</t>
  </si>
  <si>
    <t>G00155</t>
  </si>
  <si>
    <t>B000451</t>
  </si>
  <si>
    <t>B000452</t>
  </si>
  <si>
    <t>B000453</t>
  </si>
  <si>
    <t>G00566</t>
  </si>
  <si>
    <t>B000454</t>
  </si>
  <si>
    <t>G00518</t>
  </si>
  <si>
    <t>B000455</t>
  </si>
  <si>
    <t>G00306</t>
  </si>
  <si>
    <t>B000456</t>
  </si>
  <si>
    <t>G00587</t>
  </si>
  <si>
    <t>B000457</t>
  </si>
  <si>
    <t>G00436</t>
  </si>
  <si>
    <t>B000458</t>
  </si>
  <si>
    <t>B000459</t>
  </si>
  <si>
    <t>G00526</t>
  </si>
  <si>
    <t>B000460</t>
  </si>
  <si>
    <t>B000461</t>
  </si>
  <si>
    <t>B000462</t>
  </si>
  <si>
    <t>B000463</t>
  </si>
  <si>
    <t>B000464</t>
  </si>
  <si>
    <t>B000465</t>
  </si>
  <si>
    <t>G00055</t>
  </si>
  <si>
    <t>B000466</t>
  </si>
  <si>
    <t>G00594</t>
  </si>
  <si>
    <t>B000467</t>
  </si>
  <si>
    <t>B000468</t>
  </si>
  <si>
    <t>G00315</t>
  </si>
  <si>
    <t>B000469</t>
  </si>
  <si>
    <t>B000470</t>
  </si>
  <si>
    <t>B000471</t>
  </si>
  <si>
    <t>G00569</t>
  </si>
  <si>
    <t>B000472</t>
  </si>
  <si>
    <t>B000473</t>
  </si>
  <si>
    <t>G00494</t>
  </si>
  <si>
    <t>B000474</t>
  </si>
  <si>
    <t>G00547</t>
  </si>
  <si>
    <t>B000475</t>
  </si>
  <si>
    <t>B000476</t>
  </si>
  <si>
    <t>B000477</t>
  </si>
  <si>
    <t>G00080</t>
  </si>
  <si>
    <t>B000478</t>
  </si>
  <si>
    <t>B000479</t>
  </si>
  <si>
    <t>B000480</t>
  </si>
  <si>
    <t>G00406</t>
  </si>
  <si>
    <t>B000481</t>
  </si>
  <si>
    <t>G00131</t>
  </si>
  <si>
    <t>B000482</t>
  </si>
  <si>
    <t>B000483</t>
  </si>
  <si>
    <t>B000484</t>
  </si>
  <si>
    <t>B000485</t>
  </si>
  <si>
    <t>G00492</t>
  </si>
  <si>
    <t>B000486</t>
  </si>
  <si>
    <t>G00533</t>
  </si>
  <si>
    <t>B000487</t>
  </si>
  <si>
    <t>B000488</t>
  </si>
  <si>
    <t>G00391</t>
  </si>
  <si>
    <t>B000489</t>
  </si>
  <si>
    <t>G00104</t>
  </si>
  <si>
    <t>B000490</t>
  </si>
  <si>
    <t>G00199</t>
  </si>
  <si>
    <t>B000491</t>
  </si>
  <si>
    <t>B000492</t>
  </si>
  <si>
    <t>B000493</t>
  </si>
  <si>
    <t>B000494</t>
  </si>
  <si>
    <t>B000495</t>
  </si>
  <si>
    <t>B000496</t>
  </si>
  <si>
    <t>B000497</t>
  </si>
  <si>
    <t>B000498</t>
  </si>
  <si>
    <t>B000499</t>
  </si>
  <si>
    <t>B000500</t>
  </si>
  <si>
    <t>B000501</t>
  </si>
  <si>
    <t>B000502</t>
  </si>
  <si>
    <t>B000503</t>
  </si>
  <si>
    <t>B000504</t>
  </si>
  <si>
    <t>G00598</t>
  </si>
  <si>
    <t>B000505</t>
  </si>
  <si>
    <t>G00184</t>
  </si>
  <si>
    <t>B000506</t>
  </si>
  <si>
    <t>B000507</t>
  </si>
  <si>
    <t>G00196</t>
  </si>
  <si>
    <t>B000508</t>
  </si>
  <si>
    <t>B000509</t>
  </si>
  <si>
    <t>G00480</t>
  </si>
  <si>
    <t>B000510</t>
  </si>
  <si>
    <t>G00592</t>
  </si>
  <si>
    <t>B000512</t>
  </si>
  <si>
    <t>B000513</t>
  </si>
  <si>
    <t>G00176</t>
  </si>
  <si>
    <t>B000514</t>
  </si>
  <si>
    <t>B000515</t>
  </si>
  <si>
    <t>B000516</t>
  </si>
  <si>
    <t>G00470</t>
  </si>
  <si>
    <t>B000517</t>
  </si>
  <si>
    <t>B000518</t>
  </si>
  <si>
    <t>B000519</t>
  </si>
  <si>
    <t>B000520</t>
  </si>
  <si>
    <t>B000521</t>
  </si>
  <si>
    <t>B000522</t>
  </si>
  <si>
    <t>B000523</t>
  </si>
  <si>
    <t>B000524</t>
  </si>
  <si>
    <t>G00546</t>
  </si>
  <si>
    <t>B000525</t>
  </si>
  <si>
    <t>G00387</t>
  </si>
  <si>
    <t>B000526</t>
  </si>
  <si>
    <t>B000527</t>
  </si>
  <si>
    <t>G00213</t>
  </si>
  <si>
    <t>B000528</t>
  </si>
  <si>
    <t>B000529</t>
  </si>
  <si>
    <t>B000530</t>
  </si>
  <si>
    <t>B000531</t>
  </si>
  <si>
    <t>G00022</t>
  </si>
  <si>
    <t>B000532</t>
  </si>
  <si>
    <t>B000533</t>
  </si>
  <si>
    <t>B000534</t>
  </si>
  <si>
    <t>B000535</t>
  </si>
  <si>
    <t>B000536</t>
  </si>
  <si>
    <t>B000537</t>
  </si>
  <si>
    <t>G00452</t>
  </si>
  <si>
    <t>B000538</t>
  </si>
  <si>
    <t>G00551</t>
  </si>
  <si>
    <t>B000539</t>
  </si>
  <si>
    <t>B000540</t>
  </si>
  <si>
    <t>G00383</t>
  </si>
  <si>
    <t>B000541</t>
  </si>
  <si>
    <t>B000542</t>
  </si>
  <si>
    <t>B000543</t>
  </si>
  <si>
    <t>B000544</t>
  </si>
  <si>
    <t>B000545</t>
  </si>
  <si>
    <t>B000546</t>
  </si>
  <si>
    <t>G00427</t>
  </si>
  <si>
    <t>B000547</t>
  </si>
  <si>
    <t>G00218</t>
  </si>
  <si>
    <t>B000548</t>
  </si>
  <si>
    <t>B000549</t>
  </si>
  <si>
    <t>B000550</t>
  </si>
  <si>
    <t>G00498</t>
  </si>
  <si>
    <t>B000551</t>
  </si>
  <si>
    <t>B000552</t>
  </si>
  <si>
    <t>G00255</t>
  </si>
  <si>
    <t>B000553</t>
  </si>
  <si>
    <t>B000554</t>
  </si>
  <si>
    <t>B000555</t>
  </si>
  <si>
    <t>B000556</t>
  </si>
  <si>
    <t>G00217</t>
  </si>
  <si>
    <t>B000557</t>
  </si>
  <si>
    <t>G00127</t>
  </si>
  <si>
    <t>B000558</t>
  </si>
  <si>
    <t>B000559</t>
  </si>
  <si>
    <t>G00193</t>
  </si>
  <si>
    <t>B000560</t>
  </si>
  <si>
    <t>G00434</t>
  </si>
  <si>
    <t>B000561</t>
  </si>
  <si>
    <t>B000562</t>
  </si>
  <si>
    <t>G00036</t>
  </si>
  <si>
    <t>B000563</t>
  </si>
  <si>
    <t>G00386</t>
  </si>
  <si>
    <t>B000564</t>
  </si>
  <si>
    <t>B000565</t>
  </si>
  <si>
    <t>G00200</t>
  </si>
  <si>
    <t>B000566</t>
  </si>
  <si>
    <t>G00495</t>
  </si>
  <si>
    <t>B000567</t>
  </si>
  <si>
    <t>B000568</t>
  </si>
  <si>
    <t>G00643</t>
  </si>
  <si>
    <t>B000569</t>
  </si>
  <si>
    <t>B000570</t>
  </si>
  <si>
    <t>G00231</t>
  </si>
  <si>
    <t>B000571</t>
  </si>
  <si>
    <t>B000572</t>
  </si>
  <si>
    <t>B000573</t>
  </si>
  <si>
    <t>G00322</t>
  </si>
  <si>
    <t>B000574</t>
  </si>
  <si>
    <t>G00558</t>
  </si>
  <si>
    <t>B000575</t>
  </si>
  <si>
    <t>B000576</t>
  </si>
  <si>
    <t>G00221</t>
  </si>
  <si>
    <t>B000577</t>
  </si>
  <si>
    <t>G00410</t>
  </si>
  <si>
    <t>B000578</t>
  </si>
  <si>
    <t>G00382</t>
  </si>
  <si>
    <t>B000579</t>
  </si>
  <si>
    <t>G00619</t>
  </si>
  <si>
    <t>B000580</t>
  </si>
  <si>
    <t>B000581</t>
  </si>
  <si>
    <t>G00502</t>
  </si>
  <si>
    <t>B000582</t>
  </si>
  <si>
    <t>G00186</t>
  </si>
  <si>
    <t>B000583</t>
  </si>
  <si>
    <t>B000584</t>
  </si>
  <si>
    <t>B000585</t>
  </si>
  <si>
    <t>G00079</t>
  </si>
  <si>
    <t>B000586</t>
  </si>
  <si>
    <t>B000587</t>
  </si>
  <si>
    <t>G00541</t>
  </si>
  <si>
    <t>B000588</t>
  </si>
  <si>
    <t>G00053</t>
  </si>
  <si>
    <t>B000589</t>
  </si>
  <si>
    <t>G00301</t>
  </si>
  <si>
    <t>B000590</t>
  </si>
  <si>
    <t>G00475</t>
  </si>
  <si>
    <t>B000591</t>
  </si>
  <si>
    <t>B000592</t>
  </si>
  <si>
    <t>G00384</t>
  </si>
  <si>
    <t>B000593</t>
  </si>
  <si>
    <t>B000594</t>
  </si>
  <si>
    <t>G00273</t>
  </si>
  <si>
    <t>B000595</t>
  </si>
  <si>
    <t>G00113</t>
  </si>
  <si>
    <t>B000596</t>
  </si>
  <si>
    <t>B000597</t>
  </si>
  <si>
    <t>G00254</t>
  </si>
  <si>
    <t>B000598</t>
  </si>
  <si>
    <t>G00136</t>
  </si>
  <si>
    <t>B000599</t>
  </si>
  <si>
    <t>G00649</t>
  </si>
  <si>
    <t>B000600</t>
  </si>
  <si>
    <t>G00429</t>
  </si>
  <si>
    <t>B000601</t>
  </si>
  <si>
    <t>B000602</t>
  </si>
  <si>
    <t>B000603</t>
  </si>
  <si>
    <t>B000604</t>
  </si>
  <si>
    <t>B000605</t>
  </si>
  <si>
    <t>G00121</t>
  </si>
  <si>
    <t>B000606</t>
  </si>
  <si>
    <t>B000607</t>
  </si>
  <si>
    <t>B000608</t>
  </si>
  <si>
    <t>B000609</t>
  </si>
  <si>
    <t>B000610</t>
  </si>
  <si>
    <t>B000611</t>
  </si>
  <si>
    <t>B000612</t>
  </si>
  <si>
    <t>G00596</t>
  </si>
  <si>
    <t>B000614</t>
  </si>
  <si>
    <t>G00074</t>
  </si>
  <si>
    <t>B000615</t>
  </si>
  <si>
    <t>B000616</t>
  </si>
  <si>
    <t>B000617</t>
  </si>
  <si>
    <t>B000618</t>
  </si>
  <si>
    <t>B000619</t>
  </si>
  <si>
    <t>B000620</t>
  </si>
  <si>
    <t>B000621</t>
  </si>
  <si>
    <t>B000622</t>
  </si>
  <si>
    <t>G00490</t>
  </si>
  <si>
    <t>B000623</t>
  </si>
  <si>
    <t>G00493</t>
  </si>
  <si>
    <t>B000624</t>
  </si>
  <si>
    <t>B000625</t>
  </si>
  <si>
    <t>G00372</t>
  </si>
  <si>
    <t>B000626</t>
  </si>
  <si>
    <t>G00432</t>
  </si>
  <si>
    <t>B000627</t>
  </si>
  <si>
    <t>B000628</t>
  </si>
  <si>
    <t>B000629</t>
  </si>
  <si>
    <t>B000630</t>
  </si>
  <si>
    <t>B000631</t>
  </si>
  <si>
    <t>B000632</t>
  </si>
  <si>
    <t>B000633</t>
  </si>
  <si>
    <t>B000634</t>
  </si>
  <si>
    <t>B000635</t>
  </si>
  <si>
    <t>G00133</t>
  </si>
  <si>
    <t>B000636</t>
  </si>
  <si>
    <t>B000637</t>
  </si>
  <si>
    <t>G00514</t>
  </si>
  <si>
    <t>B000638</t>
  </si>
  <si>
    <t>G00397</t>
  </si>
  <si>
    <t>B000639</t>
  </si>
  <si>
    <t>B000640</t>
  </si>
  <si>
    <t>B000641</t>
  </si>
  <si>
    <t>G00635</t>
  </si>
  <si>
    <t>B000642</t>
  </si>
  <si>
    <t>G00636</t>
  </si>
  <si>
    <t>B000643</t>
  </si>
  <si>
    <t>G00398</t>
  </si>
  <si>
    <t>B000644</t>
  </si>
  <si>
    <t>G00407</t>
  </si>
  <si>
    <t>B000645</t>
  </si>
  <si>
    <t>B000646</t>
  </si>
  <si>
    <t>B000647</t>
  </si>
  <si>
    <t>B000648</t>
  </si>
  <si>
    <t>G00305</t>
  </si>
  <si>
    <t>B000649</t>
  </si>
  <si>
    <t>G00575</t>
  </si>
  <si>
    <t>B000650</t>
  </si>
  <si>
    <t>B000651</t>
  </si>
  <si>
    <t>B000652</t>
  </si>
  <si>
    <t>B000653</t>
  </si>
  <si>
    <t>B000654</t>
  </si>
  <si>
    <t>G00448</t>
  </si>
  <si>
    <t>B000655</t>
  </si>
  <si>
    <t>B000656</t>
  </si>
  <si>
    <t>B000657</t>
  </si>
  <si>
    <t>B000658</t>
  </si>
  <si>
    <t>G00615</t>
  </si>
  <si>
    <t>B000659</t>
  </si>
  <si>
    <t>B000660</t>
  </si>
  <si>
    <t>B000661</t>
  </si>
  <si>
    <t>G00027</t>
  </si>
  <si>
    <t>B000662</t>
  </si>
  <si>
    <t>B000663</t>
  </si>
  <si>
    <t>B000664</t>
  </si>
  <si>
    <t>B000665</t>
  </si>
  <si>
    <t>G00430</t>
  </si>
  <si>
    <t>B000666</t>
  </si>
  <si>
    <t>B000667</t>
  </si>
  <si>
    <t>B000668</t>
  </si>
  <si>
    <t>G00281</t>
  </si>
  <si>
    <t>B000669</t>
  </si>
  <si>
    <t>B000670</t>
  </si>
  <si>
    <t>B000671</t>
  </si>
  <si>
    <t>B000672</t>
  </si>
  <si>
    <t>B000673</t>
  </si>
  <si>
    <t>G00337</t>
  </si>
  <si>
    <t>B000674</t>
  </si>
  <si>
    <t>G00623</t>
  </si>
  <si>
    <t>B000675</t>
  </si>
  <si>
    <t>G00282</t>
  </si>
  <si>
    <t>B000676</t>
  </si>
  <si>
    <t>B000677</t>
  </si>
  <si>
    <t>B000678</t>
  </si>
  <si>
    <t>B000679</t>
  </si>
  <si>
    <t>B000681</t>
  </si>
  <si>
    <t>B000682</t>
  </si>
  <si>
    <t>B000683</t>
  </si>
  <si>
    <t>B000684</t>
  </si>
  <si>
    <t>B000685</t>
  </si>
  <si>
    <t>B000686</t>
  </si>
  <si>
    <t>B000687</t>
  </si>
  <si>
    <t>B000688</t>
  </si>
  <si>
    <t>G00194</t>
  </si>
  <si>
    <t>B000689</t>
  </si>
  <si>
    <t>B000690</t>
  </si>
  <si>
    <t>B000691</t>
  </si>
  <si>
    <t>G00638</t>
  </si>
  <si>
    <t>B000692</t>
  </si>
  <si>
    <t>G00486</t>
  </si>
  <si>
    <t>B000693</t>
  </si>
  <si>
    <t>B000694</t>
  </si>
  <si>
    <t>B000695</t>
  </si>
  <si>
    <t>G00342</t>
  </si>
  <si>
    <t>B000696</t>
  </si>
  <si>
    <t>G00510</t>
  </si>
  <si>
    <t>B000697</t>
  </si>
  <si>
    <t>B000698</t>
  </si>
  <si>
    <t>B000699</t>
  </si>
  <si>
    <t>B000700</t>
  </si>
  <si>
    <t>B000701</t>
  </si>
  <si>
    <t>B000702</t>
  </si>
  <si>
    <t>B000703</t>
  </si>
  <si>
    <t>B000704</t>
  </si>
  <si>
    <t>G00473</t>
  </si>
  <si>
    <t>B000705</t>
  </si>
  <si>
    <t>B000706</t>
  </si>
  <si>
    <t>B000707</t>
  </si>
  <si>
    <t>G00413</t>
  </si>
  <si>
    <t>B000708</t>
  </si>
  <si>
    <t>B000709</t>
  </si>
  <si>
    <t>B000710</t>
  </si>
  <si>
    <t>G00001</t>
  </si>
  <si>
    <t>B000711</t>
  </si>
  <si>
    <t>B000712</t>
  </si>
  <si>
    <t>G00023</t>
  </si>
  <si>
    <t>B000713</t>
  </si>
  <si>
    <t>B000714</t>
  </si>
  <si>
    <t>B000715</t>
  </si>
  <si>
    <t>G00163</t>
  </si>
  <si>
    <t>B000716</t>
  </si>
  <si>
    <t>B000717</t>
  </si>
  <si>
    <t>G00539</t>
  </si>
  <si>
    <t>B000718</t>
  </si>
  <si>
    <t>B000719</t>
  </si>
  <si>
    <t>G00257</t>
  </si>
  <si>
    <t>B000720</t>
  </si>
  <si>
    <t>G00588</t>
  </si>
  <si>
    <t>B000721</t>
  </si>
  <si>
    <t>G00597</t>
  </si>
  <si>
    <t>B000722</t>
  </si>
  <si>
    <t>B000723</t>
  </si>
  <si>
    <t>G00069</t>
  </si>
  <si>
    <t>B000724</t>
  </si>
  <si>
    <t>B000725</t>
  </si>
  <si>
    <t>B000726</t>
  </si>
  <si>
    <t>G00031</t>
  </si>
  <si>
    <t>B000727</t>
  </si>
  <si>
    <t>G00064</t>
  </si>
  <si>
    <t>B000728</t>
  </si>
  <si>
    <t>G00565</t>
  </si>
  <si>
    <t>B000729</t>
  </si>
  <si>
    <t>B000730</t>
  </si>
  <si>
    <t>G00129</t>
  </si>
  <si>
    <t>B000731</t>
  </si>
  <si>
    <t>G00095</t>
  </si>
  <si>
    <t>B000732</t>
  </si>
  <si>
    <t>B000733</t>
  </si>
  <si>
    <t>B000734</t>
  </si>
  <si>
    <t>G00274</t>
  </si>
  <si>
    <t>B000735</t>
  </si>
  <si>
    <t>B000736</t>
  </si>
  <si>
    <t>B000737</t>
  </si>
  <si>
    <t>B000738</t>
  </si>
  <si>
    <t>B000739</t>
  </si>
  <si>
    <t>G00548</t>
  </si>
  <si>
    <t>B000740</t>
  </si>
  <si>
    <t>B000741</t>
  </si>
  <si>
    <t>B000742</t>
  </si>
  <si>
    <t>G00038</t>
  </si>
  <si>
    <t>B000743</t>
  </si>
  <si>
    <t>B000744</t>
  </si>
  <si>
    <t>B000745</t>
  </si>
  <si>
    <t>G00264</t>
  </si>
  <si>
    <t>B000746</t>
  </si>
  <si>
    <t>B000747</t>
  </si>
  <si>
    <t>G00418</t>
  </si>
  <si>
    <t>B000748</t>
  </si>
  <si>
    <t>B000749</t>
  </si>
  <si>
    <t>B000750</t>
  </si>
  <si>
    <t>B000751</t>
  </si>
  <si>
    <t>B000752</t>
  </si>
  <si>
    <t>B000753</t>
  </si>
  <si>
    <t>B000754</t>
  </si>
  <si>
    <t>B000755</t>
  </si>
  <si>
    <t>B000756</t>
  </si>
  <si>
    <t>G00345</t>
  </si>
  <si>
    <t>B000757</t>
  </si>
  <si>
    <t>B000758</t>
  </si>
  <si>
    <t>G00450</t>
  </si>
  <si>
    <t>B000759</t>
  </si>
  <si>
    <t>B000760</t>
  </si>
  <si>
    <t>B000761</t>
  </si>
  <si>
    <t>B000762</t>
  </si>
  <si>
    <t>B000763</t>
  </si>
  <si>
    <t>B000764</t>
  </si>
  <si>
    <t>G00335</t>
  </si>
  <si>
    <t>B000765</t>
  </si>
  <si>
    <t>B000766</t>
  </si>
  <si>
    <t>G00156</t>
  </si>
  <si>
    <t>B000767</t>
  </si>
  <si>
    <t>B000768</t>
  </si>
  <si>
    <t>B000769</t>
  </si>
  <si>
    <t>G00295</t>
  </si>
  <si>
    <t>B000770</t>
  </si>
  <si>
    <t>B000771</t>
  </si>
  <si>
    <t>B000772</t>
  </si>
  <si>
    <t>G00047</t>
  </si>
  <si>
    <t>B000773</t>
  </si>
  <si>
    <t>B000774</t>
  </si>
  <si>
    <t>B000775</t>
  </si>
  <si>
    <t>G00021</t>
  </si>
  <si>
    <t>B000776</t>
  </si>
  <si>
    <t>B000777</t>
  </si>
  <si>
    <t>B000778</t>
  </si>
  <si>
    <t>B000779</t>
  </si>
  <si>
    <t>B000780</t>
  </si>
  <si>
    <t>B000781</t>
  </si>
  <si>
    <t>G00086</t>
  </si>
  <si>
    <t>B000782</t>
  </si>
  <si>
    <t>B000783</t>
  </si>
  <si>
    <t>B000784</t>
  </si>
  <si>
    <t>G00084</t>
  </si>
  <si>
    <t>B000785</t>
  </si>
  <si>
    <t>B000786</t>
  </si>
  <si>
    <t>G00278</t>
  </si>
  <si>
    <t>B000787</t>
  </si>
  <si>
    <t>B000788</t>
  </si>
  <si>
    <t>B000789</t>
  </si>
  <si>
    <t>B000790</t>
  </si>
  <si>
    <t>B000791</t>
  </si>
  <si>
    <t>B000792</t>
  </si>
  <si>
    <t>B000793</t>
  </si>
  <si>
    <t>B000794</t>
  </si>
  <si>
    <t>B000795</t>
  </si>
  <si>
    <t>B000796</t>
  </si>
  <si>
    <t>B000797</t>
  </si>
  <si>
    <t>G00378</t>
  </si>
  <si>
    <t>B000798</t>
  </si>
  <si>
    <t>G00059</t>
  </si>
  <si>
    <t>B000799</t>
  </si>
  <si>
    <t>B000800</t>
  </si>
  <si>
    <t>B000801</t>
  </si>
  <si>
    <t>B000802</t>
  </si>
  <si>
    <t>B000803</t>
  </si>
  <si>
    <t>G00478</t>
  </si>
  <si>
    <t>B000804</t>
  </si>
  <si>
    <t>B000805</t>
  </si>
  <si>
    <t>B000806</t>
  </si>
  <si>
    <t>B000807</t>
  </si>
  <si>
    <t>B000808</t>
  </si>
  <si>
    <t>G00276</t>
  </si>
  <si>
    <t>B000809</t>
  </si>
  <si>
    <t>B000810</t>
  </si>
  <si>
    <t>B000811</t>
  </si>
  <si>
    <t>B000812</t>
  </si>
  <si>
    <t>B000813</t>
  </si>
  <si>
    <t>B000814</t>
  </si>
  <si>
    <t>G00355</t>
  </si>
  <si>
    <t>B000815</t>
  </si>
  <si>
    <t>G00093</t>
  </si>
  <si>
    <t>B000816</t>
  </si>
  <si>
    <t>G00484</t>
  </si>
  <si>
    <t>B000817</t>
  </si>
  <si>
    <t>B000818</t>
  </si>
  <si>
    <t>B000819</t>
  </si>
  <si>
    <t>B000820</t>
  </si>
  <si>
    <t>B000821</t>
  </si>
  <si>
    <t>G00012</t>
  </si>
  <si>
    <t>B000822</t>
  </si>
  <si>
    <t>B000823</t>
  </si>
  <si>
    <t>B000824</t>
  </si>
  <si>
    <t>G00614</t>
  </si>
  <si>
    <t>B000825</t>
  </si>
  <si>
    <t>B000826</t>
  </si>
  <si>
    <t>G00149</t>
  </si>
  <si>
    <t>B000827</t>
  </si>
  <si>
    <t>B000828</t>
  </si>
  <si>
    <t>B000829</t>
  </si>
  <si>
    <t>G00250</t>
  </si>
  <si>
    <t>B000830</t>
  </si>
  <si>
    <t>G00292</t>
  </si>
  <si>
    <t>B000831</t>
  </si>
  <si>
    <t>B000832</t>
  </si>
  <si>
    <t>B000833</t>
  </si>
  <si>
    <t>B000834</t>
  </si>
  <si>
    <t>B000835</t>
  </si>
  <si>
    <t>G00241</t>
  </si>
  <si>
    <t>B000836</t>
  </si>
  <si>
    <t>B000837</t>
  </si>
  <si>
    <t>B000838</t>
  </si>
  <si>
    <t>B000839</t>
  </si>
  <si>
    <t>B000840</t>
  </si>
  <si>
    <t>G00094</t>
  </si>
  <si>
    <t>B000841</t>
  </si>
  <si>
    <t>G00205</t>
  </si>
  <si>
    <t>B000842</t>
  </si>
  <si>
    <t>B000843</t>
  </si>
  <si>
    <t>B000844</t>
  </si>
  <si>
    <t>G00062</t>
  </si>
  <si>
    <t>B000845</t>
  </si>
  <si>
    <t>B000846</t>
  </si>
  <si>
    <t>B000847</t>
  </si>
  <si>
    <t>B000848</t>
  </si>
  <si>
    <t>G00487</t>
  </si>
  <si>
    <t>B000849</t>
  </si>
  <si>
    <t>B000850</t>
  </si>
  <si>
    <t>G00160</t>
  </si>
  <si>
    <t>B000851</t>
  </si>
  <si>
    <t>G00067</t>
  </si>
  <si>
    <t>B000852</t>
  </si>
  <si>
    <t>B000853</t>
  </si>
  <si>
    <t>B000854</t>
  </si>
  <si>
    <t>B000855</t>
  </si>
  <si>
    <t>G00600</t>
  </si>
  <si>
    <t>B000856</t>
  </si>
  <si>
    <t>B000857</t>
  </si>
  <si>
    <t>B000858</t>
  </si>
  <si>
    <t>G00527</t>
  </si>
  <si>
    <t>B000859</t>
  </si>
  <si>
    <t>G00187</t>
  </si>
  <si>
    <t>B000860</t>
  </si>
  <si>
    <t>G00454</t>
  </si>
  <si>
    <t>B000861</t>
  </si>
  <si>
    <t>G00106</t>
  </si>
  <si>
    <t>B000862</t>
  </si>
  <si>
    <t>G00161</t>
  </si>
  <si>
    <t>B000863</t>
  </si>
  <si>
    <t>B000864</t>
  </si>
  <si>
    <t>B000865</t>
  </si>
  <si>
    <t>B000866</t>
  </si>
  <si>
    <t>B000867</t>
  </si>
  <si>
    <t>B000868</t>
  </si>
  <si>
    <t>G00424</t>
  </si>
  <si>
    <t>B000869</t>
  </si>
  <si>
    <t>G00544</t>
  </si>
  <si>
    <t>B000870</t>
  </si>
  <si>
    <t>B000871</t>
  </si>
  <si>
    <t>B000872</t>
  </si>
  <si>
    <t>B000873</t>
  </si>
  <si>
    <t>G00075</t>
  </si>
  <si>
    <t>B000874</t>
  </si>
  <si>
    <t>B000875</t>
  </si>
  <si>
    <t>B000876</t>
  </si>
  <si>
    <t>B000877</t>
  </si>
  <si>
    <t>B000878</t>
  </si>
  <si>
    <t>B000879</t>
  </si>
  <si>
    <t>B000880</t>
  </si>
  <si>
    <t>B000881</t>
  </si>
  <si>
    <t>B000883</t>
  </si>
  <si>
    <t>B000884</t>
  </si>
  <si>
    <t>G00272</t>
  </si>
  <si>
    <t>B000885</t>
  </si>
  <si>
    <t>B000886</t>
  </si>
  <si>
    <t>B000887</t>
  </si>
  <si>
    <t>G00099</t>
  </si>
  <si>
    <t>B000888</t>
  </si>
  <si>
    <t>B000889</t>
  </si>
  <si>
    <t>B000890</t>
  </si>
  <si>
    <t>B000891</t>
  </si>
  <si>
    <t>B000892</t>
  </si>
  <si>
    <t>B000893</t>
  </si>
  <si>
    <t>B000894</t>
  </si>
  <si>
    <t>B000895</t>
  </si>
  <si>
    <t>B000896</t>
  </si>
  <si>
    <t>B000897</t>
  </si>
  <si>
    <t>B000898</t>
  </si>
  <si>
    <t>B000899</t>
  </si>
  <si>
    <t>B000900</t>
  </si>
  <si>
    <t>B000902</t>
  </si>
  <si>
    <t>B000903</t>
  </si>
  <si>
    <t>G00283</t>
  </si>
  <si>
    <t>B000904</t>
  </si>
  <si>
    <t>B000905</t>
  </si>
  <si>
    <t>B000906</t>
  </si>
  <si>
    <t>B000907</t>
  </si>
  <si>
    <t>B000908</t>
  </si>
  <si>
    <t>B000909</t>
  </si>
  <si>
    <t>B000910</t>
  </si>
  <si>
    <t>B000911</t>
  </si>
  <si>
    <t>B000912</t>
  </si>
  <si>
    <t>G00574</t>
  </si>
  <si>
    <t>B000913</t>
  </si>
  <si>
    <t>G00349</t>
  </si>
  <si>
    <t>B000914</t>
  </si>
  <si>
    <t>B000915</t>
  </si>
  <si>
    <t>B000916</t>
  </si>
  <si>
    <t>G00532</t>
  </si>
  <si>
    <t>B000917</t>
  </si>
  <si>
    <t>B000918</t>
  </si>
  <si>
    <t>G00520</t>
  </si>
  <si>
    <t>B000919</t>
  </si>
  <si>
    <t>B000920</t>
  </si>
  <si>
    <t>B000921</t>
  </si>
  <si>
    <t>B000922</t>
  </si>
  <si>
    <t>G00601</t>
  </si>
  <si>
    <t>B000923</t>
  </si>
  <si>
    <t>B000924</t>
  </si>
  <si>
    <t>B000925</t>
  </si>
  <si>
    <t>B000926</t>
  </si>
  <si>
    <t>G00061</t>
  </si>
  <si>
    <t>B000927</t>
  </si>
  <si>
    <t>G00072</t>
  </si>
  <si>
    <t>B000928</t>
  </si>
  <si>
    <t>B000929</t>
  </si>
  <si>
    <t>B000930</t>
  </si>
  <si>
    <t>G00562</t>
  </si>
  <si>
    <t>B000931</t>
  </si>
  <si>
    <t>B000932</t>
  </si>
  <si>
    <t>B000933</t>
  </si>
  <si>
    <t>G00330</t>
  </si>
  <si>
    <t>B000934</t>
  </si>
  <si>
    <t>B000935</t>
  </si>
  <si>
    <t>B000936</t>
  </si>
  <si>
    <t>B000937</t>
  </si>
  <si>
    <t>B000938</t>
  </si>
  <si>
    <t>B000939</t>
  </si>
  <si>
    <t>B000940</t>
  </si>
  <si>
    <t>B000941</t>
  </si>
  <si>
    <t>B000942</t>
  </si>
  <si>
    <t>B000943</t>
  </si>
  <si>
    <t>G00516</t>
  </si>
  <si>
    <t>B000944</t>
  </si>
  <si>
    <t>B000945</t>
  </si>
  <si>
    <t>B000946</t>
  </si>
  <si>
    <t>B000947</t>
  </si>
  <si>
    <t>B000948</t>
  </si>
  <si>
    <t>G00244</t>
  </si>
  <si>
    <t>B000949</t>
  </si>
  <si>
    <t>G00179</t>
  </si>
  <si>
    <t>B000950</t>
  </si>
  <si>
    <t>G00233</t>
  </si>
  <si>
    <t>B000951</t>
  </si>
  <si>
    <t>B000952</t>
  </si>
  <si>
    <t>B000953</t>
  </si>
  <si>
    <t>B000954</t>
  </si>
  <si>
    <t>B000955</t>
  </si>
  <si>
    <t>B000956</t>
  </si>
  <si>
    <t>G00366</t>
  </si>
  <si>
    <t>B000957</t>
  </si>
  <si>
    <t>B000958</t>
  </si>
  <si>
    <t>B000959</t>
  </si>
  <si>
    <t>B000960</t>
  </si>
  <si>
    <t>G00088</t>
  </si>
  <si>
    <t>B000961</t>
  </si>
  <si>
    <t>G00329</t>
  </si>
  <si>
    <t>B000962</t>
  </si>
  <si>
    <t>B000963</t>
  </si>
  <si>
    <t>B000964</t>
  </si>
  <si>
    <t>B000965</t>
  </si>
  <si>
    <t>B000966</t>
  </si>
  <si>
    <t>G00132</t>
  </si>
  <si>
    <t>B000967</t>
  </si>
  <si>
    <t>B000968</t>
  </si>
  <si>
    <t>B000969</t>
  </si>
  <si>
    <t>B000970</t>
  </si>
  <si>
    <t>B000971</t>
  </si>
  <si>
    <t>B000972</t>
  </si>
  <si>
    <t>B000973</t>
  </si>
  <si>
    <t>B000974</t>
  </si>
  <si>
    <t>G00501</t>
  </si>
  <si>
    <t>B000975</t>
  </si>
  <si>
    <t>B000976</t>
  </si>
  <si>
    <t>B000977</t>
  </si>
  <si>
    <t>B000978</t>
  </si>
  <si>
    <t>B000979</t>
  </si>
  <si>
    <t>G00222</t>
  </si>
  <si>
    <t>B000980</t>
  </si>
  <si>
    <t>B000981</t>
  </si>
  <si>
    <t>B000982</t>
  </si>
  <si>
    <t>G00608</t>
  </si>
  <si>
    <t>B000983</t>
  </si>
  <si>
    <t>B000984</t>
  </si>
  <si>
    <t>G00253</t>
  </si>
  <si>
    <t>B000985</t>
  </si>
  <si>
    <t>B000986</t>
  </si>
  <si>
    <t>B000987</t>
  </si>
  <si>
    <t>G00641</t>
  </si>
  <si>
    <t>B000988</t>
  </si>
  <si>
    <t>B000989</t>
  </si>
  <si>
    <t>B000990</t>
  </si>
  <si>
    <t>B000991</t>
  </si>
  <si>
    <t>B000992</t>
  </si>
  <si>
    <t>B000993</t>
  </si>
  <si>
    <t>G00141</t>
  </si>
  <si>
    <t>B000995</t>
  </si>
  <si>
    <t>B000996</t>
  </si>
  <si>
    <t>B000997</t>
  </si>
  <si>
    <t>B000998</t>
  </si>
  <si>
    <t>B000999</t>
  </si>
  <si>
    <t>B001000</t>
  </si>
  <si>
    <t>G00293</t>
  </si>
  <si>
    <t>B001001</t>
  </si>
  <si>
    <t>B001002</t>
  </si>
  <si>
    <t>B001003</t>
  </si>
  <si>
    <t>B001004</t>
  </si>
  <si>
    <t>B001005</t>
  </si>
  <si>
    <t>B001006</t>
  </si>
  <si>
    <t>B001007</t>
  </si>
  <si>
    <t>G00049</t>
  </si>
  <si>
    <t>B001008</t>
  </si>
  <si>
    <t>B001009</t>
  </si>
  <si>
    <t>B001010</t>
  </si>
  <si>
    <t>G00044</t>
  </si>
  <si>
    <t>B001011</t>
  </si>
  <si>
    <t>B001012</t>
  </si>
  <si>
    <t>B001013</t>
  </si>
  <si>
    <t>B001014</t>
  </si>
  <si>
    <t>B001015</t>
  </si>
  <si>
    <t>G00032</t>
  </si>
  <si>
    <t>B001016</t>
  </si>
  <si>
    <t>B001017</t>
  </si>
  <si>
    <t>B001018</t>
  </si>
  <si>
    <t>B001019</t>
  </si>
  <si>
    <t>G00097</t>
  </si>
  <si>
    <t>B001020</t>
  </si>
  <si>
    <t>B001021</t>
  </si>
  <si>
    <t>B001022</t>
  </si>
  <si>
    <t>G00616</t>
  </si>
  <si>
    <t>B001023</t>
  </si>
  <si>
    <t>B001024</t>
  </si>
  <si>
    <t>B001025</t>
  </si>
  <si>
    <t>B001026</t>
  </si>
  <si>
    <t>B001027</t>
  </si>
  <si>
    <t>B001028</t>
  </si>
  <si>
    <t>B001029</t>
  </si>
  <si>
    <t>B001030</t>
  </si>
  <si>
    <t>B001031</t>
  </si>
  <si>
    <t>B001032</t>
  </si>
  <si>
    <t>B001033</t>
  </si>
  <si>
    <t>B001034</t>
  </si>
  <si>
    <t>B001035</t>
  </si>
  <si>
    <t>B001036</t>
  </si>
  <si>
    <t>G00296</t>
  </si>
  <si>
    <t>B001037</t>
  </si>
  <si>
    <t>B001038</t>
  </si>
  <si>
    <t>B001039</t>
  </si>
  <si>
    <t>B001040</t>
  </si>
  <si>
    <t>B001041</t>
  </si>
  <si>
    <t>B001042</t>
  </si>
  <si>
    <t>G00056</t>
  </si>
  <si>
    <t>B001043</t>
  </si>
  <si>
    <t>B001044</t>
  </si>
  <si>
    <t>B001045</t>
  </si>
  <si>
    <t>B001046</t>
  </si>
  <si>
    <t>B001047</t>
  </si>
  <si>
    <t>B001048</t>
  </si>
  <si>
    <t>B001050</t>
  </si>
  <si>
    <t>G00577</t>
  </si>
  <si>
    <t>B001051</t>
  </si>
  <si>
    <t>B001052</t>
  </si>
  <si>
    <t>B001053</t>
  </si>
  <si>
    <t>G00567</t>
  </si>
  <si>
    <t>B001054</t>
  </si>
  <si>
    <t>G00420</t>
  </si>
  <si>
    <t>B001055</t>
  </si>
  <si>
    <t>B001056</t>
  </si>
  <si>
    <t>B001057</t>
  </si>
  <si>
    <t>B001058</t>
  </si>
  <si>
    <t>G00377</t>
  </si>
  <si>
    <t>B001059</t>
  </si>
  <si>
    <t>B001060</t>
  </si>
  <si>
    <t>G00363</t>
  </si>
  <si>
    <t>B001061</t>
  </si>
  <si>
    <t>B001062</t>
  </si>
  <si>
    <t>B001063</t>
  </si>
  <si>
    <t>B001064</t>
  </si>
  <si>
    <t>B001065</t>
  </si>
  <si>
    <t>G00491</t>
  </si>
  <si>
    <t>B001066</t>
  </si>
  <si>
    <t>B001067</t>
  </si>
  <si>
    <t>B001068</t>
  </si>
  <si>
    <t>B001069</t>
  </si>
  <si>
    <t>B001070</t>
  </si>
  <si>
    <t>G00170</t>
  </si>
  <si>
    <t>B001071</t>
  </si>
  <si>
    <t>B001072</t>
  </si>
  <si>
    <t>G00522</t>
  </si>
  <si>
    <t>B001073</t>
  </si>
  <si>
    <t>B001074</t>
  </si>
  <si>
    <t>B001075</t>
  </si>
  <si>
    <t>B001076</t>
  </si>
  <si>
    <t>B001077</t>
  </si>
  <si>
    <t>B001078</t>
  </si>
  <si>
    <t>G00318</t>
  </si>
  <si>
    <t>B001079</t>
  </si>
  <si>
    <t>G00111</t>
  </si>
  <si>
    <t>B001080</t>
  </si>
  <si>
    <t>B001081</t>
  </si>
  <si>
    <t>B001082</t>
  </si>
  <si>
    <t>B001083</t>
  </si>
  <si>
    <t>B001084</t>
  </si>
  <si>
    <t>B001085</t>
  </si>
  <si>
    <t>G00332</t>
  </si>
  <si>
    <t>B001086</t>
  </si>
  <si>
    <t>B001087</t>
  </si>
  <si>
    <t>B001088</t>
  </si>
  <si>
    <t>B001089</t>
  </si>
  <si>
    <t>B001090</t>
  </si>
  <si>
    <t>B001091</t>
  </si>
  <si>
    <t>B001092</t>
  </si>
  <si>
    <t>B001093</t>
  </si>
  <si>
    <t>B001094</t>
  </si>
  <si>
    <t>B001095</t>
  </si>
  <si>
    <t>B001096</t>
  </si>
  <si>
    <t>B001097</t>
  </si>
  <si>
    <t>B001098</t>
  </si>
  <si>
    <t>B001099</t>
  </si>
  <si>
    <t>B001100</t>
  </si>
  <si>
    <t>B001101</t>
  </si>
  <si>
    <t>B001102</t>
  </si>
  <si>
    <t>B001103</t>
  </si>
  <si>
    <t>B001104</t>
  </si>
  <si>
    <t>B001105</t>
  </si>
  <si>
    <t>B001106</t>
  </si>
  <si>
    <t>G00082</t>
  </si>
  <si>
    <t>B001107</t>
  </si>
  <si>
    <t>G00431</t>
  </si>
  <si>
    <t>B001108</t>
  </si>
  <si>
    <t>B001109</t>
  </si>
  <si>
    <t>G00018</t>
  </si>
  <si>
    <t>B001110</t>
  </si>
  <si>
    <t>B001111</t>
  </si>
  <si>
    <t>B001112</t>
  </si>
  <si>
    <t>G00260</t>
  </si>
  <si>
    <t>B001113</t>
  </si>
  <si>
    <t>B001114</t>
  </si>
  <si>
    <t>B001115</t>
  </si>
  <si>
    <t>B001116</t>
  </si>
  <si>
    <t>B001117</t>
  </si>
  <si>
    <t>B001118</t>
  </si>
  <si>
    <t>B001119</t>
  </si>
  <si>
    <t>B001120</t>
  </si>
  <si>
    <t>G00570</t>
  </si>
  <si>
    <t>B001121</t>
  </si>
  <si>
    <t>B001122</t>
  </si>
  <si>
    <t>G00579</t>
  </si>
  <si>
    <t>B001123</t>
  </si>
  <si>
    <t>B001124</t>
  </si>
  <si>
    <t>B001125</t>
  </si>
  <si>
    <t>B001126</t>
  </si>
  <si>
    <t>B001127</t>
  </si>
  <si>
    <t>B001128</t>
  </si>
  <si>
    <t>G00100</t>
  </si>
  <si>
    <t>B001129</t>
  </si>
  <si>
    <t>B001130</t>
  </si>
  <si>
    <t>G00307</t>
  </si>
  <si>
    <t>B001131</t>
  </si>
  <si>
    <t>B001132</t>
  </si>
  <si>
    <t>B001133</t>
  </si>
  <si>
    <t>G00626</t>
  </si>
  <si>
    <t>B001134</t>
  </si>
  <si>
    <t>B001135</t>
  </si>
  <si>
    <t>G00139</t>
  </si>
  <si>
    <t>B001136</t>
  </si>
  <si>
    <t>B001137</t>
  </si>
  <si>
    <t>G00211</t>
  </si>
  <si>
    <t>B001138</t>
  </si>
  <si>
    <t>B001139</t>
  </si>
  <si>
    <t>B001140</t>
  </si>
  <si>
    <t>B001141</t>
  </si>
  <si>
    <t>B001142</t>
  </si>
  <si>
    <t>B001143</t>
  </si>
  <si>
    <t>B001144</t>
  </si>
  <si>
    <t>B001145</t>
  </si>
  <si>
    <t>B001146</t>
  </si>
  <si>
    <t>G00126</t>
  </si>
  <si>
    <t>B001147</t>
  </si>
  <si>
    <t>B001148</t>
  </si>
  <si>
    <t>B001149</t>
  </si>
  <si>
    <t>G00542</t>
  </si>
  <si>
    <t>B001150</t>
  </si>
  <si>
    <t>B001151</t>
  </si>
  <si>
    <t>G00087</t>
  </si>
  <si>
    <t>B001152</t>
  </si>
  <si>
    <t>G00232</t>
  </si>
  <si>
    <t>B001153</t>
  </si>
  <si>
    <t>B001154</t>
  </si>
  <si>
    <t>B001155</t>
  </si>
  <si>
    <t>B001156</t>
  </si>
  <si>
    <t>B001157</t>
  </si>
  <si>
    <t>G00538</t>
  </si>
  <si>
    <t>B001158</t>
  </si>
  <si>
    <t>B001159</t>
  </si>
  <si>
    <t>B001160</t>
  </si>
  <si>
    <t>B001161</t>
  </si>
  <si>
    <t>B001162</t>
  </si>
  <si>
    <t>B001163</t>
  </si>
  <si>
    <t>B001164</t>
  </si>
  <si>
    <t>G00057</t>
  </si>
  <si>
    <t>B001165</t>
  </si>
  <si>
    <t>B001166</t>
  </si>
  <si>
    <t>B001167</t>
  </si>
  <si>
    <t>G00459</t>
  </si>
  <si>
    <t>B001168</t>
  </si>
  <si>
    <t>G00380</t>
  </si>
  <si>
    <t>B001169</t>
  </si>
  <si>
    <t>G00017</t>
  </si>
  <si>
    <t>B001170</t>
  </si>
  <si>
    <t>B001171</t>
  </si>
  <si>
    <t>B001172</t>
  </si>
  <si>
    <t>B001173</t>
  </si>
  <si>
    <t>B001174</t>
  </si>
  <si>
    <t>B001175</t>
  </si>
  <si>
    <t>B001176</t>
  </si>
  <si>
    <t>B001177</t>
  </si>
  <si>
    <t>B001178</t>
  </si>
  <si>
    <t>B001179</t>
  </si>
  <si>
    <t>B001180</t>
  </si>
  <si>
    <t>B001181</t>
  </si>
  <si>
    <t>G00645</t>
  </si>
  <si>
    <t>B001182</t>
  </si>
  <si>
    <t>B001183</t>
  </si>
  <si>
    <t>B001184</t>
  </si>
  <si>
    <t>B001185</t>
  </si>
  <si>
    <t>B001186</t>
  </si>
  <si>
    <t>B001187</t>
  </si>
  <si>
    <t>G00433</t>
  </si>
  <si>
    <t>B001188</t>
  </si>
  <si>
    <t>G00559</t>
  </si>
  <si>
    <t>B001189</t>
  </si>
  <si>
    <t>B001190</t>
  </si>
  <si>
    <t>B001191</t>
  </si>
  <si>
    <t>B001192</t>
  </si>
  <si>
    <t>B001193</t>
  </si>
  <si>
    <t>B001194</t>
  </si>
  <si>
    <t>B001195</t>
  </si>
  <si>
    <t>B001196</t>
  </si>
  <si>
    <t>B001197</t>
  </si>
  <si>
    <t>B001198</t>
  </si>
  <si>
    <t>B001199</t>
  </si>
  <si>
    <t>B001200</t>
  </si>
  <si>
    <t>B001201</t>
  </si>
  <si>
    <t>B001203</t>
  </si>
  <si>
    <t>G00545</t>
  </si>
  <si>
    <t>B001204</t>
  </si>
  <si>
    <t>G00400</t>
  </si>
  <si>
    <t>B001205</t>
  </si>
  <si>
    <t>B001206</t>
  </si>
  <si>
    <t>B001207</t>
  </si>
  <si>
    <t>B001208</t>
  </si>
  <si>
    <t>B001209</t>
  </si>
  <si>
    <t>B001210</t>
  </si>
  <si>
    <t>B001211</t>
  </si>
  <si>
    <t>B001212</t>
  </si>
  <si>
    <t>B001213</t>
  </si>
  <si>
    <t>B001215</t>
  </si>
  <si>
    <t>B001216</t>
  </si>
  <si>
    <t>G00439</t>
  </si>
  <si>
    <t>B001217</t>
  </si>
  <si>
    <t>B001218</t>
  </si>
  <si>
    <t>B001219</t>
  </si>
  <si>
    <t>B001220</t>
  </si>
  <si>
    <t>G00334</t>
  </si>
  <si>
    <t>B001221</t>
  </si>
  <si>
    <t>B001222</t>
  </si>
  <si>
    <t>B001223</t>
  </si>
  <si>
    <t>B001224</t>
  </si>
  <si>
    <t>B001225</t>
  </si>
  <si>
    <t>B001226</t>
  </si>
  <si>
    <t>B001227</t>
  </si>
  <si>
    <t>B001228</t>
  </si>
  <si>
    <t>B001229</t>
  </si>
  <si>
    <t>B001230</t>
  </si>
  <si>
    <t>B001231</t>
  </si>
  <si>
    <t>G00251</t>
  </si>
  <si>
    <t>B001232</t>
  </si>
  <si>
    <t>B001233</t>
  </si>
  <si>
    <t>B001234</t>
  </si>
  <si>
    <t>B001235</t>
  </si>
  <si>
    <t>B001236</t>
  </si>
  <si>
    <t>G00178</t>
  </si>
  <si>
    <t>B001237</t>
  </si>
  <si>
    <t>B001238</t>
  </si>
  <si>
    <t>B001239</t>
  </si>
  <si>
    <t>B001240</t>
  </si>
  <si>
    <t>G00357</t>
  </si>
  <si>
    <t>B001241</t>
  </si>
  <si>
    <t>B001242</t>
  </si>
  <si>
    <t>B001243</t>
  </si>
  <si>
    <t>B001244</t>
  </si>
  <si>
    <t>B001245</t>
  </si>
  <si>
    <t>B001246</t>
  </si>
  <si>
    <t>B001247</t>
  </si>
  <si>
    <t>G00376</t>
  </si>
  <si>
    <t>B001248</t>
  </si>
  <si>
    <t>B001249</t>
  </si>
  <si>
    <t>B001250</t>
  </si>
  <si>
    <t>B001251</t>
  </si>
  <si>
    <t>B001252</t>
  </si>
  <si>
    <t>B001253</t>
  </si>
  <si>
    <t>B001254</t>
  </si>
  <si>
    <t>B001255</t>
  </si>
  <si>
    <t>B001256</t>
  </si>
  <si>
    <t>B001257</t>
  </si>
  <si>
    <t>B001258</t>
  </si>
  <si>
    <t>B001259</t>
  </si>
  <si>
    <t>B001260</t>
  </si>
  <si>
    <t>B001261</t>
  </si>
  <si>
    <t>B001262</t>
  </si>
  <si>
    <t>B001263</t>
  </si>
  <si>
    <t>B001264</t>
  </si>
  <si>
    <t>B001265</t>
  </si>
  <si>
    <t>B001266</t>
  </si>
  <si>
    <t>G00392</t>
  </si>
  <si>
    <t>B001267</t>
  </si>
  <si>
    <t>G00188</t>
  </si>
  <si>
    <t>B001268</t>
  </si>
  <si>
    <t>G00271</t>
  </si>
  <si>
    <t>B001269</t>
  </si>
  <si>
    <t>B001270</t>
  </si>
  <si>
    <t>B001271</t>
  </si>
  <si>
    <t>B001272</t>
  </si>
  <si>
    <t>B001273</t>
  </si>
  <si>
    <t>B001274</t>
  </si>
  <si>
    <t>B001275</t>
  </si>
  <si>
    <t>B001276</t>
  </si>
  <si>
    <t>B001277</t>
  </si>
  <si>
    <t>B001278</t>
  </si>
  <si>
    <t>B001279</t>
  </si>
  <si>
    <t>B001280</t>
  </si>
  <si>
    <t>G00365</t>
  </si>
  <si>
    <t>B001281</t>
  </si>
  <si>
    <t>B001282</t>
  </si>
  <si>
    <t>B001283</t>
  </si>
  <si>
    <t>B001284</t>
  </si>
  <si>
    <t>B001285</t>
  </si>
  <si>
    <t>B001286</t>
  </si>
  <si>
    <t>B001287</t>
  </si>
  <si>
    <t>G00555</t>
  </si>
  <si>
    <t>B001288</t>
  </si>
  <si>
    <t>B001289</t>
  </si>
  <si>
    <t>B001290</t>
  </si>
  <si>
    <t>B001291</t>
  </si>
  <si>
    <t>B001292</t>
  </si>
  <si>
    <t>B001293</t>
  </si>
  <si>
    <t>B001294</t>
  </si>
  <si>
    <t>B001295</t>
  </si>
  <si>
    <t>G00319</t>
  </si>
  <si>
    <t>B001296</t>
  </si>
  <si>
    <t>B001297</t>
  </si>
  <si>
    <t>B001298</t>
  </si>
  <si>
    <t>B001299</t>
  </si>
  <si>
    <t>B001300</t>
  </si>
  <si>
    <t>B001301</t>
  </si>
  <si>
    <t>B001302</t>
  </si>
  <si>
    <t>B001303</t>
  </si>
  <si>
    <t>B001304</t>
  </si>
  <si>
    <t>B001305</t>
  </si>
  <si>
    <t>B001306</t>
  </si>
  <si>
    <t>B001307</t>
  </si>
  <si>
    <t>B001308</t>
  </si>
  <si>
    <t>B001309</t>
  </si>
  <si>
    <t>B001310</t>
  </si>
  <si>
    <t>G00650</t>
  </si>
  <si>
    <t>B001311</t>
  </si>
  <si>
    <t>G00177</t>
  </si>
  <si>
    <t>B001312</t>
  </si>
  <si>
    <t>B001313</t>
  </si>
  <si>
    <t>G00515</t>
  </si>
  <si>
    <t>B001314</t>
  </si>
  <si>
    <t>B001315</t>
  </si>
  <si>
    <t>B001316</t>
  </si>
  <si>
    <t>B001317</t>
  </si>
  <si>
    <t>B001318</t>
  </si>
  <si>
    <t>B001319</t>
  </si>
  <si>
    <t>B001320</t>
  </si>
  <si>
    <t>B001321</t>
  </si>
  <si>
    <t>B001322</t>
  </si>
  <si>
    <t>B001324</t>
  </si>
  <si>
    <t>B001325</t>
  </si>
  <si>
    <t>B001326</t>
  </si>
  <si>
    <t>B001327</t>
  </si>
  <si>
    <t>G00580</t>
  </si>
  <si>
    <t>B001328</t>
  </si>
  <si>
    <t>B001329</t>
  </si>
  <si>
    <t>B001330</t>
  </si>
  <si>
    <t>G00586</t>
  </si>
  <si>
    <t>B001331</t>
  </si>
  <si>
    <t>B001332</t>
  </si>
  <si>
    <t>B001333</t>
  </si>
  <si>
    <t>B001334</t>
  </si>
  <si>
    <t>B001335</t>
  </si>
  <si>
    <t>B001336</t>
  </si>
  <si>
    <t>B001337</t>
  </si>
  <si>
    <t>B001338</t>
  </si>
  <si>
    <t>B001339</t>
  </si>
  <si>
    <t>B001340</t>
  </si>
  <si>
    <t>B001341</t>
  </si>
  <si>
    <t>G00089</t>
  </si>
  <si>
    <t>B001342</t>
  </si>
  <si>
    <t>B001343</t>
  </si>
  <si>
    <t>B001344</t>
  </si>
  <si>
    <t>B001345</t>
  </si>
  <si>
    <t>B001346</t>
  </si>
  <si>
    <t>B001347</t>
  </si>
  <si>
    <t>B001348</t>
  </si>
  <si>
    <t>B001349</t>
  </si>
  <si>
    <t>B001350</t>
  </si>
  <si>
    <t>B001351</t>
  </si>
  <si>
    <t>G00240</t>
  </si>
  <si>
    <t>B001352</t>
  </si>
  <si>
    <t>B001353</t>
  </si>
  <si>
    <t>B001354</t>
  </si>
  <si>
    <t>B001355</t>
  </si>
  <si>
    <t>B001356</t>
  </si>
  <si>
    <t>B001357</t>
  </si>
  <si>
    <t>B001358</t>
  </si>
  <si>
    <t>B001359</t>
  </si>
  <si>
    <t>B001360</t>
  </si>
  <si>
    <t>B001361</t>
  </si>
  <si>
    <t>B001362</t>
  </si>
  <si>
    <t>B001363</t>
  </si>
  <si>
    <t>B001364</t>
  </si>
  <si>
    <t>G00048</t>
  </si>
  <si>
    <t>B001365</t>
  </si>
  <si>
    <t>B001366</t>
  </si>
  <si>
    <t>B001367</t>
  </si>
  <si>
    <t>B001368</t>
  </si>
  <si>
    <t>B001369</t>
  </si>
  <si>
    <t>B001370</t>
  </si>
  <si>
    <t>G00375</t>
  </si>
  <si>
    <t>B001371</t>
  </si>
  <si>
    <t>B001372</t>
  </si>
  <si>
    <t>B001373</t>
  </si>
  <si>
    <t>B001374</t>
  </si>
  <si>
    <t>B001375</t>
  </si>
  <si>
    <t>B001376</t>
  </si>
  <si>
    <t>B001377</t>
  </si>
  <si>
    <t>B001378</t>
  </si>
  <si>
    <t>B001379</t>
  </si>
  <si>
    <t>B001380</t>
  </si>
  <si>
    <t>G00076</t>
  </si>
  <si>
    <t>B001381</t>
  </si>
  <si>
    <t>B001382</t>
  </si>
  <si>
    <t>B001383</t>
  </si>
  <si>
    <t>B001384</t>
  </si>
  <si>
    <t>B001385</t>
  </si>
  <si>
    <t>B001386</t>
  </si>
  <si>
    <t>B001387</t>
  </si>
  <si>
    <t>B001388</t>
  </si>
  <si>
    <t>B001389</t>
  </si>
  <si>
    <t>G00289</t>
  </si>
  <si>
    <t>B001390</t>
  </si>
  <si>
    <t>B001391</t>
  </si>
  <si>
    <t>B001392</t>
  </si>
  <si>
    <t>B001393</t>
  </si>
  <si>
    <t>B001394</t>
  </si>
  <si>
    <t>B001395</t>
  </si>
  <si>
    <t>B001396</t>
  </si>
  <si>
    <t>B001397</t>
  </si>
  <si>
    <t>G00107</t>
  </si>
  <si>
    <t>B001398</t>
  </si>
  <si>
    <t>G00563</t>
  </si>
  <si>
    <t>B001399</t>
  </si>
  <si>
    <t>B001400</t>
  </si>
  <si>
    <t>B001401</t>
  </si>
  <si>
    <t>B001402</t>
  </si>
  <si>
    <t>B001403</t>
  </si>
  <si>
    <t>B001404</t>
  </si>
  <si>
    <t>B001405</t>
  </si>
  <si>
    <t>G00158</t>
  </si>
  <si>
    <t>B001406</t>
  </si>
  <si>
    <t>B001407</t>
  </si>
  <si>
    <t>G00631</t>
  </si>
  <si>
    <t>B001409</t>
  </si>
  <si>
    <t>B001410</t>
  </si>
  <si>
    <t>B001411</t>
  </si>
  <si>
    <t>B001412</t>
  </si>
  <si>
    <t>B001413</t>
  </si>
  <si>
    <t>B001414</t>
  </si>
  <si>
    <t>B001415</t>
  </si>
  <si>
    <t>B001416</t>
  </si>
  <si>
    <t>B001417</t>
  </si>
  <si>
    <t>B001418</t>
  </si>
  <si>
    <t>B001419</t>
  </si>
  <si>
    <t>B001420</t>
  </si>
  <si>
    <t>B001421</t>
  </si>
  <si>
    <t>B001422</t>
  </si>
  <si>
    <t>G00536</t>
  </si>
  <si>
    <t>B001423</t>
  </si>
  <si>
    <t>G00029</t>
  </si>
  <si>
    <t>B001424</t>
  </si>
  <si>
    <t>B001425</t>
  </si>
  <si>
    <t>B001426</t>
  </si>
  <si>
    <t>B001427</t>
  </si>
  <si>
    <t>G00317</t>
  </si>
  <si>
    <t>B001429</t>
  </si>
  <si>
    <t>B001430</t>
  </si>
  <si>
    <t>B001431</t>
  </si>
  <si>
    <t>B001432</t>
  </si>
  <si>
    <t>B001433</t>
  </si>
  <si>
    <t>B001434</t>
  </si>
  <si>
    <t>B001435</t>
  </si>
  <si>
    <t>B001436</t>
  </si>
  <si>
    <t>B001437</t>
  </si>
  <si>
    <t>B001438</t>
  </si>
  <si>
    <t>B001439</t>
  </si>
  <si>
    <t>B001440</t>
  </si>
  <si>
    <t>B001441</t>
  </si>
  <si>
    <t>B001442</t>
  </si>
  <si>
    <t>G00229</t>
  </si>
  <si>
    <t>B001443</t>
  </si>
  <si>
    <t>B001444</t>
  </si>
  <si>
    <t>B001445</t>
  </si>
  <si>
    <t>G00145</t>
  </si>
  <si>
    <t>B001446</t>
  </si>
  <si>
    <t>B001447</t>
  </si>
  <si>
    <t>B001448</t>
  </si>
  <si>
    <t>B001449</t>
  </si>
  <si>
    <t>B001450</t>
  </si>
  <si>
    <t>B001451</t>
  </si>
  <si>
    <t>B001452</t>
  </si>
  <si>
    <t>B001453</t>
  </si>
  <si>
    <t>B001454</t>
  </si>
  <si>
    <t>B001455</t>
  </si>
  <si>
    <t>B001456</t>
  </si>
  <si>
    <t>B001457</t>
  </si>
  <si>
    <t>G00469</t>
  </si>
  <si>
    <t>B001458</t>
  </si>
  <si>
    <t>B001459</t>
  </si>
  <si>
    <t>B001460</t>
  </si>
  <si>
    <t>B001461</t>
  </si>
  <si>
    <t>B001462</t>
  </si>
  <si>
    <t>B001464</t>
  </si>
  <si>
    <t>B001465</t>
  </si>
  <si>
    <t>B001466</t>
  </si>
  <si>
    <t>B001467</t>
  </si>
  <si>
    <t>B001468</t>
  </si>
  <si>
    <t>B001469</t>
  </si>
  <si>
    <t>B001470</t>
  </si>
  <si>
    <t>B001471</t>
  </si>
  <si>
    <t>B001472</t>
  </si>
  <si>
    <t>B001473</t>
  </si>
  <si>
    <t>B001474</t>
  </si>
  <si>
    <t>B001475</t>
  </si>
  <si>
    <t>G00168</t>
  </si>
  <si>
    <t>B001476</t>
  </si>
  <si>
    <t>B001477</t>
  </si>
  <si>
    <t>B001478</t>
  </si>
  <si>
    <t>G00003</t>
  </si>
  <si>
    <t>B001479</t>
  </si>
  <si>
    <t>B001480</t>
  </si>
  <si>
    <t>B001481</t>
  </si>
  <si>
    <t>B001482</t>
  </si>
  <si>
    <t>B001483</t>
  </si>
  <si>
    <t>B001484</t>
  </si>
  <si>
    <t>B001485</t>
  </si>
  <si>
    <t>B001486</t>
  </si>
  <si>
    <t>B001487</t>
  </si>
  <si>
    <t>B001488</t>
  </si>
  <si>
    <t>G00409</t>
  </si>
  <si>
    <t>B001489</t>
  </si>
  <si>
    <t>B001490</t>
  </si>
  <si>
    <t>B001491</t>
  </si>
  <si>
    <t>B001492</t>
  </si>
  <si>
    <t>B001493</t>
  </si>
  <si>
    <t>B001494</t>
  </si>
  <si>
    <t>B001495</t>
  </si>
  <si>
    <t>B001496</t>
  </si>
  <si>
    <t>B001497</t>
  </si>
  <si>
    <t>B001498</t>
  </si>
  <si>
    <t>B001499</t>
  </si>
  <si>
    <t>B001500</t>
  </si>
  <si>
    <t>B001501</t>
  </si>
  <si>
    <t>B001502</t>
  </si>
  <si>
    <t>B001503</t>
  </si>
  <si>
    <t>B001504</t>
  </si>
  <si>
    <t>B001505</t>
  </si>
  <si>
    <t>B001506</t>
  </si>
  <si>
    <t>B001507</t>
  </si>
  <si>
    <t>G00070</t>
  </si>
  <si>
    <t>B001508</t>
  </si>
  <si>
    <t>G00633</t>
  </si>
  <si>
    <t>B001509</t>
  </si>
  <si>
    <t>B001510</t>
  </si>
  <si>
    <t>B001511</t>
  </si>
  <si>
    <t>B001512</t>
  </si>
  <si>
    <t>G00471</t>
  </si>
  <si>
    <t>B001513</t>
  </si>
  <si>
    <t>B001514</t>
  </si>
  <si>
    <t>B001515</t>
  </si>
  <si>
    <t>B001516</t>
  </si>
  <si>
    <t>B001517</t>
  </si>
  <si>
    <t>B001518</t>
  </si>
  <si>
    <t>B001519</t>
  </si>
  <si>
    <t>B001520</t>
  </si>
  <si>
    <t>B001521</t>
  </si>
  <si>
    <t>B001522</t>
  </si>
  <si>
    <t>B001523</t>
  </si>
  <si>
    <t>B001524</t>
  </si>
  <si>
    <t>B001525</t>
  </si>
  <si>
    <t>B001526</t>
  </si>
  <si>
    <t>B001527</t>
  </si>
  <si>
    <t>B001528</t>
  </si>
  <si>
    <t>B001529</t>
  </si>
  <si>
    <t>B001530</t>
  </si>
  <si>
    <t>B001531</t>
  </si>
  <si>
    <t>B001532</t>
  </si>
  <si>
    <t>B001533</t>
  </si>
  <si>
    <t>B001534</t>
  </si>
  <si>
    <t>B001535</t>
  </si>
  <si>
    <t>B001536</t>
  </si>
  <si>
    <t>B001537</t>
  </si>
  <si>
    <t>B001538</t>
  </si>
  <si>
    <t>B001539</t>
  </si>
  <si>
    <t>B001540</t>
  </si>
  <si>
    <t>B001541</t>
  </si>
  <si>
    <t>B001542</t>
  </si>
  <si>
    <t>G00243</t>
  </si>
  <si>
    <t>B001543</t>
  </si>
  <si>
    <t>B001544</t>
  </si>
  <si>
    <t>B001545</t>
  </si>
  <si>
    <t>B001546</t>
  </si>
  <si>
    <t>B001547</t>
  </si>
  <si>
    <t>B001548</t>
  </si>
  <si>
    <t>B001549</t>
  </si>
  <si>
    <t>B001550</t>
  </si>
  <si>
    <t>B001551</t>
  </si>
  <si>
    <t>G00220</t>
  </si>
  <si>
    <t>B001552</t>
  </si>
  <si>
    <t>B001553</t>
  </si>
  <si>
    <t>B001554</t>
  </si>
  <si>
    <t>B001555</t>
  </si>
  <si>
    <t>G00463</t>
  </si>
  <si>
    <t>B001556</t>
  </si>
  <si>
    <t>B001557</t>
  </si>
  <si>
    <t>B001558</t>
  </si>
  <si>
    <t>B001559</t>
  </si>
  <si>
    <t>B001560</t>
  </si>
  <si>
    <t>B001561</t>
  </si>
  <si>
    <t>B001562</t>
  </si>
  <si>
    <t>B001563</t>
  </si>
  <si>
    <t>G00622</t>
  </si>
  <si>
    <t>B001564</t>
  </si>
  <si>
    <t>G00513</t>
  </si>
  <si>
    <t>B001565</t>
  </si>
  <si>
    <t>B001566</t>
  </si>
  <si>
    <t>B001567</t>
  </si>
  <si>
    <t>B001568</t>
  </si>
  <si>
    <t>B001569</t>
  </si>
  <si>
    <t>G00019</t>
  </si>
  <si>
    <t>B001570</t>
  </si>
  <si>
    <t>B001571</t>
  </si>
  <si>
    <t>B001572</t>
  </si>
  <si>
    <t>B001573</t>
  </si>
  <si>
    <t>G00052</t>
  </si>
  <si>
    <t>B001574</t>
  </si>
  <si>
    <t>B001575</t>
  </si>
  <si>
    <t>B001576</t>
  </si>
  <si>
    <t>B001577</t>
  </si>
  <si>
    <t>B001578</t>
  </si>
  <si>
    <t>B001579</t>
  </si>
  <si>
    <t>B001580</t>
  </si>
  <si>
    <t>B001581</t>
  </si>
  <si>
    <t>B001582</t>
  </si>
  <si>
    <t>B001583</t>
  </si>
  <si>
    <t>B001584</t>
  </si>
  <si>
    <t>B001585</t>
  </si>
  <si>
    <t>B001586</t>
  </si>
  <si>
    <t>B001587</t>
  </si>
  <si>
    <t>B001588</t>
  </si>
  <si>
    <t>B001589</t>
  </si>
  <si>
    <t>B001590</t>
  </si>
  <si>
    <t>B001591</t>
  </si>
  <si>
    <t>B001592</t>
  </si>
  <si>
    <t>B001593</t>
  </si>
  <si>
    <t>B001594</t>
  </si>
  <si>
    <t>B001595</t>
  </si>
  <si>
    <t>B001596</t>
  </si>
  <si>
    <t>B001597</t>
  </si>
  <si>
    <t>B001598</t>
  </si>
  <si>
    <t>B001599</t>
  </si>
  <si>
    <t>B001600</t>
  </si>
  <si>
    <t>G00364</t>
  </si>
  <si>
    <t>B001601</t>
  </si>
  <si>
    <t>B001602</t>
  </si>
  <si>
    <t>B001603</t>
  </si>
  <si>
    <t>B001604</t>
  </si>
  <si>
    <t>B001605</t>
  </si>
  <si>
    <t>B001606</t>
  </si>
  <si>
    <t>B001607</t>
  </si>
  <si>
    <t>B001608</t>
  </si>
  <si>
    <t>B001609</t>
  </si>
  <si>
    <t>B001610</t>
  </si>
  <si>
    <t>B001611</t>
  </si>
  <si>
    <t>B001612</t>
  </si>
  <si>
    <t>B001613</t>
  </si>
  <si>
    <t>B001614</t>
  </si>
  <si>
    <t>B001615</t>
  </si>
  <si>
    <t>B001616</t>
  </si>
  <si>
    <t>B001617</t>
  </si>
  <si>
    <t>B001618</t>
  </si>
  <si>
    <t>G00105</t>
  </si>
  <si>
    <t>B001619</t>
  </si>
  <si>
    <t>B001620</t>
  </si>
  <si>
    <t>B001621</t>
  </si>
  <si>
    <t>B001622</t>
  </si>
  <si>
    <t>B001623</t>
  </si>
  <si>
    <t>B001624</t>
  </si>
  <si>
    <t>B001625</t>
  </si>
  <si>
    <t>B001626</t>
  </si>
  <si>
    <t>B001627</t>
  </si>
  <si>
    <t>B001629</t>
  </si>
  <si>
    <t>B001630</t>
  </si>
  <si>
    <t>B001631</t>
  </si>
  <si>
    <t>B001632</t>
  </si>
  <si>
    <t>B001633</t>
  </si>
  <si>
    <t>B001634</t>
  </si>
  <si>
    <t>B001635</t>
  </si>
  <si>
    <t>B001636</t>
  </si>
  <si>
    <t>B001637</t>
  </si>
  <si>
    <t>B001638</t>
  </si>
  <si>
    <t>B001639</t>
  </si>
  <si>
    <t>B001640</t>
  </si>
  <si>
    <t>B001641</t>
  </si>
  <si>
    <t>B001642</t>
  </si>
  <si>
    <t>B001643</t>
  </si>
  <si>
    <t>B001644</t>
  </si>
  <si>
    <t>B001645</t>
  </si>
  <si>
    <t>B001646</t>
  </si>
  <si>
    <t>B001647</t>
  </si>
  <si>
    <t>B001648</t>
  </si>
  <si>
    <t>B001649</t>
  </si>
  <si>
    <t>B001650</t>
  </si>
  <si>
    <t>B001651</t>
  </si>
  <si>
    <t>B001652</t>
  </si>
  <si>
    <t>B001653</t>
  </si>
  <si>
    <t>B001654</t>
  </si>
  <si>
    <t>B001655</t>
  </si>
  <si>
    <t>B001656</t>
  </si>
  <si>
    <t>B001657</t>
  </si>
  <si>
    <t>B001658</t>
  </si>
  <si>
    <t>B001659</t>
  </si>
  <si>
    <t>B001660</t>
  </si>
  <si>
    <t>B001661</t>
  </si>
  <si>
    <t>B001662</t>
  </si>
  <si>
    <t>B001663</t>
  </si>
  <si>
    <t>B001664</t>
  </si>
  <si>
    <t>B001665</t>
  </si>
  <si>
    <t>B001666</t>
  </si>
  <si>
    <t>B001667</t>
  </si>
  <si>
    <t>B001668</t>
  </si>
  <si>
    <t>B001669</t>
  </si>
  <si>
    <t>B001670</t>
  </si>
  <si>
    <t>B001671</t>
  </si>
  <si>
    <t>B001672</t>
  </si>
  <si>
    <t>B001673</t>
  </si>
  <si>
    <t>B001674</t>
  </si>
  <si>
    <t>B001675</t>
  </si>
  <si>
    <t>B001676</t>
  </si>
  <si>
    <t>G00226</t>
  </si>
  <si>
    <t>B001677</t>
  </si>
  <si>
    <t>B001678</t>
  </si>
  <si>
    <t>B001679</t>
  </si>
  <si>
    <t>B001680</t>
  </si>
  <si>
    <t>B001681</t>
  </si>
  <si>
    <t>B001682</t>
  </si>
  <si>
    <t>B001683</t>
  </si>
  <si>
    <t>B001684</t>
  </si>
  <si>
    <t>B001685</t>
  </si>
  <si>
    <t>B001686</t>
  </si>
  <si>
    <t>G00467</t>
  </si>
  <si>
    <t>B001687</t>
  </si>
  <si>
    <t>B001688</t>
  </si>
  <si>
    <t>B001689</t>
  </si>
  <si>
    <t>B001690</t>
  </si>
  <si>
    <t>B001691</t>
  </si>
  <si>
    <t>B001692</t>
  </si>
  <si>
    <t>B001693</t>
  </si>
  <si>
    <t>B001694</t>
  </si>
  <si>
    <t>B001695</t>
  </si>
  <si>
    <t>B001696</t>
  </si>
  <si>
    <t>G00553</t>
  </si>
  <si>
    <t>B001697</t>
  </si>
  <si>
    <t>B001698</t>
  </si>
  <si>
    <t>B001699</t>
  </si>
  <si>
    <t>B001700</t>
  </si>
  <si>
    <t>B001701</t>
  </si>
  <si>
    <t>B001702</t>
  </si>
  <si>
    <t>B001703</t>
  </si>
  <si>
    <t>B001704</t>
  </si>
  <si>
    <t>B001705</t>
  </si>
  <si>
    <t>B001706</t>
  </si>
  <si>
    <t>B001707</t>
  </si>
  <si>
    <t>B001709</t>
  </si>
  <si>
    <t>B001710</t>
  </si>
  <si>
    <t>G00159</t>
  </si>
  <si>
    <t>B001711</t>
  </si>
  <si>
    <t>B001712</t>
  </si>
  <si>
    <t>B001713</t>
  </si>
  <si>
    <t>B001714</t>
  </si>
  <si>
    <t>B001715</t>
  </si>
  <si>
    <t>B001716</t>
  </si>
  <si>
    <t>B001718</t>
  </si>
  <si>
    <t>B001719</t>
  </si>
  <si>
    <t>B001720</t>
  </si>
  <si>
    <t>B001721</t>
  </si>
  <si>
    <t>B001722</t>
  </si>
  <si>
    <t>B001723</t>
  </si>
  <si>
    <t>B001724</t>
  </si>
  <si>
    <t>B001725</t>
  </si>
  <si>
    <t>G00006</t>
  </si>
  <si>
    <t>B001726</t>
  </si>
  <si>
    <t>G00245</t>
  </si>
  <si>
    <t>B001727</t>
  </si>
  <si>
    <t>B001728</t>
  </si>
  <si>
    <t>B001729</t>
  </si>
  <si>
    <t>B001730</t>
  </si>
  <si>
    <t>B001731</t>
  </si>
  <si>
    <t>B001732</t>
  </si>
  <si>
    <t>G00347</t>
  </si>
  <si>
    <t>B001733</t>
  </si>
  <si>
    <t>B001734</t>
  </si>
  <si>
    <t>B001735</t>
  </si>
  <si>
    <t>B001736</t>
  </si>
  <si>
    <t>B001737</t>
  </si>
  <si>
    <t>B001738</t>
  </si>
  <si>
    <t>B001739</t>
  </si>
  <si>
    <t>B001740</t>
  </si>
  <si>
    <t>B001741</t>
  </si>
  <si>
    <t>B001742</t>
  </si>
  <si>
    <t>B001743</t>
  </si>
  <si>
    <t>B001744</t>
  </si>
  <si>
    <t>B001745</t>
  </si>
  <si>
    <t>B001746</t>
  </si>
  <si>
    <t>B001747</t>
  </si>
  <si>
    <t>B001748</t>
  </si>
  <si>
    <t>B001749</t>
  </si>
  <si>
    <t>B001750</t>
  </si>
  <si>
    <t>B001751</t>
  </si>
  <si>
    <t>B001752</t>
  </si>
  <si>
    <t>B001753</t>
  </si>
  <si>
    <t>B001754</t>
  </si>
  <si>
    <t>B001755</t>
  </si>
  <si>
    <t>B001756</t>
  </si>
  <si>
    <t>B001757</t>
  </si>
  <si>
    <t>B001758</t>
  </si>
  <si>
    <t>G00248</t>
  </si>
  <si>
    <t>B001759</t>
  </si>
  <si>
    <t>B001760</t>
  </si>
  <si>
    <t>B001761</t>
  </si>
  <si>
    <t>B001762</t>
  </si>
  <si>
    <t>B001763</t>
  </si>
  <si>
    <t>B001764</t>
  </si>
  <si>
    <t>B001765</t>
  </si>
  <si>
    <t>B001766</t>
  </si>
  <si>
    <t>B001767</t>
  </si>
  <si>
    <t>B001768</t>
  </si>
  <si>
    <t>B001769</t>
  </si>
  <si>
    <t>B001770</t>
  </si>
  <si>
    <t>B001771</t>
  </si>
  <si>
    <t>B001772</t>
  </si>
  <si>
    <t>B001773</t>
  </si>
  <si>
    <t>B001774</t>
  </si>
  <si>
    <t>B001775</t>
  </si>
  <si>
    <t>B001776</t>
  </si>
  <si>
    <t>B001777</t>
  </si>
  <si>
    <t>B001778</t>
  </si>
  <si>
    <t>B001779</t>
  </si>
  <si>
    <t>B001780</t>
  </si>
  <si>
    <t>B001781</t>
  </si>
  <si>
    <t>B001782</t>
  </si>
  <si>
    <t>B001783</t>
  </si>
  <si>
    <t>B001784</t>
  </si>
  <si>
    <t>B001785</t>
  </si>
  <si>
    <t>B001786</t>
  </si>
  <si>
    <t>B001787</t>
  </si>
  <si>
    <t>B001788</t>
  </si>
  <si>
    <t>B001789</t>
  </si>
  <si>
    <t>B001790</t>
  </si>
  <si>
    <t>B001791</t>
  </si>
  <si>
    <t>B001792</t>
  </si>
  <si>
    <t>B001793</t>
  </si>
  <si>
    <t>B001794</t>
  </si>
  <si>
    <t>B001795</t>
  </si>
  <si>
    <t>B001796</t>
  </si>
  <si>
    <t>B001797</t>
  </si>
  <si>
    <t>B001798</t>
  </si>
  <si>
    <t>B001799</t>
  </si>
  <si>
    <t>B001800</t>
  </si>
  <si>
    <t>G00324</t>
  </si>
  <si>
    <t>Row Labels</t>
  </si>
  <si>
    <t>Grand Total</t>
  </si>
  <si>
    <t>Column Labels</t>
  </si>
  <si>
    <t>Count of booking_id</t>
  </si>
  <si>
    <t>Average of room_rate</t>
  </si>
  <si>
    <t>Metric</t>
  </si>
  <si>
    <t>Value</t>
  </si>
  <si>
    <t>Total Bookings</t>
  </si>
  <si>
    <t>Cancelled Bookings</t>
  </si>
  <si>
    <t>Overall Cancellation Rate</t>
  </si>
  <si>
    <t>Average Daily Rate (ADR)</t>
  </si>
  <si>
    <t>Median Daily Rate</t>
  </si>
  <si>
    <t>Standard Deviation of Daily Rate</t>
  </si>
  <si>
    <t>Average Lead Time (Days)</t>
  </si>
  <si>
    <t>Median Lead Time (Days)</t>
  </si>
  <si>
    <t>Standard Deviation of Lead Time</t>
  </si>
  <si>
    <t>StayNest Hospitality - Executive Booking &amp; Cancellation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</si>
</sst>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9" tint="-0.249977111117893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0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NumberFormat="1"/>
    <xf numFmtId="2" fontId="0" fillId="0" borderId="0" xfId="0" applyNumberFormat="1"/>
    <xf numFmtId="0" fontId="2" fillId="0" borderId="0" xfId="0" applyFont="1"/>
    <xf numFmtId="10" fontId="0" fillId="0" borderId="0" xfId="1" applyNumberFormat="1" applyFont="1"/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2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[Hotel_Booking_Analysis.xlsx]Cancellation_By_Channel!PivotTable1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Booking Status by Channel</a:t>
            </a:r>
            <a:endParaRPr lang="en-IN"/>
          </a:p>
        </c:rich>
      </c:tx>
      <c:layout>
        <c:manualLayout>
          <c:xMode val="edge"/>
          <c:yMode val="edge"/>
          <c:x val="0.28373600174978125"/>
          <c:y val="8.694225721784776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Cancellation_By_Channel!$B$3:$B$4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Cancellation_By_Channel!$A$5:$A$11</c:f>
              <c:strCache>
                <c:ptCount val="6"/>
                <c:pt idx="0">
                  <c:v>Call Center</c:v>
                </c:pt>
                <c:pt idx="1">
                  <c:v>Corporate</c:v>
                </c:pt>
                <c:pt idx="2">
                  <c:v>Mobile App</c:v>
                </c:pt>
                <c:pt idx="3">
                  <c:v>Online Travel Agent</c:v>
                </c:pt>
                <c:pt idx="4">
                  <c:v>Travel Agent</c:v>
                </c:pt>
                <c:pt idx="5">
                  <c:v>Website</c:v>
                </c:pt>
              </c:strCache>
            </c:strRef>
          </c:cat>
          <c:val>
            <c:numRef>
              <c:f>Cancellation_By_Channel!$B$5:$B$11</c:f>
              <c:numCache>
                <c:formatCode>0.00%</c:formatCode>
                <c:ptCount val="6"/>
                <c:pt idx="0">
                  <c:v>0.13402061855670103</c:v>
                </c:pt>
                <c:pt idx="1">
                  <c:v>0.1357142857142857</c:v>
                </c:pt>
                <c:pt idx="2">
                  <c:v>0.13836477987421383</c:v>
                </c:pt>
                <c:pt idx="3">
                  <c:v>0.33333333333333331</c:v>
                </c:pt>
                <c:pt idx="4">
                  <c:v>0.15333333333333332</c:v>
                </c:pt>
                <c:pt idx="5">
                  <c:v>0.12292358803986711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13-4A0F-B636-DBCC8A6A5DB3}"/>
            </c:ext>
          </c:extLst>
        </c:ser>
        <c:ser>
          <c:idx val="1"/>
          <c:order val="1"/>
          <c:tx>
            <c:strRef>
              <c:f>Cancellation_By_Channel!$C$3:$C$4</c:f>
              <c:strCache>
                <c:ptCount val="1"/>
                <c:pt idx="0">
                  <c:v>Checked-out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Cancellation_By_Channel!$A$5:$A$11</c:f>
              <c:strCache>
                <c:ptCount val="6"/>
                <c:pt idx="0">
                  <c:v>Call Center</c:v>
                </c:pt>
                <c:pt idx="1">
                  <c:v>Corporate</c:v>
                </c:pt>
                <c:pt idx="2">
                  <c:v>Mobile App</c:v>
                </c:pt>
                <c:pt idx="3">
                  <c:v>Online Travel Agent</c:v>
                </c:pt>
                <c:pt idx="4">
                  <c:v>Travel Agent</c:v>
                </c:pt>
                <c:pt idx="5">
                  <c:v>Website</c:v>
                </c:pt>
              </c:strCache>
            </c:strRef>
          </c:cat>
          <c:val>
            <c:numRef>
              <c:f>Cancellation_By_Channel!$C$5:$C$11</c:f>
              <c:numCache>
                <c:formatCode>0.00%</c:formatCode>
                <c:ptCount val="6"/>
                <c:pt idx="0">
                  <c:v>0.55670103092783507</c:v>
                </c:pt>
                <c:pt idx="1">
                  <c:v>0.57857142857142863</c:v>
                </c:pt>
                <c:pt idx="2">
                  <c:v>0.53144654088050314</c:v>
                </c:pt>
                <c:pt idx="3">
                  <c:v>0.4375</c:v>
                </c:pt>
                <c:pt idx="4">
                  <c:v>0.56000000000000005</c:v>
                </c:pt>
                <c:pt idx="5">
                  <c:v>0.60465116279069764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13-4A0F-B636-DBCC8A6A5DB3}"/>
            </c:ext>
          </c:extLst>
        </c:ser>
        <c:ser>
          <c:idx val="2"/>
          <c:order val="2"/>
          <c:tx>
            <c:strRef>
              <c:f>Cancellation_By_Channel!$D$3:$D$4</c:f>
              <c:strCache>
                <c:ptCount val="1"/>
                <c:pt idx="0">
                  <c:v>Confirmed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Cancellation_By_Channel!$A$5:$A$11</c:f>
              <c:strCache>
                <c:ptCount val="6"/>
                <c:pt idx="0">
                  <c:v>Call Center</c:v>
                </c:pt>
                <c:pt idx="1">
                  <c:v>Corporate</c:v>
                </c:pt>
                <c:pt idx="2">
                  <c:v>Mobile App</c:v>
                </c:pt>
                <c:pt idx="3">
                  <c:v>Online Travel Agent</c:v>
                </c:pt>
                <c:pt idx="4">
                  <c:v>Travel Agent</c:v>
                </c:pt>
                <c:pt idx="5">
                  <c:v>Website</c:v>
                </c:pt>
              </c:strCache>
            </c:strRef>
          </c:cat>
          <c:val>
            <c:numRef>
              <c:f>Cancellation_By_Channel!$D$5:$D$11</c:f>
              <c:numCache>
                <c:formatCode>0.00%</c:formatCode>
                <c:ptCount val="6"/>
                <c:pt idx="0">
                  <c:v>0.2611683848797251</c:v>
                </c:pt>
                <c:pt idx="1">
                  <c:v>0.23214285714285715</c:v>
                </c:pt>
                <c:pt idx="2">
                  <c:v>0.27044025157232704</c:v>
                </c:pt>
                <c:pt idx="3">
                  <c:v>0.19791666666666666</c:v>
                </c:pt>
                <c:pt idx="4">
                  <c:v>0.22666666666666666</c:v>
                </c:pt>
                <c:pt idx="5">
                  <c:v>0.21926910299003322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13-4A0F-B636-DBCC8A6A5DB3}"/>
            </c:ext>
          </c:extLst>
        </c:ser>
        <c:ser>
          <c:idx val="3"/>
          <c:order val="3"/>
          <c:tx>
            <c:strRef>
              <c:f>Cancellation_By_Channel!$E$3:$E$4</c:f>
              <c:strCache>
                <c:ptCount val="1"/>
                <c:pt idx="0">
                  <c:v>No-show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Cancellation_By_Channel!$A$5:$A$11</c:f>
              <c:strCache>
                <c:ptCount val="6"/>
                <c:pt idx="0">
                  <c:v>Call Center</c:v>
                </c:pt>
                <c:pt idx="1">
                  <c:v>Corporate</c:v>
                </c:pt>
                <c:pt idx="2">
                  <c:v>Mobile App</c:v>
                </c:pt>
                <c:pt idx="3">
                  <c:v>Online Travel Agent</c:v>
                </c:pt>
                <c:pt idx="4">
                  <c:v>Travel Agent</c:v>
                </c:pt>
                <c:pt idx="5">
                  <c:v>Website</c:v>
                </c:pt>
              </c:strCache>
            </c:strRef>
          </c:cat>
          <c:val>
            <c:numRef>
              <c:f>Cancellation_By_Channel!$E$5:$E$11</c:f>
              <c:numCache>
                <c:formatCode>0.00%</c:formatCode>
                <c:ptCount val="6"/>
                <c:pt idx="0">
                  <c:v>4.8109965635738834E-2</c:v>
                </c:pt>
                <c:pt idx="1">
                  <c:v>5.3571428571428568E-2</c:v>
                </c:pt>
                <c:pt idx="2">
                  <c:v>5.9748427672955975E-2</c:v>
                </c:pt>
                <c:pt idx="3">
                  <c:v>3.125E-2</c:v>
                </c:pt>
                <c:pt idx="4">
                  <c:v>0.06</c:v>
                </c:pt>
                <c:pt idx="5">
                  <c:v>5.3156146179401995E-2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13-4A0F-B636-DBCC8A6A5D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2047023"/>
        <c:axId val="676737231"/>
        <c:axId val="0"/>
      </c:bar3DChart>
      <c:catAx>
        <c:axId val="672047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737231"/>
        <c:crosses val="autoZero"/>
        <c:auto val="1"/>
        <c:lblAlgn val="ctr"/>
        <c:lblOffset val="100"/>
        <c:noMultiLvlLbl val="0"/>
      </c:catAx>
      <c:valAx>
        <c:axId val="67673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4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[Hotel_Booking_Analysis.xlsx]Lead-Time Analysis!PivotTable2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Cancellation Rate vs. Lead Time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'Lead-Time Analysis'!$B$3:$B$4</c:f>
              <c:strCache>
                <c:ptCount val="1"/>
                <c:pt idx="0">
                  <c:v>Cancelled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'Lead-Time Analysis'!$A$5:$A$14</c:f>
              <c:strCache>
                <c:ptCount val="9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30</c:v>
                </c:pt>
                <c:pt idx="5">
                  <c:v>60</c:v>
                </c:pt>
                <c:pt idx="6">
                  <c:v>100</c:v>
                </c:pt>
                <c:pt idx="7">
                  <c:v>150</c:v>
                </c:pt>
                <c:pt idx="8">
                  <c:v>220</c:v>
                </c:pt>
              </c:strCache>
            </c:strRef>
          </c:cat>
          <c:val>
            <c:numRef>
              <c:f>'Lead-Time Analysis'!$B$5:$B$14</c:f>
              <c:numCache>
                <c:formatCode>0.00%</c:formatCode>
                <c:ptCount val="9"/>
                <c:pt idx="0">
                  <c:v>0.13698630136986301</c:v>
                </c:pt>
                <c:pt idx="1">
                  <c:v>0.14906832298136646</c:v>
                </c:pt>
                <c:pt idx="2">
                  <c:v>0.13207547169811321</c:v>
                </c:pt>
                <c:pt idx="3">
                  <c:v>0.12837837837837837</c:v>
                </c:pt>
                <c:pt idx="4">
                  <c:v>0.10793650793650794</c:v>
                </c:pt>
                <c:pt idx="5">
                  <c:v>0.12267657992565056</c:v>
                </c:pt>
                <c:pt idx="6">
                  <c:v>0.36746987951807231</c:v>
                </c:pt>
                <c:pt idx="7">
                  <c:v>0.35849056603773582</c:v>
                </c:pt>
                <c:pt idx="8">
                  <c:v>0.31481481481481483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26A-4F37-9017-135EE71BA908}"/>
            </c:ext>
          </c:extLst>
        </c:ser>
        <c:ser>
          <c:idx val="1"/>
          <c:order val="1"/>
          <c:tx>
            <c:strRef>
              <c:f>'Lead-Time Analysis'!$C$3:$C$4</c:f>
              <c:strCache>
                <c:ptCount val="1"/>
                <c:pt idx="0">
                  <c:v>Checked-out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'Lead-Time Analysis'!$A$5:$A$14</c:f>
              <c:strCache>
                <c:ptCount val="9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30</c:v>
                </c:pt>
                <c:pt idx="5">
                  <c:v>60</c:v>
                </c:pt>
                <c:pt idx="6">
                  <c:v>100</c:v>
                </c:pt>
                <c:pt idx="7">
                  <c:v>150</c:v>
                </c:pt>
                <c:pt idx="8">
                  <c:v>220</c:v>
                </c:pt>
              </c:strCache>
            </c:strRef>
          </c:cat>
          <c:val>
            <c:numRef>
              <c:f>'Lead-Time Analysis'!$C$5:$C$14</c:f>
              <c:numCache>
                <c:formatCode>0.00%</c:formatCode>
                <c:ptCount val="9"/>
                <c:pt idx="0">
                  <c:v>0.5547945205479452</c:v>
                </c:pt>
                <c:pt idx="1">
                  <c:v>0.56521739130434778</c:v>
                </c:pt>
                <c:pt idx="2">
                  <c:v>0.58867924528301885</c:v>
                </c:pt>
                <c:pt idx="3">
                  <c:v>0.59797297297297303</c:v>
                </c:pt>
                <c:pt idx="4">
                  <c:v>0.58730158730158732</c:v>
                </c:pt>
                <c:pt idx="5">
                  <c:v>0.57620817843866168</c:v>
                </c:pt>
                <c:pt idx="6">
                  <c:v>0.34337349397590361</c:v>
                </c:pt>
                <c:pt idx="7">
                  <c:v>0.42452830188679247</c:v>
                </c:pt>
                <c:pt idx="8">
                  <c:v>0.40740740740740738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26A-4F37-9017-135EE71BA908}"/>
            </c:ext>
          </c:extLst>
        </c:ser>
        <c:ser>
          <c:idx val="2"/>
          <c:order val="2"/>
          <c:tx>
            <c:strRef>
              <c:f>'Lead-Time Analysis'!$D$3:$D$4</c:f>
              <c:strCache>
                <c:ptCount val="1"/>
                <c:pt idx="0">
                  <c:v>Confirmed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'Lead-Time Analysis'!$A$5:$A$14</c:f>
              <c:strCache>
                <c:ptCount val="9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30</c:v>
                </c:pt>
                <c:pt idx="5">
                  <c:v>60</c:v>
                </c:pt>
                <c:pt idx="6">
                  <c:v>100</c:v>
                </c:pt>
                <c:pt idx="7">
                  <c:v>150</c:v>
                </c:pt>
                <c:pt idx="8">
                  <c:v>220</c:v>
                </c:pt>
              </c:strCache>
            </c:strRef>
          </c:cat>
          <c:val>
            <c:numRef>
              <c:f>'Lead-Time Analysis'!$D$5:$D$14</c:f>
              <c:numCache>
                <c:formatCode>0.00%</c:formatCode>
                <c:ptCount val="9"/>
                <c:pt idx="0">
                  <c:v>0.23287671232876711</c:v>
                </c:pt>
                <c:pt idx="1">
                  <c:v>0.2236024844720497</c:v>
                </c:pt>
                <c:pt idx="2">
                  <c:v>0.22264150943396227</c:v>
                </c:pt>
                <c:pt idx="3">
                  <c:v>0.2195945945945946</c:v>
                </c:pt>
                <c:pt idx="4">
                  <c:v>0.26984126984126983</c:v>
                </c:pt>
                <c:pt idx="5">
                  <c:v>0.26394052044609667</c:v>
                </c:pt>
                <c:pt idx="6">
                  <c:v>0.22289156626506024</c:v>
                </c:pt>
                <c:pt idx="7">
                  <c:v>0.18867924528301888</c:v>
                </c:pt>
                <c:pt idx="8">
                  <c:v>0.20370370370370369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26A-4F37-9017-135EE71BA908}"/>
            </c:ext>
          </c:extLst>
        </c:ser>
        <c:ser>
          <c:idx val="3"/>
          <c:order val="3"/>
          <c:tx>
            <c:strRef>
              <c:f>'Lead-Time Analysis'!$E$3:$E$4</c:f>
              <c:strCache>
                <c:ptCount val="1"/>
                <c:pt idx="0">
                  <c:v>No-show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'Lead-Time Analysis'!$A$5:$A$14</c:f>
              <c:strCache>
                <c:ptCount val="9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30</c:v>
                </c:pt>
                <c:pt idx="5">
                  <c:v>60</c:v>
                </c:pt>
                <c:pt idx="6">
                  <c:v>100</c:v>
                </c:pt>
                <c:pt idx="7">
                  <c:v>150</c:v>
                </c:pt>
                <c:pt idx="8">
                  <c:v>220</c:v>
                </c:pt>
              </c:strCache>
            </c:strRef>
          </c:cat>
          <c:val>
            <c:numRef>
              <c:f>'Lead-Time Analysis'!$E$5:$E$14</c:f>
              <c:numCache>
                <c:formatCode>0.00%</c:formatCode>
                <c:ptCount val="9"/>
                <c:pt idx="0">
                  <c:v>7.5342465753424653E-2</c:v>
                </c:pt>
                <c:pt idx="1">
                  <c:v>6.2111801242236024E-2</c:v>
                </c:pt>
                <c:pt idx="2">
                  <c:v>5.6603773584905662E-2</c:v>
                </c:pt>
                <c:pt idx="3">
                  <c:v>5.4054054054054057E-2</c:v>
                </c:pt>
                <c:pt idx="4">
                  <c:v>3.4920634920634921E-2</c:v>
                </c:pt>
                <c:pt idx="5">
                  <c:v>3.717472118959108E-2</c:v>
                </c:pt>
                <c:pt idx="6">
                  <c:v>6.6265060240963861E-2</c:v>
                </c:pt>
                <c:pt idx="7">
                  <c:v>2.8301886792452831E-2</c:v>
                </c:pt>
                <c:pt idx="8">
                  <c:v>7.407407407407407E-2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26A-4F37-9017-135EE71BA9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47423"/>
        <c:axId val="676664271"/>
      </c:lineChart>
      <c:catAx>
        <c:axId val="21324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664271"/>
        <c:crosses val="autoZero"/>
        <c:auto val="1"/>
        <c:lblAlgn val="ctr"/>
        <c:lblOffset val="100"/>
        <c:noMultiLvlLbl val="0"/>
      </c:catAx>
      <c:valAx>
        <c:axId val="67666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4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[Hotel_Booking_Analysis.xlsx]Seasonal Occupancy!PivotTable3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Bookings &amp; Occupancy by Season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'Seasonal Occupancy'!$B$3:$B$4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'Seasonal Occupancy'!$A$5:$A$17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'Seasonal Occupancy'!$B$5:$B$17</c:f>
              <c:numCache>
                <c:formatCode>0.00%</c:formatCode>
                <c:ptCount val="12"/>
                <c:pt idx="0">
                  <c:v>0.1440677966101695</c:v>
                </c:pt>
                <c:pt idx="1">
                  <c:v>0.19607843137254902</c:v>
                </c:pt>
                <c:pt idx="2">
                  <c:v>0.19108280254777071</c:v>
                </c:pt>
                <c:pt idx="3">
                  <c:v>0.1761006289308176</c:v>
                </c:pt>
                <c:pt idx="4">
                  <c:v>0.19767441860465115</c:v>
                </c:pt>
                <c:pt idx="5">
                  <c:v>0.17322834645669291</c:v>
                </c:pt>
                <c:pt idx="6">
                  <c:v>0.13157894736842105</c:v>
                </c:pt>
                <c:pt idx="7">
                  <c:v>9.8765432098765427E-2</c:v>
                </c:pt>
                <c:pt idx="8">
                  <c:v>0.22857142857142856</c:v>
                </c:pt>
                <c:pt idx="9">
                  <c:v>0.16455696202531644</c:v>
                </c:pt>
                <c:pt idx="10">
                  <c:v>0.14743589743589744</c:v>
                </c:pt>
                <c:pt idx="11">
                  <c:v>0.17741935483870969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91-48D5-BCAE-74337CB74E91}"/>
            </c:ext>
          </c:extLst>
        </c:ser>
        <c:ser>
          <c:idx val="1"/>
          <c:order val="1"/>
          <c:tx>
            <c:strRef>
              <c:f>'Seasonal Occupancy'!$C$3:$C$4</c:f>
              <c:strCache>
                <c:ptCount val="1"/>
                <c:pt idx="0">
                  <c:v>Checked-out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'Seasonal Occupancy'!$A$5:$A$17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'Seasonal Occupancy'!$C$5:$C$17</c:f>
              <c:numCache>
                <c:formatCode>0.00%</c:formatCode>
                <c:ptCount val="12"/>
                <c:pt idx="0">
                  <c:v>0.5423728813559322</c:v>
                </c:pt>
                <c:pt idx="1">
                  <c:v>0.52287581699346408</c:v>
                </c:pt>
                <c:pt idx="2">
                  <c:v>0.52229299363057324</c:v>
                </c:pt>
                <c:pt idx="3">
                  <c:v>0.55345911949685533</c:v>
                </c:pt>
                <c:pt idx="4">
                  <c:v>0.54069767441860461</c:v>
                </c:pt>
                <c:pt idx="5">
                  <c:v>0.51181102362204722</c:v>
                </c:pt>
                <c:pt idx="6">
                  <c:v>0.58552631578947367</c:v>
                </c:pt>
                <c:pt idx="7">
                  <c:v>0.59876543209876543</c:v>
                </c:pt>
                <c:pt idx="8">
                  <c:v>0.44285714285714284</c:v>
                </c:pt>
                <c:pt idx="9">
                  <c:v>0.59493670886075944</c:v>
                </c:pt>
                <c:pt idx="10">
                  <c:v>0.55128205128205132</c:v>
                </c:pt>
                <c:pt idx="11">
                  <c:v>0.55645161290322576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91-48D5-BCAE-74337CB74E91}"/>
            </c:ext>
          </c:extLst>
        </c:ser>
        <c:ser>
          <c:idx val="2"/>
          <c:order val="2"/>
          <c:tx>
            <c:strRef>
              <c:f>'Seasonal Occupancy'!$D$3:$D$4</c:f>
              <c:strCache>
                <c:ptCount val="1"/>
                <c:pt idx="0">
                  <c:v>Confirmed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'Seasonal Occupancy'!$A$5:$A$17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'Seasonal Occupancy'!$D$5:$D$17</c:f>
              <c:numCache>
                <c:formatCode>0.00%</c:formatCode>
                <c:ptCount val="12"/>
                <c:pt idx="0">
                  <c:v>0.25423728813559321</c:v>
                </c:pt>
                <c:pt idx="1">
                  <c:v>0.22222222222222221</c:v>
                </c:pt>
                <c:pt idx="2">
                  <c:v>0.24203821656050956</c:v>
                </c:pt>
                <c:pt idx="3">
                  <c:v>0.23270440251572327</c:v>
                </c:pt>
                <c:pt idx="4">
                  <c:v>0.25</c:v>
                </c:pt>
                <c:pt idx="5">
                  <c:v>0.28346456692913385</c:v>
                </c:pt>
                <c:pt idx="6">
                  <c:v>0.20394736842105263</c:v>
                </c:pt>
                <c:pt idx="7">
                  <c:v>0.24074074074074073</c:v>
                </c:pt>
                <c:pt idx="8">
                  <c:v>0.27857142857142858</c:v>
                </c:pt>
                <c:pt idx="9">
                  <c:v>0.19620253164556961</c:v>
                </c:pt>
                <c:pt idx="10">
                  <c:v>0.20512820512820512</c:v>
                </c:pt>
                <c:pt idx="11">
                  <c:v>0.22580645161290322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91-48D5-BCAE-74337CB74E91}"/>
            </c:ext>
          </c:extLst>
        </c:ser>
        <c:ser>
          <c:idx val="3"/>
          <c:order val="3"/>
          <c:tx>
            <c:strRef>
              <c:f>'Seasonal Occupancy'!$E$3:$E$4</c:f>
              <c:strCache>
                <c:ptCount val="1"/>
                <c:pt idx="0">
                  <c:v>No-show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'Seasonal Occupancy'!$A$5:$A$17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'Seasonal Occupancy'!$E$5:$E$17</c:f>
              <c:numCache>
                <c:formatCode>0.00%</c:formatCode>
                <c:ptCount val="12"/>
                <c:pt idx="0">
                  <c:v>5.9322033898305086E-2</c:v>
                </c:pt>
                <c:pt idx="1">
                  <c:v>5.8823529411764705E-2</c:v>
                </c:pt>
                <c:pt idx="2">
                  <c:v>4.4585987261146494E-2</c:v>
                </c:pt>
                <c:pt idx="3">
                  <c:v>3.7735849056603772E-2</c:v>
                </c:pt>
                <c:pt idx="4">
                  <c:v>1.1627906976744186E-2</c:v>
                </c:pt>
                <c:pt idx="5">
                  <c:v>3.1496062992125984E-2</c:v>
                </c:pt>
                <c:pt idx="6">
                  <c:v>7.8947368421052627E-2</c:v>
                </c:pt>
                <c:pt idx="7">
                  <c:v>6.1728395061728392E-2</c:v>
                </c:pt>
                <c:pt idx="8">
                  <c:v>0.05</c:v>
                </c:pt>
                <c:pt idx="9">
                  <c:v>4.4303797468354431E-2</c:v>
                </c:pt>
                <c:pt idx="10">
                  <c:v>9.6153846153846159E-2</c:v>
                </c:pt>
                <c:pt idx="11">
                  <c:v>4.0322580645161289E-2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91-48D5-BCAE-74337CB74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261807"/>
        <c:axId val="676721871"/>
      </c:barChart>
      <c:catAx>
        <c:axId val="21326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721871"/>
        <c:crosses val="autoZero"/>
        <c:auto val="1"/>
        <c:lblAlgn val="ctr"/>
        <c:lblOffset val="100"/>
        <c:noMultiLvlLbl val="0"/>
      </c:catAx>
      <c:valAx>
        <c:axId val="67672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6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[Hotel_Booking_Analysis.xlsx]Guest-Type Comparison!PivotTable2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Cancellation by Guest Type &amp; Repeat Status</a:t>
            </a:r>
            <a:endParaRPr lang="en-IN"/>
          </a:p>
        </c:rich>
      </c:tx>
      <c:layout>
        <c:manualLayout>
          <c:xMode val="edge"/>
          <c:yMode val="edge"/>
          <c:x val="0.1504166666666667"/>
          <c:y val="0.201662292213473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'Guest-Type Comparison'!$B$3:$B$4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'Guest-Type Comparison'!$A$5:$A$9</c:f>
              <c:strCache>
                <c:ptCount val="4"/>
                <c:pt idx="0">
                  <c:v>Business</c:v>
                </c:pt>
                <c:pt idx="1">
                  <c:v>Couple</c:v>
                </c:pt>
                <c:pt idx="2">
                  <c:v>Family</c:v>
                </c:pt>
                <c:pt idx="3">
                  <c:v>Leisure</c:v>
                </c:pt>
              </c:strCache>
            </c:strRef>
          </c:cat>
          <c:val>
            <c:numRef>
              <c:f>'Guest-Type Comparison'!$B$5:$B$9</c:f>
              <c:numCache>
                <c:formatCode>0.00%</c:formatCode>
                <c:ptCount val="4"/>
                <c:pt idx="0">
                  <c:v>0.810126582278481</c:v>
                </c:pt>
                <c:pt idx="1">
                  <c:v>0.85185185185185186</c:v>
                </c:pt>
                <c:pt idx="2">
                  <c:v>0.875</c:v>
                </c:pt>
                <c:pt idx="3">
                  <c:v>0.82524271844660191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AE-432B-B0AD-BB41DE858E3D}"/>
            </c:ext>
          </c:extLst>
        </c:ser>
        <c:ser>
          <c:idx val="1"/>
          <c:order val="1"/>
          <c:tx>
            <c:strRef>
              <c:f>'Guest-Type Comparison'!$C$3:$C$4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'Guest-Type Comparison'!$A$5:$A$9</c:f>
              <c:strCache>
                <c:ptCount val="4"/>
                <c:pt idx="0">
                  <c:v>Business</c:v>
                </c:pt>
                <c:pt idx="1">
                  <c:v>Couple</c:v>
                </c:pt>
                <c:pt idx="2">
                  <c:v>Family</c:v>
                </c:pt>
                <c:pt idx="3">
                  <c:v>Leisure</c:v>
                </c:pt>
              </c:strCache>
            </c:strRef>
          </c:cat>
          <c:val>
            <c:numRef>
              <c:f>'Guest-Type Comparison'!$C$5:$C$9</c:f>
              <c:numCache>
                <c:formatCode>0.00%</c:formatCode>
                <c:ptCount val="4"/>
                <c:pt idx="0">
                  <c:v>0.189873417721519</c:v>
                </c:pt>
                <c:pt idx="1">
                  <c:v>0.14814814814814814</c:v>
                </c:pt>
                <c:pt idx="2">
                  <c:v>0.125</c:v>
                </c:pt>
                <c:pt idx="3">
                  <c:v>0.17475728155339806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AE-432B-B0AD-BB41DE858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2803487"/>
        <c:axId val="1669454191"/>
      </c:barChart>
      <c:catAx>
        <c:axId val="188280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454191"/>
        <c:crosses val="autoZero"/>
        <c:auto val="1"/>
        <c:lblAlgn val="ctr"/>
        <c:lblOffset val="100"/>
        <c:noMultiLvlLbl val="0"/>
      </c:catAx>
      <c:valAx>
        <c:axId val="166945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80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[Hotel_Booking_Analysis.xlsx]Room Performance!PivotTable3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Room Type Performance</a:t>
            </a:r>
            <a:endParaRPr lang="en-IN"/>
          </a:p>
        </c:rich>
      </c:tx>
      <c:layout>
        <c:manualLayout>
          <c:xMode val="edge"/>
          <c:yMode val="edge"/>
          <c:x val="0.31049300087489062"/>
          <c:y val="0.123979294254884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'Room Performance'!$B$3</c:f>
              <c:strCache>
                <c:ptCount val="1"/>
                <c:pt idx="0">
                  <c:v>Count of booking_id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'Room Performance'!$A$4:$A$8</c:f>
              <c:strCache>
                <c:ptCount val="4"/>
                <c:pt idx="0">
                  <c:v>Deluxe</c:v>
                </c:pt>
                <c:pt idx="1">
                  <c:v>Family</c:v>
                </c:pt>
                <c:pt idx="2">
                  <c:v>Standard</c:v>
                </c:pt>
                <c:pt idx="3">
                  <c:v>Suite</c:v>
                </c:pt>
              </c:strCache>
            </c:strRef>
          </c:cat>
          <c:val>
            <c:numRef>
              <c:f>'Room Performance'!$B$4:$B$8</c:f>
              <c:numCache>
                <c:formatCode>General</c:formatCode>
                <c:ptCount val="4"/>
                <c:pt idx="0">
                  <c:v>445</c:v>
                </c:pt>
                <c:pt idx="1">
                  <c:v>469</c:v>
                </c:pt>
                <c:pt idx="2">
                  <c:v>437</c:v>
                </c:pt>
                <c:pt idx="3">
                  <c:v>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6-4837-AE4E-E2817923D4BE}"/>
            </c:ext>
          </c:extLst>
        </c:ser>
        <c:ser>
          <c:idx val="1"/>
          <c:order val="1"/>
          <c:tx>
            <c:strRef>
              <c:f>'Room Performance'!$C$3</c:f>
              <c:strCache>
                <c:ptCount val="1"/>
                <c:pt idx="0">
                  <c:v>Average of room_rate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'Room Performance'!$A$4:$A$8</c:f>
              <c:strCache>
                <c:ptCount val="4"/>
                <c:pt idx="0">
                  <c:v>Deluxe</c:v>
                </c:pt>
                <c:pt idx="1">
                  <c:v>Family</c:v>
                </c:pt>
                <c:pt idx="2">
                  <c:v>Standard</c:v>
                </c:pt>
                <c:pt idx="3">
                  <c:v>Suite</c:v>
                </c:pt>
              </c:strCache>
            </c:strRef>
          </c:cat>
          <c:val>
            <c:numRef>
              <c:f>'Room Performance'!$C$4:$C$8</c:f>
              <c:numCache>
                <c:formatCode>0.00</c:formatCode>
                <c:ptCount val="4"/>
                <c:pt idx="0">
                  <c:v>5111.5011235955053</c:v>
                </c:pt>
                <c:pt idx="1">
                  <c:v>7548.963752665245</c:v>
                </c:pt>
                <c:pt idx="2">
                  <c:v>3453.1967963386728</c:v>
                </c:pt>
                <c:pt idx="3">
                  <c:v>9685.8829039812645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786-4837-AE4E-E2817923D4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2732031"/>
        <c:axId val="593581167"/>
      </c:barChart>
      <c:catAx>
        <c:axId val="188273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581167"/>
        <c:crosses val="autoZero"/>
        <c:auto val="1"/>
        <c:lblAlgn val="ctr"/>
        <c:lblOffset val="100"/>
        <c:noMultiLvlLbl val="0"/>
      </c:catAx>
      <c:valAx>
        <c:axId val="59358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73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[Hotel_Booking_Analysis.xlsx]Event Impact!PivotTable4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Impact of Events on Demand &amp; Rates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'Event Impact'!$B$3</c:f>
              <c:strCache>
                <c:ptCount val="1"/>
                <c:pt idx="0">
                  <c:v>Count of booking_id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'Event Impact'!$A$4:$A$7</c:f>
              <c:strCache>
                <c:ptCount val="3"/>
                <c:pt idx="0">
                  <c:v>No</c:v>
                </c:pt>
                <c:pt idx="1">
                  <c:v>Unknown</c:v>
                </c:pt>
                <c:pt idx="2">
                  <c:v>Yes</c:v>
                </c:pt>
              </c:strCache>
            </c:strRef>
          </c:cat>
          <c:val>
            <c:numRef>
              <c:f>'Event Impact'!$B$4:$B$7</c:f>
              <c:numCache>
                <c:formatCode>General</c:formatCode>
                <c:ptCount val="3"/>
                <c:pt idx="0">
                  <c:v>1694</c:v>
                </c:pt>
                <c:pt idx="1">
                  <c:v>69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DD3-4FB7-97CB-C10275080A01}"/>
            </c:ext>
          </c:extLst>
        </c:ser>
        <c:ser>
          <c:idx val="1"/>
          <c:order val="1"/>
          <c:tx>
            <c:strRef>
              <c:f>'Event Impact'!$C$3</c:f>
              <c:strCache>
                <c:ptCount val="1"/>
                <c:pt idx="0">
                  <c:v>Average of room_rate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'Event Impact'!$A$4:$A$7</c:f>
              <c:strCache>
                <c:ptCount val="3"/>
                <c:pt idx="0">
                  <c:v>No</c:v>
                </c:pt>
                <c:pt idx="1">
                  <c:v>Unknown</c:v>
                </c:pt>
                <c:pt idx="2">
                  <c:v>Yes</c:v>
                </c:pt>
              </c:strCache>
            </c:strRef>
          </c:cat>
          <c:val>
            <c:numRef>
              <c:f>'Event Impact'!$C$4:$C$7</c:f>
              <c:numCache>
                <c:formatCode>0.00</c:formatCode>
                <c:ptCount val="3"/>
                <c:pt idx="0">
                  <c:v>6491.4533648170009</c:v>
                </c:pt>
                <c:pt idx="1">
                  <c:v>5609.159420289855</c:v>
                </c:pt>
                <c:pt idx="2">
                  <c:v>5096.4666666666662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DD3-4FB7-97CB-C10275080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2797455"/>
        <c:axId val="593623407"/>
      </c:barChart>
      <c:catAx>
        <c:axId val="188279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623407"/>
        <c:crosses val="autoZero"/>
        <c:auto val="1"/>
        <c:lblAlgn val="ctr"/>
        <c:lblOffset val="100"/>
        <c:noMultiLvlLbl val="0"/>
      </c:catAx>
      <c:valAx>
        <c:axId val="59362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79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[Hotel_Booking_Analysis.xlsx]Cancellation_By_Channel!PivotTable1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Booking Status by Channel</a:t>
            </a:r>
            <a:endParaRPr lang="en-IN"/>
          </a:p>
        </c:rich>
      </c:tx>
      <c:layout>
        <c:manualLayout>
          <c:xMode val="edge"/>
          <c:yMode val="edge"/>
          <c:x val="0.24835849863149126"/>
          <c:y val="7.00876615563199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percentStacked"/>
        <c:varyColors val="0"/>
        <c:ser>
          <c:idx val="0"/>
          <c:order val="0"/>
          <c:tx>
            <c:strRef>
              <c:f>Cancellation_By_Channel!$B$3:$B$4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Cancellation_By_Channel!$A$5:$A$11</c:f>
              <c:strCache>
                <c:ptCount val="6"/>
                <c:pt idx="0">
                  <c:v>Call Center</c:v>
                </c:pt>
                <c:pt idx="1">
                  <c:v>Corporate</c:v>
                </c:pt>
                <c:pt idx="2">
                  <c:v>Mobile App</c:v>
                </c:pt>
                <c:pt idx="3">
                  <c:v>Online Travel Agent</c:v>
                </c:pt>
                <c:pt idx="4">
                  <c:v>Travel Agent</c:v>
                </c:pt>
                <c:pt idx="5">
                  <c:v>Website</c:v>
                </c:pt>
              </c:strCache>
            </c:strRef>
          </c:cat>
          <c:val>
            <c:numRef>
              <c:f>Cancellation_By_Channel!$B$5:$B$11</c:f>
              <c:numCache>
                <c:formatCode>0.00%</c:formatCode>
                <c:ptCount val="6"/>
                <c:pt idx="0">
                  <c:v>0.13402061855670103</c:v>
                </c:pt>
                <c:pt idx="1">
                  <c:v>0.1357142857142857</c:v>
                </c:pt>
                <c:pt idx="2">
                  <c:v>0.13836477987421383</c:v>
                </c:pt>
                <c:pt idx="3">
                  <c:v>0.33333333333333331</c:v>
                </c:pt>
                <c:pt idx="4">
                  <c:v>0.15333333333333332</c:v>
                </c:pt>
                <c:pt idx="5">
                  <c:v>0.12292358803986711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00-42F3-BC86-E3EA5C030C64}"/>
            </c:ext>
          </c:extLst>
        </c:ser>
        <c:ser>
          <c:idx val="1"/>
          <c:order val="1"/>
          <c:tx>
            <c:strRef>
              <c:f>Cancellation_By_Channel!$C$3:$C$4</c:f>
              <c:strCache>
                <c:ptCount val="1"/>
                <c:pt idx="0">
                  <c:v>Checked-out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Cancellation_By_Channel!$A$5:$A$11</c:f>
              <c:strCache>
                <c:ptCount val="6"/>
                <c:pt idx="0">
                  <c:v>Call Center</c:v>
                </c:pt>
                <c:pt idx="1">
                  <c:v>Corporate</c:v>
                </c:pt>
                <c:pt idx="2">
                  <c:v>Mobile App</c:v>
                </c:pt>
                <c:pt idx="3">
                  <c:v>Online Travel Agent</c:v>
                </c:pt>
                <c:pt idx="4">
                  <c:v>Travel Agent</c:v>
                </c:pt>
                <c:pt idx="5">
                  <c:v>Website</c:v>
                </c:pt>
              </c:strCache>
            </c:strRef>
          </c:cat>
          <c:val>
            <c:numRef>
              <c:f>Cancellation_By_Channel!$C$5:$C$11</c:f>
              <c:numCache>
                <c:formatCode>0.00%</c:formatCode>
                <c:ptCount val="6"/>
                <c:pt idx="0">
                  <c:v>0.55670103092783507</c:v>
                </c:pt>
                <c:pt idx="1">
                  <c:v>0.57857142857142863</c:v>
                </c:pt>
                <c:pt idx="2">
                  <c:v>0.53144654088050314</c:v>
                </c:pt>
                <c:pt idx="3">
                  <c:v>0.4375</c:v>
                </c:pt>
                <c:pt idx="4">
                  <c:v>0.56000000000000005</c:v>
                </c:pt>
                <c:pt idx="5">
                  <c:v>0.60465116279069764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00-42F3-BC86-E3EA5C030C64}"/>
            </c:ext>
          </c:extLst>
        </c:ser>
        <c:ser>
          <c:idx val="2"/>
          <c:order val="2"/>
          <c:tx>
            <c:strRef>
              <c:f>Cancellation_By_Channel!$D$3:$D$4</c:f>
              <c:strCache>
                <c:ptCount val="1"/>
                <c:pt idx="0">
                  <c:v>Confirmed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Cancellation_By_Channel!$A$5:$A$11</c:f>
              <c:strCache>
                <c:ptCount val="6"/>
                <c:pt idx="0">
                  <c:v>Call Center</c:v>
                </c:pt>
                <c:pt idx="1">
                  <c:v>Corporate</c:v>
                </c:pt>
                <c:pt idx="2">
                  <c:v>Mobile App</c:v>
                </c:pt>
                <c:pt idx="3">
                  <c:v>Online Travel Agent</c:v>
                </c:pt>
                <c:pt idx="4">
                  <c:v>Travel Agent</c:v>
                </c:pt>
                <c:pt idx="5">
                  <c:v>Website</c:v>
                </c:pt>
              </c:strCache>
            </c:strRef>
          </c:cat>
          <c:val>
            <c:numRef>
              <c:f>Cancellation_By_Channel!$D$5:$D$11</c:f>
              <c:numCache>
                <c:formatCode>0.00%</c:formatCode>
                <c:ptCount val="6"/>
                <c:pt idx="0">
                  <c:v>0.2611683848797251</c:v>
                </c:pt>
                <c:pt idx="1">
                  <c:v>0.23214285714285715</c:v>
                </c:pt>
                <c:pt idx="2">
                  <c:v>0.27044025157232704</c:v>
                </c:pt>
                <c:pt idx="3">
                  <c:v>0.19791666666666666</c:v>
                </c:pt>
                <c:pt idx="4">
                  <c:v>0.22666666666666666</c:v>
                </c:pt>
                <c:pt idx="5">
                  <c:v>0.21926910299003322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C00-42F3-BC86-E3EA5C030C64}"/>
            </c:ext>
          </c:extLst>
        </c:ser>
        <c:ser>
          <c:idx val="3"/>
          <c:order val="3"/>
          <c:tx>
            <c:strRef>
              <c:f>Cancellation_By_Channel!$E$3:$E$4</c:f>
              <c:strCache>
                <c:ptCount val="1"/>
                <c:pt idx="0">
                  <c:v>No-show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Cancellation_By_Channel!$A$5:$A$11</c:f>
              <c:strCache>
                <c:ptCount val="6"/>
                <c:pt idx="0">
                  <c:v>Call Center</c:v>
                </c:pt>
                <c:pt idx="1">
                  <c:v>Corporate</c:v>
                </c:pt>
                <c:pt idx="2">
                  <c:v>Mobile App</c:v>
                </c:pt>
                <c:pt idx="3">
                  <c:v>Online Travel Agent</c:v>
                </c:pt>
                <c:pt idx="4">
                  <c:v>Travel Agent</c:v>
                </c:pt>
                <c:pt idx="5">
                  <c:v>Website</c:v>
                </c:pt>
              </c:strCache>
            </c:strRef>
          </c:cat>
          <c:val>
            <c:numRef>
              <c:f>Cancellation_By_Channel!$E$5:$E$11</c:f>
              <c:numCache>
                <c:formatCode>0.00%</c:formatCode>
                <c:ptCount val="6"/>
                <c:pt idx="0">
                  <c:v>4.8109965635738834E-2</c:v>
                </c:pt>
                <c:pt idx="1">
                  <c:v>5.3571428571428568E-2</c:v>
                </c:pt>
                <c:pt idx="2">
                  <c:v>5.9748427672955975E-2</c:v>
                </c:pt>
                <c:pt idx="3">
                  <c:v>3.125E-2</c:v>
                </c:pt>
                <c:pt idx="4">
                  <c:v>0.06</c:v>
                </c:pt>
                <c:pt idx="5">
                  <c:v>5.3156146179401995E-2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C00-42F3-BC86-E3EA5C030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72047023"/>
        <c:axId val="676737231"/>
        <c:axId val="0"/>
      </c:bar3DChart>
      <c:catAx>
        <c:axId val="67204702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737231"/>
        <c:crosses val="autoZero"/>
        <c:auto val="1"/>
        <c:lblAlgn val="ctr"/>
        <c:lblOffset val="100"/>
        <c:noMultiLvlLbl val="0"/>
      </c:catAx>
      <c:valAx>
        <c:axId val="6767372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04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[Hotel_Booking_Analysis.xlsx]Lead-Time Analysis!PivotTable2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Cancellation Rate vs. Lead Time</a:t>
            </a:r>
            <a:endParaRPr lang="en-IN"/>
          </a:p>
        </c:rich>
      </c:tx>
      <c:layout>
        <c:manualLayout>
          <c:xMode val="edge"/>
          <c:yMode val="edge"/>
          <c:x val="0.22559576620902613"/>
          <c:y val="4.44955968628852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3"/>
            </a:solidFill>
            <a:ln w="9525">
              <a:solidFill>
                <a:schemeClr val="accent3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4"/>
            </a:solidFill>
            <a:ln w="9525">
              <a:solidFill>
                <a:schemeClr val="accent4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'Lead-Time Analysis'!$B$3:$B$4</c:f>
              <c:strCache>
                <c:ptCount val="1"/>
                <c:pt idx="0">
                  <c:v>Cancelled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'Lead-Time Analysis'!$A$5:$A$14</c:f>
              <c:strCache>
                <c:ptCount val="9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30</c:v>
                </c:pt>
                <c:pt idx="5">
                  <c:v>60</c:v>
                </c:pt>
                <c:pt idx="6">
                  <c:v>100</c:v>
                </c:pt>
                <c:pt idx="7">
                  <c:v>150</c:v>
                </c:pt>
                <c:pt idx="8">
                  <c:v>220</c:v>
                </c:pt>
              </c:strCache>
            </c:strRef>
          </c:cat>
          <c:val>
            <c:numRef>
              <c:f>'Lead-Time Analysis'!$B$5:$B$14</c:f>
              <c:numCache>
                <c:formatCode>0.00%</c:formatCode>
                <c:ptCount val="9"/>
                <c:pt idx="0">
                  <c:v>0.13698630136986301</c:v>
                </c:pt>
                <c:pt idx="1">
                  <c:v>0.14906832298136646</c:v>
                </c:pt>
                <c:pt idx="2">
                  <c:v>0.13207547169811321</c:v>
                </c:pt>
                <c:pt idx="3">
                  <c:v>0.12837837837837837</c:v>
                </c:pt>
                <c:pt idx="4">
                  <c:v>0.10793650793650794</c:v>
                </c:pt>
                <c:pt idx="5">
                  <c:v>0.12267657992565056</c:v>
                </c:pt>
                <c:pt idx="6">
                  <c:v>0.36746987951807231</c:v>
                </c:pt>
                <c:pt idx="7">
                  <c:v>0.35849056603773582</c:v>
                </c:pt>
                <c:pt idx="8">
                  <c:v>0.31481481481481483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E8-4BA8-BB95-96A94509BA93}"/>
            </c:ext>
          </c:extLst>
        </c:ser>
        <c:ser>
          <c:idx val="1"/>
          <c:order val="1"/>
          <c:tx>
            <c:strRef>
              <c:f>'Lead-Time Analysis'!$C$3:$C$4</c:f>
              <c:strCache>
                <c:ptCount val="1"/>
                <c:pt idx="0">
                  <c:v>Checked-out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'Lead-Time Analysis'!$A$5:$A$14</c:f>
              <c:strCache>
                <c:ptCount val="9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30</c:v>
                </c:pt>
                <c:pt idx="5">
                  <c:v>60</c:v>
                </c:pt>
                <c:pt idx="6">
                  <c:v>100</c:v>
                </c:pt>
                <c:pt idx="7">
                  <c:v>150</c:v>
                </c:pt>
                <c:pt idx="8">
                  <c:v>220</c:v>
                </c:pt>
              </c:strCache>
            </c:strRef>
          </c:cat>
          <c:val>
            <c:numRef>
              <c:f>'Lead-Time Analysis'!$C$5:$C$14</c:f>
              <c:numCache>
                <c:formatCode>0.00%</c:formatCode>
                <c:ptCount val="9"/>
                <c:pt idx="0">
                  <c:v>0.5547945205479452</c:v>
                </c:pt>
                <c:pt idx="1">
                  <c:v>0.56521739130434778</c:v>
                </c:pt>
                <c:pt idx="2">
                  <c:v>0.58867924528301885</c:v>
                </c:pt>
                <c:pt idx="3">
                  <c:v>0.59797297297297303</c:v>
                </c:pt>
                <c:pt idx="4">
                  <c:v>0.58730158730158732</c:v>
                </c:pt>
                <c:pt idx="5">
                  <c:v>0.57620817843866168</c:v>
                </c:pt>
                <c:pt idx="6">
                  <c:v>0.34337349397590361</c:v>
                </c:pt>
                <c:pt idx="7">
                  <c:v>0.42452830188679247</c:v>
                </c:pt>
                <c:pt idx="8">
                  <c:v>0.40740740740740738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0E8-4BA8-BB95-96A94509BA93}"/>
            </c:ext>
          </c:extLst>
        </c:ser>
        <c:ser>
          <c:idx val="2"/>
          <c:order val="2"/>
          <c:tx>
            <c:strRef>
              <c:f>'Lead-Time Analysis'!$D$3:$D$4</c:f>
              <c:strCache>
                <c:ptCount val="1"/>
                <c:pt idx="0">
                  <c:v>Confirmed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'Lead-Time Analysis'!$A$5:$A$14</c:f>
              <c:strCache>
                <c:ptCount val="9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30</c:v>
                </c:pt>
                <c:pt idx="5">
                  <c:v>60</c:v>
                </c:pt>
                <c:pt idx="6">
                  <c:v>100</c:v>
                </c:pt>
                <c:pt idx="7">
                  <c:v>150</c:v>
                </c:pt>
                <c:pt idx="8">
                  <c:v>220</c:v>
                </c:pt>
              </c:strCache>
            </c:strRef>
          </c:cat>
          <c:val>
            <c:numRef>
              <c:f>'Lead-Time Analysis'!$D$5:$D$14</c:f>
              <c:numCache>
                <c:formatCode>0.00%</c:formatCode>
                <c:ptCount val="9"/>
                <c:pt idx="0">
                  <c:v>0.23287671232876711</c:v>
                </c:pt>
                <c:pt idx="1">
                  <c:v>0.2236024844720497</c:v>
                </c:pt>
                <c:pt idx="2">
                  <c:v>0.22264150943396227</c:v>
                </c:pt>
                <c:pt idx="3">
                  <c:v>0.2195945945945946</c:v>
                </c:pt>
                <c:pt idx="4">
                  <c:v>0.26984126984126983</c:v>
                </c:pt>
                <c:pt idx="5">
                  <c:v>0.26394052044609667</c:v>
                </c:pt>
                <c:pt idx="6">
                  <c:v>0.22289156626506024</c:v>
                </c:pt>
                <c:pt idx="7">
                  <c:v>0.18867924528301888</c:v>
                </c:pt>
                <c:pt idx="8">
                  <c:v>0.20370370370370369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0E8-4BA8-BB95-96A94509BA93}"/>
            </c:ext>
          </c:extLst>
        </c:ser>
        <c:ser>
          <c:idx val="3"/>
          <c:order val="3"/>
          <c:tx>
            <c:strRef>
              <c:f>'Lead-Time Analysis'!$E$3:$E$4</c:f>
              <c:strCache>
                <c:ptCount val="1"/>
                <c:pt idx="0">
                  <c:v>No-show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'Lead-Time Analysis'!$A$5:$A$14</c:f>
              <c:strCache>
                <c:ptCount val="9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14</c:v>
                </c:pt>
                <c:pt idx="4">
                  <c:v>30</c:v>
                </c:pt>
                <c:pt idx="5">
                  <c:v>60</c:v>
                </c:pt>
                <c:pt idx="6">
                  <c:v>100</c:v>
                </c:pt>
                <c:pt idx="7">
                  <c:v>150</c:v>
                </c:pt>
                <c:pt idx="8">
                  <c:v>220</c:v>
                </c:pt>
              </c:strCache>
            </c:strRef>
          </c:cat>
          <c:val>
            <c:numRef>
              <c:f>'Lead-Time Analysis'!$E$5:$E$14</c:f>
              <c:numCache>
                <c:formatCode>0.00%</c:formatCode>
                <c:ptCount val="9"/>
                <c:pt idx="0">
                  <c:v>7.5342465753424653E-2</c:v>
                </c:pt>
                <c:pt idx="1">
                  <c:v>6.2111801242236024E-2</c:v>
                </c:pt>
                <c:pt idx="2">
                  <c:v>5.6603773584905662E-2</c:v>
                </c:pt>
                <c:pt idx="3">
                  <c:v>5.4054054054054057E-2</c:v>
                </c:pt>
                <c:pt idx="4">
                  <c:v>3.4920634920634921E-2</c:v>
                </c:pt>
                <c:pt idx="5">
                  <c:v>3.717472118959108E-2</c:v>
                </c:pt>
                <c:pt idx="6">
                  <c:v>6.6265060240963861E-2</c:v>
                </c:pt>
                <c:pt idx="7">
                  <c:v>2.8301886792452831E-2</c:v>
                </c:pt>
                <c:pt idx="8">
                  <c:v>7.407407407407407E-2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0E8-4BA8-BB95-96A94509BA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13247423"/>
        <c:axId val="676664271"/>
      </c:lineChart>
      <c:catAx>
        <c:axId val="21324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664271"/>
        <c:crosses val="autoZero"/>
        <c:auto val="1"/>
        <c:lblAlgn val="ctr"/>
        <c:lblOffset val="100"/>
        <c:noMultiLvlLbl val="0"/>
      </c:catAx>
      <c:valAx>
        <c:axId val="67666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4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[Hotel_Booking_Analysis.xlsx]Seasonal Occupancy!PivotTable3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Bookings &amp; Occupancy by Season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'Seasonal Occupancy'!$B$3:$B$4</c:f>
              <c:strCache>
                <c:ptCount val="1"/>
                <c:pt idx="0">
                  <c:v>Cancelled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'Seasonal Occupancy'!$A$5:$A$17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'Seasonal Occupancy'!$B$5:$B$17</c:f>
              <c:numCache>
                <c:formatCode>0.00%</c:formatCode>
                <c:ptCount val="12"/>
                <c:pt idx="0">
                  <c:v>0.1440677966101695</c:v>
                </c:pt>
                <c:pt idx="1">
                  <c:v>0.19607843137254902</c:v>
                </c:pt>
                <c:pt idx="2">
                  <c:v>0.19108280254777071</c:v>
                </c:pt>
                <c:pt idx="3">
                  <c:v>0.1761006289308176</c:v>
                </c:pt>
                <c:pt idx="4">
                  <c:v>0.19767441860465115</c:v>
                </c:pt>
                <c:pt idx="5">
                  <c:v>0.17322834645669291</c:v>
                </c:pt>
                <c:pt idx="6">
                  <c:v>0.13157894736842105</c:v>
                </c:pt>
                <c:pt idx="7">
                  <c:v>9.8765432098765427E-2</c:v>
                </c:pt>
                <c:pt idx="8">
                  <c:v>0.22857142857142856</c:v>
                </c:pt>
                <c:pt idx="9">
                  <c:v>0.16455696202531644</c:v>
                </c:pt>
                <c:pt idx="10">
                  <c:v>0.14743589743589744</c:v>
                </c:pt>
                <c:pt idx="11">
                  <c:v>0.17741935483870969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B2-48A9-8FD0-A0CFE7910E1C}"/>
            </c:ext>
          </c:extLst>
        </c:ser>
        <c:ser>
          <c:idx val="1"/>
          <c:order val="1"/>
          <c:tx>
            <c:strRef>
              <c:f>'Seasonal Occupancy'!$C$3:$C$4</c:f>
              <c:strCache>
                <c:ptCount val="1"/>
                <c:pt idx="0">
                  <c:v>Checked-out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'Seasonal Occupancy'!$A$5:$A$17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'Seasonal Occupancy'!$C$5:$C$17</c:f>
              <c:numCache>
                <c:formatCode>0.00%</c:formatCode>
                <c:ptCount val="12"/>
                <c:pt idx="0">
                  <c:v>0.5423728813559322</c:v>
                </c:pt>
                <c:pt idx="1">
                  <c:v>0.52287581699346408</c:v>
                </c:pt>
                <c:pt idx="2">
                  <c:v>0.52229299363057324</c:v>
                </c:pt>
                <c:pt idx="3">
                  <c:v>0.55345911949685533</c:v>
                </c:pt>
                <c:pt idx="4">
                  <c:v>0.54069767441860461</c:v>
                </c:pt>
                <c:pt idx="5">
                  <c:v>0.51181102362204722</c:v>
                </c:pt>
                <c:pt idx="6">
                  <c:v>0.58552631578947367</c:v>
                </c:pt>
                <c:pt idx="7">
                  <c:v>0.59876543209876543</c:v>
                </c:pt>
                <c:pt idx="8">
                  <c:v>0.44285714285714284</c:v>
                </c:pt>
                <c:pt idx="9">
                  <c:v>0.59493670886075944</c:v>
                </c:pt>
                <c:pt idx="10">
                  <c:v>0.55128205128205132</c:v>
                </c:pt>
                <c:pt idx="11">
                  <c:v>0.55645161290322576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DB2-48A9-8FD0-A0CFE7910E1C}"/>
            </c:ext>
          </c:extLst>
        </c:ser>
        <c:ser>
          <c:idx val="2"/>
          <c:order val="2"/>
          <c:tx>
            <c:strRef>
              <c:f>'Seasonal Occupancy'!$D$3:$D$4</c:f>
              <c:strCache>
                <c:ptCount val="1"/>
                <c:pt idx="0">
                  <c:v>Confirmed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'Seasonal Occupancy'!$A$5:$A$17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'Seasonal Occupancy'!$D$5:$D$17</c:f>
              <c:numCache>
                <c:formatCode>0.00%</c:formatCode>
                <c:ptCount val="12"/>
                <c:pt idx="0">
                  <c:v>0.25423728813559321</c:v>
                </c:pt>
                <c:pt idx="1">
                  <c:v>0.22222222222222221</c:v>
                </c:pt>
                <c:pt idx="2">
                  <c:v>0.24203821656050956</c:v>
                </c:pt>
                <c:pt idx="3">
                  <c:v>0.23270440251572327</c:v>
                </c:pt>
                <c:pt idx="4">
                  <c:v>0.25</c:v>
                </c:pt>
                <c:pt idx="5">
                  <c:v>0.28346456692913385</c:v>
                </c:pt>
                <c:pt idx="6">
                  <c:v>0.20394736842105263</c:v>
                </c:pt>
                <c:pt idx="7">
                  <c:v>0.24074074074074073</c:v>
                </c:pt>
                <c:pt idx="8">
                  <c:v>0.27857142857142858</c:v>
                </c:pt>
                <c:pt idx="9">
                  <c:v>0.19620253164556961</c:v>
                </c:pt>
                <c:pt idx="10">
                  <c:v>0.20512820512820512</c:v>
                </c:pt>
                <c:pt idx="11">
                  <c:v>0.22580645161290322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DB2-48A9-8FD0-A0CFE7910E1C}"/>
            </c:ext>
          </c:extLst>
        </c:ser>
        <c:ser>
          <c:idx val="3"/>
          <c:order val="3"/>
          <c:tx>
            <c:strRef>
              <c:f>'Seasonal Occupancy'!$E$3:$E$4</c:f>
              <c:strCache>
                <c:ptCount val="1"/>
                <c:pt idx="0">
                  <c:v>No-show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'Seasonal Occupancy'!$A$5:$A$17</c:f>
              <c:strCach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strCache>
            </c:strRef>
          </c:cat>
          <c:val>
            <c:numRef>
              <c:f>'Seasonal Occupancy'!$E$5:$E$17</c:f>
              <c:numCache>
                <c:formatCode>0.00%</c:formatCode>
                <c:ptCount val="12"/>
                <c:pt idx="0">
                  <c:v>5.9322033898305086E-2</c:v>
                </c:pt>
                <c:pt idx="1">
                  <c:v>5.8823529411764705E-2</c:v>
                </c:pt>
                <c:pt idx="2">
                  <c:v>4.4585987261146494E-2</c:v>
                </c:pt>
                <c:pt idx="3">
                  <c:v>3.7735849056603772E-2</c:v>
                </c:pt>
                <c:pt idx="4">
                  <c:v>1.1627906976744186E-2</c:v>
                </c:pt>
                <c:pt idx="5">
                  <c:v>3.1496062992125984E-2</c:v>
                </c:pt>
                <c:pt idx="6">
                  <c:v>7.8947368421052627E-2</c:v>
                </c:pt>
                <c:pt idx="7">
                  <c:v>6.1728395061728392E-2</c:v>
                </c:pt>
                <c:pt idx="8">
                  <c:v>0.05</c:v>
                </c:pt>
                <c:pt idx="9">
                  <c:v>4.4303797468354431E-2</c:v>
                </c:pt>
                <c:pt idx="10">
                  <c:v>9.6153846153846159E-2</c:v>
                </c:pt>
                <c:pt idx="11">
                  <c:v>4.0322580645161289E-2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DB2-48A9-8FD0-A0CFE7910E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3261807"/>
        <c:axId val="676721871"/>
      </c:barChart>
      <c:catAx>
        <c:axId val="213261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6721871"/>
        <c:crosses val="autoZero"/>
        <c:auto val="1"/>
        <c:lblAlgn val="ctr"/>
        <c:lblOffset val="100"/>
        <c:noMultiLvlLbl val="0"/>
      </c:catAx>
      <c:valAx>
        <c:axId val="6767218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3261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[Hotel_Booking_Analysis.xlsx]Guest-Type Comparison!PivotTable2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Cancellation by Guest Type &amp; Repeat Status</a:t>
            </a:r>
            <a:endParaRPr lang="en-IN"/>
          </a:p>
        </c:rich>
      </c:tx>
      <c:layout>
        <c:manualLayout>
          <c:xMode val="edge"/>
          <c:yMode val="edge"/>
          <c:x val="0.15687552906827279"/>
          <c:y val="6.0199106903101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'Guest-Type Comparison'!$B$3:$B$4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'Guest-Type Comparison'!$A$5:$A$9</c:f>
              <c:strCache>
                <c:ptCount val="4"/>
                <c:pt idx="0">
                  <c:v>Business</c:v>
                </c:pt>
                <c:pt idx="1">
                  <c:v>Couple</c:v>
                </c:pt>
                <c:pt idx="2">
                  <c:v>Family</c:v>
                </c:pt>
                <c:pt idx="3">
                  <c:v>Leisure</c:v>
                </c:pt>
              </c:strCache>
            </c:strRef>
          </c:cat>
          <c:val>
            <c:numRef>
              <c:f>'Guest-Type Comparison'!$B$5:$B$9</c:f>
              <c:numCache>
                <c:formatCode>0.00%</c:formatCode>
                <c:ptCount val="4"/>
                <c:pt idx="0">
                  <c:v>0.810126582278481</c:v>
                </c:pt>
                <c:pt idx="1">
                  <c:v>0.85185185185185186</c:v>
                </c:pt>
                <c:pt idx="2">
                  <c:v>0.875</c:v>
                </c:pt>
                <c:pt idx="3">
                  <c:v>0.82524271844660191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48-4A7C-A591-D96298CF3F96}"/>
            </c:ext>
          </c:extLst>
        </c:ser>
        <c:ser>
          <c:idx val="1"/>
          <c:order val="1"/>
          <c:tx>
            <c:strRef>
              <c:f>'Guest-Type Comparison'!$C$3:$C$4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'Guest-Type Comparison'!$A$5:$A$9</c:f>
              <c:strCache>
                <c:ptCount val="4"/>
                <c:pt idx="0">
                  <c:v>Business</c:v>
                </c:pt>
                <c:pt idx="1">
                  <c:v>Couple</c:v>
                </c:pt>
                <c:pt idx="2">
                  <c:v>Family</c:v>
                </c:pt>
                <c:pt idx="3">
                  <c:v>Leisure</c:v>
                </c:pt>
              </c:strCache>
            </c:strRef>
          </c:cat>
          <c:val>
            <c:numRef>
              <c:f>'Guest-Type Comparison'!$C$5:$C$9</c:f>
              <c:numCache>
                <c:formatCode>0.00%</c:formatCode>
                <c:ptCount val="4"/>
                <c:pt idx="0">
                  <c:v>0.189873417721519</c:v>
                </c:pt>
                <c:pt idx="1">
                  <c:v>0.14814814814814814</c:v>
                </c:pt>
                <c:pt idx="2">
                  <c:v>0.125</c:v>
                </c:pt>
                <c:pt idx="3">
                  <c:v>0.17475728155339806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48-4A7C-A591-D96298CF3F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2803487"/>
        <c:axId val="1669454191"/>
      </c:barChart>
      <c:catAx>
        <c:axId val="18828034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69454191"/>
        <c:crosses val="autoZero"/>
        <c:auto val="1"/>
        <c:lblAlgn val="ctr"/>
        <c:lblOffset val="100"/>
        <c:noMultiLvlLbl val="0"/>
      </c:catAx>
      <c:valAx>
        <c:axId val="1669454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80348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[Hotel_Booking_Analysis.xlsx]Room Performance!PivotTable3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Room Type Performance</a:t>
            </a:r>
            <a:endParaRPr lang="en-IN"/>
          </a:p>
        </c:rich>
      </c:tx>
      <c:layout>
        <c:manualLayout>
          <c:xMode val="edge"/>
          <c:yMode val="edge"/>
          <c:x val="0.30115812331542408"/>
          <c:y val="7.397913385826772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'Room Performance'!$B$3</c:f>
              <c:strCache>
                <c:ptCount val="1"/>
                <c:pt idx="0">
                  <c:v>Count of booking_id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'Room Performance'!$A$4:$A$8</c:f>
              <c:strCache>
                <c:ptCount val="4"/>
                <c:pt idx="0">
                  <c:v>Deluxe</c:v>
                </c:pt>
                <c:pt idx="1">
                  <c:v>Family</c:v>
                </c:pt>
                <c:pt idx="2">
                  <c:v>Standard</c:v>
                </c:pt>
                <c:pt idx="3">
                  <c:v>Suite</c:v>
                </c:pt>
              </c:strCache>
            </c:strRef>
          </c:cat>
          <c:val>
            <c:numRef>
              <c:f>'Room Performance'!$B$4:$B$8</c:f>
              <c:numCache>
                <c:formatCode>General</c:formatCode>
                <c:ptCount val="4"/>
                <c:pt idx="0">
                  <c:v>445</c:v>
                </c:pt>
                <c:pt idx="1">
                  <c:v>469</c:v>
                </c:pt>
                <c:pt idx="2">
                  <c:v>437</c:v>
                </c:pt>
                <c:pt idx="3">
                  <c:v>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7C-445C-80EB-20183B98FF84}"/>
            </c:ext>
          </c:extLst>
        </c:ser>
        <c:ser>
          <c:idx val="1"/>
          <c:order val="1"/>
          <c:tx>
            <c:strRef>
              <c:f>'Room Performance'!$C$3</c:f>
              <c:strCache>
                <c:ptCount val="1"/>
                <c:pt idx="0">
                  <c:v>Average of room_rate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'Room Performance'!$A$4:$A$8</c:f>
              <c:strCache>
                <c:ptCount val="4"/>
                <c:pt idx="0">
                  <c:v>Deluxe</c:v>
                </c:pt>
                <c:pt idx="1">
                  <c:v>Family</c:v>
                </c:pt>
                <c:pt idx="2">
                  <c:v>Standard</c:v>
                </c:pt>
                <c:pt idx="3">
                  <c:v>Suite</c:v>
                </c:pt>
              </c:strCache>
            </c:strRef>
          </c:cat>
          <c:val>
            <c:numRef>
              <c:f>'Room Performance'!$C$4:$C$8</c:f>
              <c:numCache>
                <c:formatCode>0.00</c:formatCode>
                <c:ptCount val="4"/>
                <c:pt idx="0">
                  <c:v>5111.5011235955053</c:v>
                </c:pt>
                <c:pt idx="1">
                  <c:v>7548.963752665245</c:v>
                </c:pt>
                <c:pt idx="2">
                  <c:v>3453.1967963386728</c:v>
                </c:pt>
                <c:pt idx="3">
                  <c:v>9685.8829039812645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7C-445C-80EB-20183B98FF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882732031"/>
        <c:axId val="593581167"/>
      </c:barChart>
      <c:catAx>
        <c:axId val="188273203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581167"/>
        <c:crosses val="autoZero"/>
        <c:auto val="1"/>
        <c:lblAlgn val="ctr"/>
        <c:lblOffset val="100"/>
        <c:noMultiLvlLbl val="0"/>
      </c:catAx>
      <c:valAx>
        <c:axId val="593581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7320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[Hotel_Booking_Analysis.xlsx]Event Impact!PivotTable4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/>
              <a:t>Impact of Events on Demand &amp; Rates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'Event Impact'!$B$3</c:f>
              <c:strCache>
                <c:ptCount val="1"/>
                <c:pt idx="0">
                  <c:v>Count of booking_id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'Event Impact'!$A$4:$A$7</c:f>
              <c:strCache>
                <c:ptCount val="3"/>
                <c:pt idx="0">
                  <c:v>No</c:v>
                </c:pt>
                <c:pt idx="1">
                  <c:v>Unknown</c:v>
                </c:pt>
                <c:pt idx="2">
                  <c:v>Yes</c:v>
                </c:pt>
              </c:strCache>
            </c:strRef>
          </c:cat>
          <c:val>
            <c:numRef>
              <c:f>'Event Impact'!$B$4:$B$7</c:f>
              <c:numCache>
                <c:formatCode>General</c:formatCode>
                <c:ptCount val="3"/>
                <c:pt idx="0">
                  <c:v>1694</c:v>
                </c:pt>
                <c:pt idx="1">
                  <c:v>69</c:v>
                </c:pt>
                <c:pt idx="2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CD-426E-91A3-FA569D3468CD}"/>
            </c:ext>
          </c:extLst>
        </c:ser>
        <c:ser>
          <c:idx val="1"/>
          <c:order val="1"/>
          <c:tx>
            <c:strRef>
              <c:f>'Event Impact'!$C$3</c:f>
              <c:strCache>
                <c:ptCount val="1"/>
                <c:pt idx="0">
                  <c:v>Average of room_rate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'Event Impact'!$A$4:$A$7</c:f>
              <c:strCache>
                <c:ptCount val="3"/>
                <c:pt idx="0">
                  <c:v>No</c:v>
                </c:pt>
                <c:pt idx="1">
                  <c:v>Unknown</c:v>
                </c:pt>
                <c:pt idx="2">
                  <c:v>Yes</c:v>
                </c:pt>
              </c:strCache>
            </c:strRef>
          </c:cat>
          <c:val>
            <c:numRef>
              <c:f>'Event Impact'!$C$4:$C$7</c:f>
              <c:numCache>
                <c:formatCode>0.00</c:formatCode>
                <c:ptCount val="3"/>
                <c:pt idx="0">
                  <c:v>6491.4533648170009</c:v>
                </c:pt>
                <c:pt idx="1">
                  <c:v>5609.159420289855</c:v>
                </c:pt>
                <c:pt idx="2">
                  <c:v>5096.4666666666662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CD-426E-91A3-FA569D346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82797455"/>
        <c:axId val="593623407"/>
      </c:barChart>
      <c:catAx>
        <c:axId val="18827974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3623407"/>
        <c:crosses val="autoZero"/>
        <c:auto val="1"/>
        <c:lblAlgn val="ctr"/>
        <c:lblOffset val="100"/>
        <c:noMultiLvlLbl val="0"/>
      </c:catAx>
      <c:valAx>
        <c:axId val="59362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827974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99060</xdr:colOff>
      <xdr:row>8</xdr:row>
      <xdr:rowOff>99060</xdr:rowOff>
    </xdr:from>
    <xdr:to>
      <xdr:col>13</xdr:col>
      <xdr:colOff>403860</xdr:colOff>
      <xdr:row>23</xdr:row>
      <xdr:rowOff>99060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7D00DC8-A94B-0EB5-2844-4CA0B42489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266700</xdr:colOff>
      <xdr:row>6</xdr:row>
      <xdr:rowOff>106680</xdr:rowOff>
    </xdr:from>
    <xdr:to>
      <xdr:col>13</xdr:col>
      <xdr:colOff>571500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DA783C-1E4E-1B1E-4B98-D725823807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167640</xdr:colOff>
      <xdr:row>8</xdr:row>
      <xdr:rowOff>80010</xdr:rowOff>
    </xdr:from>
    <xdr:to>
      <xdr:col>13</xdr:col>
      <xdr:colOff>472440</xdr:colOff>
      <xdr:row>23</xdr:row>
      <xdr:rowOff>80010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8938D84-2FED-787D-6887-685BE03B8CC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563880</xdr:colOff>
      <xdr:row>6</xdr:row>
      <xdr:rowOff>45720</xdr:rowOff>
    </xdr:from>
    <xdr:to>
      <xdr:col>12</xdr:col>
      <xdr:colOff>259080</xdr:colOff>
      <xdr:row>21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753A691-3775-7E82-750A-7654DE3C3E5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5</xdr:row>
      <xdr:rowOff>125730</xdr:rowOff>
    </xdr:from>
    <xdr:to>
      <xdr:col>11</xdr:col>
      <xdr:colOff>304800</xdr:colOff>
      <xdr:row>20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A3DFE1-B8B3-9DCC-0FC8-7140F82A08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350520</xdr:colOff>
      <xdr:row>6</xdr:row>
      <xdr:rowOff>106680</xdr:rowOff>
    </xdr:from>
    <xdr:to>
      <xdr:col>12</xdr:col>
      <xdr:colOff>45720</xdr:colOff>
      <xdr:row>21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43C0272-4A11-C21B-67B0-F1792A0C0D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434340</xdr:colOff>
      <xdr:row>2</xdr:row>
      <xdr:rowOff>68580</xdr:rowOff>
    </xdr:from>
    <xdr:to>
      <xdr:col>7</xdr:col>
      <xdr:colOff>91440</xdr:colOff>
      <xdr:row>14</xdr:row>
      <xdr:rowOff>121920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A287F1-B2D8-4CEB-BF17-0DCDD776EE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897987</xdr:colOff>
      <xdr:row>2</xdr:row>
      <xdr:rowOff>95739</xdr:rowOff>
    </xdr:from>
    <xdr:to>
      <xdr:col>12</xdr:col>
      <xdr:colOff>555087</xdr:colOff>
      <xdr:row>14</xdr:row>
      <xdr:rowOff>171939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AB88761-ADD0-4181-B0C9-57C3A2DDB74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219807</xdr:colOff>
      <xdr:row>2</xdr:row>
      <xdr:rowOff>76200</xdr:rowOff>
    </xdr:from>
    <xdr:to>
      <xdr:col>21</xdr:col>
      <xdr:colOff>29307</xdr:colOff>
      <xdr:row>15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758E1BF2-6204-4D5E-8EF4-233AC1C3D7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455448</xdr:colOff>
      <xdr:row>15</xdr:row>
      <xdr:rowOff>122620</xdr:rowOff>
    </xdr:from>
    <xdr:to>
      <xdr:col>7</xdr:col>
      <xdr:colOff>96345</xdr:colOff>
      <xdr:row>29</xdr:row>
      <xdr:rowOff>61310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7246964-8EAE-4832-BD83-4045896421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7</xdr:col>
      <xdr:colOff>893043</xdr:colOff>
      <xdr:row>15</xdr:row>
      <xdr:rowOff>114874</xdr:rowOff>
    </xdr:from>
    <xdr:to>
      <xdr:col>12</xdr:col>
      <xdr:colOff>586491</xdr:colOff>
      <xdr:row>29</xdr:row>
      <xdr:rowOff>79839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6C9AF4B-450F-46AF-A98E-7C0577615D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14</xdr:col>
      <xdr:colOff>219638</xdr:colOff>
      <xdr:row>15</xdr:row>
      <xdr:rowOff>159677</xdr:rowOff>
    </xdr:from>
    <xdr:to>
      <xdr:col>21</xdr:col>
      <xdr:colOff>26949</xdr:colOff>
      <xdr:row>29</xdr:row>
      <xdr:rowOff>72090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73611DA-4552-4370-891E-F87A520AE3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OGAVARSHHNI" refreshedDate="46308.487248726851" createdVersion="8" refreshedVersion="8" minRefreshableVersion="3" recordCount="1778" xr:uid="{2A4393E3-2A0E-4AEE-89EB-61E982FF47C9}">
  <cacheSource type="worksheet">
    <worksheetSource name="cleaned_bookings"/>
  </cacheSource>
  <cacheFields count="34">
    <cacheField name="booking_id" numFmtId="0">
      <sharedItems/>
    </cacheField>
    <cacheField name="guest_id" numFmtId="0">
      <sharedItems/>
    </cacheField>
    <cacheField name="hotel_id" numFmtId="0">
      <sharedItems/>
    </cacheField>
    <cacheField name="channel_id" numFmtId="0">
      <sharedItems/>
    </cacheField>
    <cacheField name="booking_date" numFmtId="14">
      <sharedItems containsSemiMixedTypes="0" containsNonDate="0" containsDate="1" containsString="0" minDate="2025-01-01T00:00:00" maxDate="2026-12-03T00:00:00"/>
    </cacheField>
    <cacheField name="stay_date" numFmtId="14">
      <sharedItems containsSemiMixedTypes="0" containsNonDate="0" containsDate="1" containsString="0" minDate="2025-01-05T00:00:00" maxDate="2027-07-09T00:00:00"/>
    </cacheField>
    <cacheField name="room_type" numFmtId="0">
      <sharedItems count="4">
        <s v="Deluxe"/>
        <s v="Family"/>
        <s v="Standard"/>
        <s v="Suite"/>
      </sharedItems>
    </cacheField>
    <cacheField name="room_rate" numFmtId="0">
      <sharedItems containsSemiMixedTypes="0" containsString="0" containsNumber="1" containsInteger="1" minValue="2220" maxValue="39808"/>
    </cacheField>
    <cacheField name="booking_status" numFmtId="0">
      <sharedItems count="4">
        <s v="Checked-out"/>
        <s v="Cancelled"/>
        <s v="Confirmed"/>
        <s v="No-show"/>
      </sharedItems>
    </cacheField>
    <cacheField name="rate_outlier_flag" numFmtId="0">
      <sharedItems/>
    </cacheField>
    <cacheField name="lead_time_days" numFmtId="0">
      <sharedItems containsSemiMixedTypes="0" containsString="0" containsNumber="1" containsInteger="1" minValue="1" maxValue="220" count="9">
        <n v="100"/>
        <n v="60"/>
        <n v="30"/>
        <n v="14"/>
        <n v="7"/>
        <n v="150"/>
        <n v="3"/>
        <n v="1"/>
        <n v="220"/>
      </sharedItems>
    </cacheField>
    <cacheField name="stay_month" numFmtId="0">
      <sharedItems containsSemiMixedTypes="0" containsString="0" containsNumber="1" containsInteger="1" minValue="1" maxValue="12" count="12">
        <n v="2"/>
        <n v="6"/>
        <n v="4"/>
        <n v="3"/>
        <n v="11"/>
        <n v="12"/>
        <n v="1"/>
        <n v="8"/>
        <n v="7"/>
        <n v="5"/>
        <n v="9"/>
        <n v="10"/>
      </sharedItems>
    </cacheField>
    <cacheField name="stay_year" numFmtId="0">
      <sharedItems containsSemiMixedTypes="0" containsString="0" containsNumber="1" containsInteger="1" minValue="2025" maxValue="2027"/>
    </cacheField>
    <cacheField name="stay_day_of_week" numFmtId="0">
      <sharedItems containsSemiMixedTypes="0" containsString="0" containsNumber="1" containsInteger="1" minValue="0" maxValue="6"/>
    </cacheField>
    <cacheField name="booking_month" numFmtId="0">
      <sharedItems containsSemiMixedTypes="0" containsString="0" containsNumber="1" containsInteger="1" minValue="1" maxValue="12"/>
    </cacheField>
    <cacheField name="booking_year" numFmtId="0">
      <sharedItems containsSemiMixedTypes="0" containsString="0" containsNumber="1" containsInteger="1" minValue="2025" maxValue="2026"/>
    </cacheField>
    <cacheField name="booking_day_of_week" numFmtId="0">
      <sharedItems containsSemiMixedTypes="0" containsString="0" containsNumber="1" containsInteger="1" minValue="0" maxValue="6"/>
    </cacheField>
    <cacheField name="weekend_stay" numFmtId="0">
      <sharedItems/>
    </cacheField>
    <cacheField name="guest_type" numFmtId="0">
      <sharedItems count="4">
        <s v="Family"/>
        <s v="Leisure"/>
        <s v="Couple"/>
        <s v="Business"/>
      </sharedItems>
    </cacheField>
    <cacheField name="origin" numFmtId="0">
      <sharedItems/>
    </cacheField>
    <cacheField name="repeat_guest" numFmtId="0">
      <sharedItems count="2">
        <s v="No"/>
        <s v="Yes"/>
      </sharedItems>
    </cacheField>
    <cacheField name="hotel_name" numFmtId="0">
      <sharedItems/>
    </cacheField>
    <cacheField name="city" numFmtId="0">
      <sharedItems count="12">
        <s v="Bengaluru"/>
        <s v="Chennai"/>
        <s v="Kodaikanal"/>
        <s v="Pondicherry"/>
        <s v="Wayanad"/>
        <s v="Ooty"/>
        <s v="Hyderabad"/>
        <s v="Mysuru"/>
        <s v="Coimbatore"/>
        <s v="Mumbai"/>
        <s v="Kochi"/>
        <s v="Madurai"/>
      </sharedItems>
    </cacheField>
    <cacheField name="property_type" numFmtId="0">
      <sharedItems/>
    </cacheField>
    <cacheField name="capacity" numFmtId="0">
      <sharedItems containsSemiMixedTypes="0" containsString="0" containsNumber="1" containsInteger="1" minValue="65" maxValue="160"/>
    </cacheField>
    <cacheField name="booking_channel" numFmtId="0">
      <sharedItems count="6">
        <s v="Call Center"/>
        <s v="Online Travel Agent"/>
        <s v="Corporate"/>
        <s v="Mobile App"/>
        <s v="Travel Agent"/>
        <s v="Website"/>
      </sharedItems>
    </cacheField>
    <cacheField name="campaign" numFmtId="0">
      <sharedItems/>
    </cacheField>
    <cacheField name="calendar_date" numFmtId="14">
      <sharedItems containsNonDate="0" containsDate="1" containsString="0" containsBlank="1" minDate="2025-01-05T00:00:00" maxDate="2027-01-01T00:00:00"/>
    </cacheField>
    <cacheField name="weekend" numFmtId="0">
      <sharedItems/>
    </cacheField>
    <cacheField name="holiday" numFmtId="0">
      <sharedItems/>
    </cacheField>
    <cacheField name="season" numFmtId="0">
      <sharedItems/>
    </cacheField>
    <cacheField name="local_event" numFmtId="0">
      <sharedItems count="3">
        <s v="Unknown"/>
        <s v="No"/>
        <s v="Yes"/>
      </sharedItems>
    </cacheField>
    <cacheField name="is_cancelled" numFmtId="0">
      <sharedItems containsSemiMixedTypes="0" containsString="0" containsNumber="1" containsInteger="1" minValue="0" maxValue="1"/>
    </cacheField>
    <cacheField name="lead_time_group" numFmtId="0">
      <sharedItems/>
    </cacheField>
  </cacheFields>
  <extLst>
    <ext xmlns:x14="http://schemas.microsoft.com/office/spreadsheetml/2009/9/main" uri="{725AE2AE-9491-48be-B2B4-4EB974FC3084}">
      <x14:pivotCacheDefinition pivotCacheId="30816247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78">
  <r>
    <s v="B000001"/>
    <s v="G00385"/>
    <s v="H002"/>
    <s v="CH06"/>
    <d v="2026-11-09T00:00:00"/>
    <d v="2027-02-17T00:00:00"/>
    <x v="0"/>
    <n v="4231"/>
    <x v="0"/>
    <b v="0"/>
    <x v="0"/>
    <x v="0"/>
    <n v="2027"/>
    <n v="2"/>
    <n v="11"/>
    <n v="2026"/>
    <n v="0"/>
    <s v="No"/>
    <x v="0"/>
    <s v="India"/>
    <x v="0"/>
    <s v="StayNest Central"/>
    <x v="0"/>
    <s v="Business"/>
    <n v="150"/>
    <x v="0"/>
    <s v="Retention"/>
    <m/>
    <s v="Unknown"/>
    <s v="Unknown"/>
    <s v="Unknown"/>
    <x v="0"/>
    <n v="0"/>
    <s v="91–180 days"/>
  </r>
  <r>
    <s v="B000002"/>
    <s v="G00004"/>
    <s v="H001"/>
    <s v="CH03"/>
    <d v="2026-04-20T00:00:00"/>
    <d v="2026-06-19T00:00:00"/>
    <x v="1"/>
    <n v="6886"/>
    <x v="1"/>
    <b v="0"/>
    <x v="1"/>
    <x v="1"/>
    <n v="2026"/>
    <n v="4"/>
    <n v="4"/>
    <n v="2026"/>
    <n v="0"/>
    <s v="No"/>
    <x v="1"/>
    <s v="India"/>
    <x v="0"/>
    <s v="StayNest Marina"/>
    <x v="1"/>
    <s v="Business"/>
    <n v="120"/>
    <x v="1"/>
    <s v="OTA Promo"/>
    <d v="2026-06-19T00:00:00"/>
    <s v="No"/>
    <s v="No"/>
    <s v="Shoulder"/>
    <x v="1"/>
    <n v="1"/>
    <s v="31–90 days"/>
  </r>
  <r>
    <s v="B000003"/>
    <s v="G00116"/>
    <s v="H001"/>
    <s v="CH06"/>
    <d v="2026-03-06T00:00:00"/>
    <d v="2026-04-05T00:00:00"/>
    <x v="2"/>
    <n v="2622"/>
    <x v="2"/>
    <b v="0"/>
    <x v="2"/>
    <x v="2"/>
    <n v="2026"/>
    <n v="6"/>
    <n v="3"/>
    <n v="2026"/>
    <n v="4"/>
    <s v="Yes"/>
    <x v="2"/>
    <s v="Germany"/>
    <x v="0"/>
    <s v="StayNest Marina"/>
    <x v="1"/>
    <s v="Business"/>
    <n v="120"/>
    <x v="0"/>
    <s v="Retention"/>
    <d v="2026-04-05T00:00:00"/>
    <s v="Yes"/>
    <s v="No"/>
    <s v="Peak"/>
    <x v="1"/>
    <n v="0"/>
    <s v="8–30 days"/>
  </r>
  <r>
    <s v="B000004"/>
    <s v="G00050"/>
    <s v="H004"/>
    <s v="CH06"/>
    <d v="2025-02-15T00:00:00"/>
    <d v="2025-03-01T00:00:00"/>
    <x v="0"/>
    <n v="3731"/>
    <x v="2"/>
    <b v="0"/>
    <x v="3"/>
    <x v="3"/>
    <n v="2025"/>
    <n v="5"/>
    <n v="2"/>
    <n v="2025"/>
    <n v="5"/>
    <s v="Yes"/>
    <x v="0"/>
    <s v="India"/>
    <x v="0"/>
    <s v="StayNest Lakeview"/>
    <x v="2"/>
    <s v="Resort"/>
    <n v="75"/>
    <x v="0"/>
    <s v="Retention"/>
    <d v="2025-03-01T00:00:00"/>
    <s v="Yes"/>
    <s v="No"/>
    <s v="Shoulder"/>
    <x v="1"/>
    <n v="0"/>
    <s v="8–30 days"/>
  </r>
  <r>
    <s v="B000005"/>
    <s v="G00590"/>
    <s v="H006"/>
    <s v="CH05"/>
    <d v="2026-09-05T00:00:00"/>
    <d v="2026-11-04T00:00:00"/>
    <x v="3"/>
    <n v="11908"/>
    <x v="0"/>
    <b v="0"/>
    <x v="1"/>
    <x v="4"/>
    <n v="2026"/>
    <n v="2"/>
    <n v="9"/>
    <n v="2026"/>
    <n v="5"/>
    <s v="No"/>
    <x v="2"/>
    <s v="India"/>
    <x v="0"/>
    <s v="StayNest Beach"/>
    <x v="3"/>
    <s v="Resort"/>
    <n v="100"/>
    <x v="2"/>
    <s v="Corporate Rate"/>
    <d v="2026-11-04T00:00:00"/>
    <s v="No"/>
    <s v="No"/>
    <s v="Off-Peak"/>
    <x v="1"/>
    <n v="0"/>
    <s v="31–90 days"/>
  </r>
  <r>
    <s v="B000006"/>
    <s v="G00606"/>
    <s v="H012"/>
    <s v="CH02"/>
    <d v="2026-10-04T00:00:00"/>
    <d v="2026-12-03T00:00:00"/>
    <x v="1"/>
    <n v="7749"/>
    <x v="2"/>
    <b v="0"/>
    <x v="1"/>
    <x v="5"/>
    <n v="2026"/>
    <n v="3"/>
    <n v="10"/>
    <n v="2026"/>
    <n v="6"/>
    <s v="No"/>
    <x v="2"/>
    <s v="India"/>
    <x v="0"/>
    <s v="StayNest Valley"/>
    <x v="4"/>
    <s v="Resort"/>
    <n v="65"/>
    <x v="3"/>
    <s v="App Push"/>
    <d v="2026-12-03T00:00:00"/>
    <s v="No"/>
    <s v="No"/>
    <s v="Peak"/>
    <x v="1"/>
    <n v="0"/>
    <s v="31–90 days"/>
  </r>
  <r>
    <s v="B000007"/>
    <s v="G00419"/>
    <s v="H003"/>
    <s v="CH03"/>
    <d v="2026-01-21T00:00:00"/>
    <d v="2026-01-28T00:00:00"/>
    <x v="1"/>
    <n v="8512"/>
    <x v="2"/>
    <b v="0"/>
    <x v="4"/>
    <x v="6"/>
    <n v="2026"/>
    <n v="2"/>
    <n v="1"/>
    <n v="2026"/>
    <n v="2"/>
    <s v="No"/>
    <x v="2"/>
    <s v="India"/>
    <x v="0"/>
    <s v="StayNest Hills"/>
    <x v="5"/>
    <s v="Resort"/>
    <n v="80"/>
    <x v="1"/>
    <s v="OTA Promo"/>
    <d v="2026-01-28T00:00:00"/>
    <s v="No"/>
    <s v="No"/>
    <s v="Off-Peak"/>
    <x v="1"/>
    <n v="0"/>
    <s v="0–7 days"/>
  </r>
  <r>
    <s v="B000008"/>
    <s v="G00576"/>
    <s v="H007"/>
    <s v="CH04"/>
    <d v="2026-07-25T00:00:00"/>
    <d v="2026-08-24T00:00:00"/>
    <x v="1"/>
    <n v="7648"/>
    <x v="0"/>
    <b v="0"/>
    <x v="2"/>
    <x v="7"/>
    <n v="2026"/>
    <n v="0"/>
    <n v="7"/>
    <n v="2026"/>
    <n v="5"/>
    <s v="No"/>
    <x v="0"/>
    <s v="India"/>
    <x v="0"/>
    <s v="StayNest Tech Park"/>
    <x v="6"/>
    <s v="Business"/>
    <n v="140"/>
    <x v="4"/>
    <s v="Partner"/>
    <d v="2026-08-24T00:00:00"/>
    <s v="No"/>
    <s v="No"/>
    <s v="Off-Peak"/>
    <x v="1"/>
    <n v="0"/>
    <s v="8–30 days"/>
  </r>
  <r>
    <s v="B000009"/>
    <s v="G00549"/>
    <s v="H012"/>
    <s v="CH02"/>
    <d v="2025-02-22T00:00:00"/>
    <d v="2025-03-01T00:00:00"/>
    <x v="2"/>
    <n v="2585"/>
    <x v="2"/>
    <b v="0"/>
    <x v="4"/>
    <x v="3"/>
    <n v="2025"/>
    <n v="5"/>
    <n v="2"/>
    <n v="2025"/>
    <n v="5"/>
    <s v="Yes"/>
    <x v="3"/>
    <s v="India"/>
    <x v="1"/>
    <s v="StayNest Valley"/>
    <x v="4"/>
    <s v="Resort"/>
    <n v="65"/>
    <x v="3"/>
    <s v="App Push"/>
    <d v="2025-03-01T00:00:00"/>
    <s v="Yes"/>
    <s v="No"/>
    <s v="Shoulder"/>
    <x v="1"/>
    <n v="0"/>
    <s v="0–7 days"/>
  </r>
  <r>
    <s v="B000010"/>
    <s v="G00311"/>
    <s v="H001"/>
    <s v="CH02"/>
    <d v="2025-07-14T00:00:00"/>
    <d v="2025-12-11T00:00:00"/>
    <x v="2"/>
    <n v="4072"/>
    <x v="0"/>
    <b v="0"/>
    <x v="5"/>
    <x v="5"/>
    <n v="2025"/>
    <n v="3"/>
    <n v="7"/>
    <n v="2025"/>
    <n v="0"/>
    <s v="No"/>
    <x v="1"/>
    <s v="United States"/>
    <x v="1"/>
    <s v="StayNest Marina"/>
    <x v="1"/>
    <s v="Business"/>
    <n v="120"/>
    <x v="3"/>
    <s v="App Push"/>
    <d v="2025-12-11T00:00:00"/>
    <s v="No"/>
    <s v="No"/>
    <s v="Peak"/>
    <x v="1"/>
    <n v="0"/>
    <s v="91–180 days"/>
  </r>
  <r>
    <s v="B000011"/>
    <s v="G00290"/>
    <s v="H007"/>
    <s v="CH04"/>
    <d v="2026-07-01T00:00:00"/>
    <d v="2026-07-31T00:00:00"/>
    <x v="3"/>
    <n v="10573"/>
    <x v="0"/>
    <b v="0"/>
    <x v="2"/>
    <x v="8"/>
    <n v="2026"/>
    <n v="4"/>
    <n v="7"/>
    <n v="2026"/>
    <n v="2"/>
    <s v="No"/>
    <x v="1"/>
    <s v="India"/>
    <x v="0"/>
    <s v="StayNest Tech Park"/>
    <x v="6"/>
    <s v="Business"/>
    <n v="140"/>
    <x v="4"/>
    <s v="Partner"/>
    <d v="2026-07-31T00:00:00"/>
    <s v="No"/>
    <s v="No"/>
    <s v="Off-Peak"/>
    <x v="1"/>
    <n v="0"/>
    <s v="8–30 days"/>
  </r>
  <r>
    <s v="B000012"/>
    <s v="G00328"/>
    <s v="H004"/>
    <s v="CH03"/>
    <d v="2025-11-17T00:00:00"/>
    <d v="2025-12-01T00:00:00"/>
    <x v="0"/>
    <n v="4568"/>
    <x v="0"/>
    <b v="0"/>
    <x v="3"/>
    <x v="5"/>
    <n v="2025"/>
    <n v="0"/>
    <n v="11"/>
    <n v="2025"/>
    <n v="0"/>
    <s v="No"/>
    <x v="2"/>
    <s v="India"/>
    <x v="0"/>
    <s v="StayNest Lakeview"/>
    <x v="2"/>
    <s v="Resort"/>
    <n v="75"/>
    <x v="1"/>
    <s v="OTA Promo"/>
    <d v="2025-12-01T00:00:00"/>
    <s v="No"/>
    <s v="No"/>
    <s v="Peak"/>
    <x v="1"/>
    <n v="0"/>
    <s v="8–30 days"/>
  </r>
  <r>
    <s v="B000013"/>
    <s v="G00201"/>
    <s v="H006"/>
    <s v="CH02"/>
    <d v="2026-01-24T00:00:00"/>
    <d v="2026-02-23T00:00:00"/>
    <x v="0"/>
    <n v="4882"/>
    <x v="0"/>
    <b v="0"/>
    <x v="2"/>
    <x v="0"/>
    <n v="2026"/>
    <n v="0"/>
    <n v="1"/>
    <n v="2026"/>
    <n v="5"/>
    <s v="No"/>
    <x v="1"/>
    <s v="United States"/>
    <x v="0"/>
    <s v="StayNest Beach"/>
    <x v="3"/>
    <s v="Resort"/>
    <n v="100"/>
    <x v="3"/>
    <s v="App Push"/>
    <d v="2026-02-23T00:00:00"/>
    <s v="No"/>
    <s v="No"/>
    <s v="Shoulder"/>
    <x v="1"/>
    <n v="0"/>
    <s v="8–30 days"/>
  </r>
  <r>
    <s v="B000014"/>
    <s v="G00503"/>
    <s v="H008"/>
    <s v="CH02"/>
    <d v="2025-12-27T00:00:00"/>
    <d v="2025-12-30T00:00:00"/>
    <x v="1"/>
    <n v="8920"/>
    <x v="1"/>
    <b v="0"/>
    <x v="6"/>
    <x v="5"/>
    <n v="2025"/>
    <n v="1"/>
    <n v="12"/>
    <n v="2025"/>
    <n v="5"/>
    <s v="No"/>
    <x v="1"/>
    <s v="United Kingdom"/>
    <x v="0"/>
    <s v="StayNest Palace"/>
    <x v="7"/>
    <s v="Heritage"/>
    <n v="85"/>
    <x v="3"/>
    <s v="App Push"/>
    <d v="2025-12-30T00:00:00"/>
    <s v="No"/>
    <s v="No"/>
    <s v="Peak"/>
    <x v="1"/>
    <n v="1"/>
    <s v="0–7 days"/>
  </r>
  <r>
    <s v="B000015"/>
    <s v="G00077"/>
    <s v="H011"/>
    <s v="CH01"/>
    <d v="2025-01-07T00:00:00"/>
    <d v="2025-01-21T00:00:00"/>
    <x v="0"/>
    <n v="4118"/>
    <x v="0"/>
    <b v="0"/>
    <x v="3"/>
    <x v="6"/>
    <n v="2025"/>
    <n v="1"/>
    <n v="1"/>
    <n v="2025"/>
    <n v="1"/>
    <s v="No"/>
    <x v="1"/>
    <s v="Germany"/>
    <x v="1"/>
    <s v="StayNest Grand"/>
    <x v="8"/>
    <s v="Business"/>
    <n v="110"/>
    <x v="5"/>
    <s v="Direct"/>
    <d v="2025-01-21T00:00:00"/>
    <s v="No"/>
    <s v="No"/>
    <s v="Off-Peak"/>
    <x v="1"/>
    <n v="0"/>
    <s v="8–30 days"/>
  </r>
  <r>
    <s v="B000016"/>
    <s v="G00632"/>
    <s v="H008"/>
    <s v="CH06"/>
    <d v="2026-05-15T00:00:00"/>
    <d v="2026-05-16T00:00:00"/>
    <x v="1"/>
    <n v="7194"/>
    <x v="1"/>
    <b v="0"/>
    <x v="7"/>
    <x v="9"/>
    <n v="2026"/>
    <n v="5"/>
    <n v="5"/>
    <n v="2026"/>
    <n v="4"/>
    <s v="Yes"/>
    <x v="3"/>
    <s v="India"/>
    <x v="0"/>
    <s v="StayNest Palace"/>
    <x v="7"/>
    <s v="Heritage"/>
    <n v="85"/>
    <x v="0"/>
    <s v="Retention"/>
    <d v="2026-05-16T00:00:00"/>
    <s v="Yes"/>
    <s v="No"/>
    <s v="Peak"/>
    <x v="1"/>
    <n v="1"/>
    <s v="0–7 days"/>
  </r>
  <r>
    <s v="B000017"/>
    <s v="G00441"/>
    <s v="H003"/>
    <s v="CH01"/>
    <d v="2025-04-09T00:00:00"/>
    <d v="2025-05-09T00:00:00"/>
    <x v="0"/>
    <n v="5656"/>
    <x v="0"/>
    <b v="0"/>
    <x v="2"/>
    <x v="9"/>
    <n v="2025"/>
    <n v="4"/>
    <n v="4"/>
    <n v="2025"/>
    <n v="2"/>
    <s v="No"/>
    <x v="0"/>
    <s v="UAE"/>
    <x v="1"/>
    <s v="StayNest Hills"/>
    <x v="5"/>
    <s v="Resort"/>
    <n v="80"/>
    <x v="5"/>
    <s v="Direct"/>
    <d v="2025-05-09T00:00:00"/>
    <s v="No"/>
    <s v="No"/>
    <s v="Peak"/>
    <x v="1"/>
    <n v="0"/>
    <s v="8–30 days"/>
  </r>
  <r>
    <s v="B000018"/>
    <s v="G00416"/>
    <s v="H008"/>
    <s v="CH05"/>
    <d v="2025-09-07T00:00:00"/>
    <d v="2026-04-15T00:00:00"/>
    <x v="0"/>
    <n v="3830"/>
    <x v="1"/>
    <b v="0"/>
    <x v="8"/>
    <x v="2"/>
    <n v="2026"/>
    <n v="2"/>
    <n v="9"/>
    <n v="2025"/>
    <n v="6"/>
    <s v="No"/>
    <x v="0"/>
    <s v="India"/>
    <x v="0"/>
    <s v="StayNest Palace"/>
    <x v="7"/>
    <s v="Heritage"/>
    <n v="85"/>
    <x v="2"/>
    <s v="Corporate Rate"/>
    <d v="2026-04-15T00:00:00"/>
    <s v="No"/>
    <s v="No"/>
    <s v="Peak"/>
    <x v="1"/>
    <n v="1"/>
    <s v="181+ days"/>
  </r>
  <r>
    <s v="B000019"/>
    <s v="G00416"/>
    <s v="H007"/>
    <s v="CH04"/>
    <d v="2026-07-20T00:00:00"/>
    <d v="2026-08-03T00:00:00"/>
    <x v="2"/>
    <n v="2369"/>
    <x v="2"/>
    <b v="0"/>
    <x v="3"/>
    <x v="7"/>
    <n v="2026"/>
    <n v="0"/>
    <n v="7"/>
    <n v="2026"/>
    <n v="0"/>
    <s v="No"/>
    <x v="0"/>
    <s v="India"/>
    <x v="0"/>
    <s v="StayNest Tech Park"/>
    <x v="6"/>
    <s v="Business"/>
    <n v="140"/>
    <x v="4"/>
    <s v="Partner"/>
    <d v="2026-08-03T00:00:00"/>
    <s v="No"/>
    <s v="No"/>
    <s v="Off-Peak"/>
    <x v="1"/>
    <n v="0"/>
    <s v="8–30 days"/>
  </r>
  <r>
    <s v="B000020"/>
    <s v="G00098"/>
    <s v="H009"/>
    <s v="CH01"/>
    <d v="2025-08-24T00:00:00"/>
    <d v="2025-08-31T00:00:00"/>
    <x v="1"/>
    <n v="8683"/>
    <x v="0"/>
    <b v="0"/>
    <x v="4"/>
    <x v="7"/>
    <n v="2025"/>
    <n v="6"/>
    <n v="8"/>
    <n v="2025"/>
    <n v="6"/>
    <s v="Yes"/>
    <x v="0"/>
    <s v="India"/>
    <x v="1"/>
    <s v="StayNest Airport"/>
    <x v="9"/>
    <s v="Business"/>
    <n v="160"/>
    <x v="5"/>
    <s v="Direct"/>
    <d v="2025-08-31T00:00:00"/>
    <s v="Yes"/>
    <s v="No"/>
    <s v="Off-Peak"/>
    <x v="1"/>
    <n v="0"/>
    <s v="0–7 days"/>
  </r>
  <r>
    <s v="B000021"/>
    <s v="G00323"/>
    <s v="H001"/>
    <s v="CH02"/>
    <d v="2026-08-25T00:00:00"/>
    <d v="2026-08-28T00:00:00"/>
    <x v="1"/>
    <n v="5984"/>
    <x v="2"/>
    <b v="0"/>
    <x v="6"/>
    <x v="7"/>
    <n v="2026"/>
    <n v="4"/>
    <n v="8"/>
    <n v="2026"/>
    <n v="1"/>
    <s v="No"/>
    <x v="1"/>
    <s v="UAE"/>
    <x v="0"/>
    <s v="StayNest Marina"/>
    <x v="1"/>
    <s v="Business"/>
    <n v="120"/>
    <x v="3"/>
    <s v="App Push"/>
    <d v="2026-08-28T00:00:00"/>
    <s v="No"/>
    <s v="No"/>
    <s v="Off-Peak"/>
    <x v="1"/>
    <n v="0"/>
    <s v="0–7 days"/>
  </r>
  <r>
    <s v="B000022"/>
    <s v="G00554"/>
    <s v="H006"/>
    <s v="CH04"/>
    <d v="2025-05-24T00:00:00"/>
    <d v="2025-07-23T00:00:00"/>
    <x v="2"/>
    <n v="3726"/>
    <x v="0"/>
    <b v="0"/>
    <x v="1"/>
    <x v="8"/>
    <n v="2025"/>
    <n v="2"/>
    <n v="5"/>
    <n v="2025"/>
    <n v="5"/>
    <s v="No"/>
    <x v="3"/>
    <s v="Germany"/>
    <x v="1"/>
    <s v="StayNest Beach"/>
    <x v="3"/>
    <s v="Resort"/>
    <n v="100"/>
    <x v="4"/>
    <s v="Partner"/>
    <d v="2025-07-23T00:00:00"/>
    <s v="No"/>
    <s v="No"/>
    <s v="Off-Peak"/>
    <x v="1"/>
    <n v="0"/>
    <s v="31–90 days"/>
  </r>
  <r>
    <s v="B000023"/>
    <s v="G00629"/>
    <s v="H010"/>
    <s v="CH04"/>
    <d v="2025-12-01T00:00:00"/>
    <d v="2025-12-02T00:00:00"/>
    <x v="3"/>
    <n v="9414"/>
    <x v="2"/>
    <b v="0"/>
    <x v="7"/>
    <x v="5"/>
    <n v="2025"/>
    <n v="1"/>
    <n v="12"/>
    <n v="2025"/>
    <n v="0"/>
    <s v="No"/>
    <x v="1"/>
    <s v="India"/>
    <x v="0"/>
    <s v="StayNest Garden"/>
    <x v="10"/>
    <s v="Boutique"/>
    <n v="70"/>
    <x v="4"/>
    <s v="Partner"/>
    <d v="2025-12-02T00:00:00"/>
    <s v="No"/>
    <s v="No"/>
    <s v="Peak"/>
    <x v="1"/>
    <n v="0"/>
    <s v="0–7 days"/>
  </r>
  <r>
    <s v="B000024"/>
    <s v="G00390"/>
    <s v="H002"/>
    <s v="CH05"/>
    <d v="2025-10-30T00:00:00"/>
    <d v="2025-12-29T00:00:00"/>
    <x v="2"/>
    <n v="2748"/>
    <x v="0"/>
    <b v="0"/>
    <x v="1"/>
    <x v="5"/>
    <n v="2025"/>
    <n v="0"/>
    <n v="10"/>
    <n v="2025"/>
    <n v="3"/>
    <s v="No"/>
    <x v="3"/>
    <s v="India"/>
    <x v="0"/>
    <s v="StayNest Central"/>
    <x v="0"/>
    <s v="Business"/>
    <n v="150"/>
    <x v="2"/>
    <s v="Corporate Rate"/>
    <d v="2025-12-29T00:00:00"/>
    <s v="No"/>
    <s v="No"/>
    <s v="Peak"/>
    <x v="1"/>
    <n v="0"/>
    <s v="31–90 days"/>
  </r>
  <r>
    <s v="B000025"/>
    <s v="G00370"/>
    <s v="H002"/>
    <s v="CH01"/>
    <d v="2025-01-06T00:00:00"/>
    <d v="2025-06-05T00:00:00"/>
    <x v="1"/>
    <n v="5542"/>
    <x v="0"/>
    <b v="0"/>
    <x v="5"/>
    <x v="1"/>
    <n v="2025"/>
    <n v="3"/>
    <n v="1"/>
    <n v="2025"/>
    <n v="0"/>
    <s v="No"/>
    <x v="2"/>
    <s v="India"/>
    <x v="0"/>
    <s v="StayNest Central"/>
    <x v="0"/>
    <s v="Business"/>
    <n v="150"/>
    <x v="5"/>
    <s v="Direct"/>
    <d v="2025-06-05T00:00:00"/>
    <s v="No"/>
    <s v="No"/>
    <s v="Shoulder"/>
    <x v="1"/>
    <n v="0"/>
    <s v="91–180 days"/>
  </r>
  <r>
    <s v="B000026"/>
    <s v="G00525"/>
    <s v="H007"/>
    <s v="CH01"/>
    <d v="2025-01-27T00:00:00"/>
    <d v="2025-01-30T00:00:00"/>
    <x v="2"/>
    <n v="3424"/>
    <x v="0"/>
    <b v="0"/>
    <x v="6"/>
    <x v="6"/>
    <n v="2025"/>
    <n v="3"/>
    <n v="1"/>
    <n v="2025"/>
    <n v="0"/>
    <s v="No"/>
    <x v="3"/>
    <s v="United States"/>
    <x v="0"/>
    <s v="StayNest Tech Park"/>
    <x v="6"/>
    <s v="Business"/>
    <n v="140"/>
    <x v="5"/>
    <s v="Direct"/>
    <d v="2025-01-30T00:00:00"/>
    <s v="No"/>
    <s v="No"/>
    <s v="Off-Peak"/>
    <x v="1"/>
    <n v="0"/>
    <s v="0–7 days"/>
  </r>
  <r>
    <s v="B000027"/>
    <s v="G00573"/>
    <s v="H004"/>
    <s v="CH05"/>
    <d v="2026-06-18T00:00:00"/>
    <d v="2026-06-21T00:00:00"/>
    <x v="1"/>
    <n v="6099"/>
    <x v="1"/>
    <b v="0"/>
    <x v="6"/>
    <x v="1"/>
    <n v="2026"/>
    <n v="6"/>
    <n v="6"/>
    <n v="2026"/>
    <n v="3"/>
    <s v="Yes"/>
    <x v="2"/>
    <s v="India"/>
    <x v="0"/>
    <s v="StayNest Lakeview"/>
    <x v="2"/>
    <s v="Resort"/>
    <n v="75"/>
    <x v="2"/>
    <s v="Corporate Rate"/>
    <d v="2026-06-21T00:00:00"/>
    <s v="Yes"/>
    <s v="No"/>
    <s v="Shoulder"/>
    <x v="1"/>
    <n v="1"/>
    <s v="0–7 days"/>
  </r>
  <r>
    <s v="B000028"/>
    <s v="G00446"/>
    <s v="H005"/>
    <s v="CH04"/>
    <d v="2025-11-03T00:00:00"/>
    <d v="2025-11-17T00:00:00"/>
    <x v="2"/>
    <n v="2715"/>
    <x v="0"/>
    <b v="0"/>
    <x v="3"/>
    <x v="4"/>
    <n v="2025"/>
    <n v="0"/>
    <n v="11"/>
    <n v="2025"/>
    <n v="0"/>
    <s v="No"/>
    <x v="1"/>
    <s v="India"/>
    <x v="0"/>
    <s v="StayNest Heritage"/>
    <x v="11"/>
    <s v="Heritage"/>
    <n v="90"/>
    <x v="4"/>
    <s v="Partner"/>
    <d v="2025-11-17T00:00:00"/>
    <s v="No"/>
    <s v="No"/>
    <s v="Off-Peak"/>
    <x v="1"/>
    <n v="0"/>
    <s v="8–30 days"/>
  </r>
  <r>
    <s v="B000029"/>
    <s v="G00312"/>
    <s v="H001"/>
    <s v="CH04"/>
    <d v="2025-12-07T00:00:00"/>
    <d v="2026-03-17T00:00:00"/>
    <x v="1"/>
    <n v="8340"/>
    <x v="0"/>
    <b v="0"/>
    <x v="0"/>
    <x v="3"/>
    <n v="2026"/>
    <n v="1"/>
    <n v="12"/>
    <n v="2025"/>
    <n v="6"/>
    <s v="No"/>
    <x v="1"/>
    <s v="India"/>
    <x v="0"/>
    <s v="StayNest Marina"/>
    <x v="1"/>
    <s v="Business"/>
    <n v="120"/>
    <x v="4"/>
    <s v="Partner"/>
    <d v="2026-03-17T00:00:00"/>
    <s v="No"/>
    <s v="No"/>
    <s v="Shoulder"/>
    <x v="1"/>
    <n v="0"/>
    <s v="91–180 days"/>
  </r>
  <r>
    <s v="B000030"/>
    <s v="G00308"/>
    <s v="H006"/>
    <s v="CH05"/>
    <d v="2025-07-25T00:00:00"/>
    <d v="2025-08-08T00:00:00"/>
    <x v="0"/>
    <n v="4807"/>
    <x v="0"/>
    <b v="0"/>
    <x v="3"/>
    <x v="7"/>
    <n v="2025"/>
    <n v="4"/>
    <n v="7"/>
    <n v="2025"/>
    <n v="4"/>
    <s v="No"/>
    <x v="0"/>
    <s v="India"/>
    <x v="0"/>
    <s v="StayNest Beach"/>
    <x v="3"/>
    <s v="Resort"/>
    <n v="100"/>
    <x v="2"/>
    <s v="Corporate Rate"/>
    <d v="2025-08-08T00:00:00"/>
    <s v="No"/>
    <s v="No"/>
    <s v="Off-Peak"/>
    <x v="1"/>
    <n v="0"/>
    <s v="8–30 days"/>
  </r>
  <r>
    <s v="B000031"/>
    <s v="G00249"/>
    <s v="H006"/>
    <s v="CH04"/>
    <d v="2025-10-15T00:00:00"/>
    <d v="2026-01-23T00:00:00"/>
    <x v="1"/>
    <n v="7425"/>
    <x v="1"/>
    <b v="0"/>
    <x v="0"/>
    <x v="6"/>
    <n v="2026"/>
    <n v="4"/>
    <n v="10"/>
    <n v="2025"/>
    <n v="2"/>
    <s v="No"/>
    <x v="1"/>
    <s v="Germany"/>
    <x v="0"/>
    <s v="StayNest Beach"/>
    <x v="3"/>
    <s v="Resort"/>
    <n v="100"/>
    <x v="4"/>
    <s v="Partner"/>
    <d v="2026-01-23T00:00:00"/>
    <s v="No"/>
    <s v="No"/>
    <s v="Off-Peak"/>
    <x v="1"/>
    <n v="1"/>
    <s v="91–180 days"/>
  </r>
  <r>
    <s v="B000032"/>
    <s v="G00564"/>
    <s v="H001"/>
    <s v="CH06"/>
    <d v="2026-04-18T00:00:00"/>
    <d v="2026-09-15T00:00:00"/>
    <x v="0"/>
    <n v="4693"/>
    <x v="2"/>
    <b v="0"/>
    <x v="5"/>
    <x v="10"/>
    <n v="2026"/>
    <n v="1"/>
    <n v="4"/>
    <n v="2026"/>
    <n v="5"/>
    <s v="No"/>
    <x v="1"/>
    <s v="Germany"/>
    <x v="0"/>
    <s v="StayNest Marina"/>
    <x v="1"/>
    <s v="Business"/>
    <n v="120"/>
    <x v="0"/>
    <s v="Retention"/>
    <d v="2026-09-15T00:00:00"/>
    <s v="No"/>
    <s v="No"/>
    <s v="Shoulder"/>
    <x v="1"/>
    <n v="0"/>
    <s v="91–180 days"/>
  </r>
  <r>
    <s v="B000033"/>
    <s v="G00143"/>
    <s v="H011"/>
    <s v="CH03"/>
    <d v="2025-09-05T00:00:00"/>
    <d v="2025-09-12T00:00:00"/>
    <x v="0"/>
    <n v="5044"/>
    <x v="0"/>
    <b v="0"/>
    <x v="4"/>
    <x v="10"/>
    <n v="2025"/>
    <n v="4"/>
    <n v="9"/>
    <n v="2025"/>
    <n v="4"/>
    <s v="No"/>
    <x v="0"/>
    <s v="India"/>
    <x v="0"/>
    <s v="StayNest Grand"/>
    <x v="8"/>
    <s v="Business"/>
    <n v="110"/>
    <x v="1"/>
    <s v="OTA Promo"/>
    <d v="2025-09-12T00:00:00"/>
    <s v="No"/>
    <s v="No"/>
    <s v="Shoulder"/>
    <x v="1"/>
    <n v="0"/>
    <s v="0–7 days"/>
  </r>
  <r>
    <s v="B000034"/>
    <s v="G00519"/>
    <s v="H012"/>
    <s v="CH04"/>
    <d v="2026-07-11T00:00:00"/>
    <d v="2026-07-12T00:00:00"/>
    <x v="3"/>
    <n v="7395"/>
    <x v="0"/>
    <b v="0"/>
    <x v="7"/>
    <x v="8"/>
    <n v="2026"/>
    <n v="6"/>
    <n v="7"/>
    <n v="2026"/>
    <n v="5"/>
    <s v="Yes"/>
    <x v="1"/>
    <s v="United Kingdom"/>
    <x v="1"/>
    <s v="StayNest Valley"/>
    <x v="4"/>
    <s v="Resort"/>
    <n v="65"/>
    <x v="4"/>
    <s v="Partner"/>
    <d v="2026-07-12T00:00:00"/>
    <s v="Yes"/>
    <s v="No"/>
    <s v="Off-Peak"/>
    <x v="1"/>
    <n v="0"/>
    <s v="0–7 days"/>
  </r>
  <r>
    <s v="B000035"/>
    <s v="G00628"/>
    <s v="H001"/>
    <s v="CH05"/>
    <d v="2026-10-23T00:00:00"/>
    <d v="2026-12-22T00:00:00"/>
    <x v="1"/>
    <n v="5043"/>
    <x v="2"/>
    <b v="0"/>
    <x v="1"/>
    <x v="5"/>
    <n v="2026"/>
    <n v="1"/>
    <n v="10"/>
    <n v="2026"/>
    <n v="4"/>
    <s v="No"/>
    <x v="3"/>
    <s v="UAE"/>
    <x v="0"/>
    <s v="StayNest Marina"/>
    <x v="1"/>
    <s v="Business"/>
    <n v="120"/>
    <x v="2"/>
    <s v="Corporate Rate"/>
    <d v="2026-12-22T00:00:00"/>
    <s v="No"/>
    <s v="No"/>
    <s v="Peak"/>
    <x v="1"/>
    <n v="0"/>
    <s v="31–90 days"/>
  </r>
  <r>
    <s v="B000036"/>
    <s v="G00572"/>
    <s v="H010"/>
    <s v="CH06"/>
    <d v="2026-08-13T00:00:00"/>
    <d v="2026-08-20T00:00:00"/>
    <x v="3"/>
    <n v="10599"/>
    <x v="1"/>
    <b v="0"/>
    <x v="4"/>
    <x v="7"/>
    <n v="2026"/>
    <n v="3"/>
    <n v="8"/>
    <n v="2026"/>
    <n v="3"/>
    <s v="No"/>
    <x v="0"/>
    <s v="India"/>
    <x v="0"/>
    <s v="StayNest Garden"/>
    <x v="10"/>
    <s v="Boutique"/>
    <n v="70"/>
    <x v="0"/>
    <s v="Retention"/>
    <d v="2026-08-20T00:00:00"/>
    <s v="No"/>
    <s v="No"/>
    <s v="Off-Peak"/>
    <x v="1"/>
    <n v="1"/>
    <s v="0–7 days"/>
  </r>
  <r>
    <s v="B000037"/>
    <s v="G00108"/>
    <s v="H005"/>
    <s v="CH04"/>
    <d v="2025-03-29T00:00:00"/>
    <d v="2025-04-01T00:00:00"/>
    <x v="0"/>
    <n v="4905"/>
    <x v="0"/>
    <b v="0"/>
    <x v="6"/>
    <x v="2"/>
    <n v="2025"/>
    <n v="1"/>
    <n v="3"/>
    <n v="2025"/>
    <n v="5"/>
    <s v="No"/>
    <x v="2"/>
    <s v="United Kingdom"/>
    <x v="0"/>
    <s v="StayNest Heritage"/>
    <x v="11"/>
    <s v="Heritage"/>
    <n v="90"/>
    <x v="4"/>
    <s v="Partner"/>
    <d v="2025-04-01T00:00:00"/>
    <s v="No"/>
    <s v="No"/>
    <s v="Peak"/>
    <x v="1"/>
    <n v="0"/>
    <s v="0–7 days"/>
  </r>
  <r>
    <s v="B000038"/>
    <s v="G00449"/>
    <s v="H012"/>
    <s v="CH06"/>
    <d v="2026-04-09T00:00:00"/>
    <d v="2026-04-16T00:00:00"/>
    <x v="3"/>
    <n v="6685"/>
    <x v="1"/>
    <b v="0"/>
    <x v="4"/>
    <x v="2"/>
    <n v="2026"/>
    <n v="3"/>
    <n v="4"/>
    <n v="2026"/>
    <n v="3"/>
    <s v="No"/>
    <x v="0"/>
    <s v="India"/>
    <x v="0"/>
    <s v="StayNest Valley"/>
    <x v="4"/>
    <s v="Resort"/>
    <n v="65"/>
    <x v="0"/>
    <s v="Retention"/>
    <d v="2026-04-16T00:00:00"/>
    <s v="No"/>
    <s v="No"/>
    <s v="Peak"/>
    <x v="1"/>
    <n v="1"/>
    <s v="0–7 days"/>
  </r>
  <r>
    <s v="B000039"/>
    <s v="G00169"/>
    <s v="H012"/>
    <s v="CH02"/>
    <d v="2026-06-13T00:00:00"/>
    <d v="2026-06-16T00:00:00"/>
    <x v="0"/>
    <n v="5246"/>
    <x v="0"/>
    <b v="0"/>
    <x v="6"/>
    <x v="1"/>
    <n v="2026"/>
    <n v="1"/>
    <n v="6"/>
    <n v="2026"/>
    <n v="5"/>
    <s v="No"/>
    <x v="1"/>
    <s v="India"/>
    <x v="1"/>
    <s v="StayNest Valley"/>
    <x v="4"/>
    <s v="Resort"/>
    <n v="65"/>
    <x v="3"/>
    <s v="App Push"/>
    <d v="2026-06-16T00:00:00"/>
    <s v="No"/>
    <s v="No"/>
    <s v="Shoulder"/>
    <x v="1"/>
    <n v="0"/>
    <s v="0–7 days"/>
  </r>
  <r>
    <s v="B000040"/>
    <s v="G00443"/>
    <s v="H007"/>
    <s v="CH01"/>
    <d v="2026-09-21T00:00:00"/>
    <d v="2026-12-30T00:00:00"/>
    <x v="1"/>
    <n v="7886"/>
    <x v="1"/>
    <b v="0"/>
    <x v="0"/>
    <x v="5"/>
    <n v="2026"/>
    <n v="2"/>
    <n v="9"/>
    <n v="2026"/>
    <n v="0"/>
    <s v="No"/>
    <x v="1"/>
    <s v="India"/>
    <x v="0"/>
    <s v="StayNest Tech Park"/>
    <x v="6"/>
    <s v="Business"/>
    <n v="140"/>
    <x v="5"/>
    <s v="Direct"/>
    <d v="2026-12-30T00:00:00"/>
    <s v="No"/>
    <s v="No"/>
    <s v="Peak"/>
    <x v="1"/>
    <n v="1"/>
    <s v="91–180 days"/>
  </r>
  <r>
    <s v="B000041"/>
    <s v="G00065"/>
    <s v="H010"/>
    <s v="CH01"/>
    <d v="2026-07-04T00:00:00"/>
    <d v="2026-07-11T00:00:00"/>
    <x v="3"/>
    <n v="8649"/>
    <x v="0"/>
    <b v="0"/>
    <x v="4"/>
    <x v="8"/>
    <n v="2026"/>
    <n v="5"/>
    <n v="7"/>
    <n v="2026"/>
    <n v="5"/>
    <s v="Yes"/>
    <x v="1"/>
    <s v="UAE"/>
    <x v="0"/>
    <s v="StayNest Garden"/>
    <x v="10"/>
    <s v="Boutique"/>
    <n v="70"/>
    <x v="5"/>
    <s v="Direct"/>
    <d v="2026-07-11T00:00:00"/>
    <s v="Yes"/>
    <s v="No"/>
    <s v="Off-Peak"/>
    <x v="1"/>
    <n v="0"/>
    <s v="0–7 days"/>
  </r>
  <r>
    <s v="B000042"/>
    <s v="G00612"/>
    <s v="H007"/>
    <s v="CH05"/>
    <d v="2026-02-06T00:00:00"/>
    <d v="2026-03-08T00:00:00"/>
    <x v="3"/>
    <n v="11557"/>
    <x v="0"/>
    <b v="0"/>
    <x v="2"/>
    <x v="3"/>
    <n v="2026"/>
    <n v="6"/>
    <n v="2"/>
    <n v="2026"/>
    <n v="4"/>
    <s v="Yes"/>
    <x v="2"/>
    <s v="UAE"/>
    <x v="0"/>
    <s v="StayNest Tech Park"/>
    <x v="6"/>
    <s v="Business"/>
    <n v="140"/>
    <x v="2"/>
    <s v="Corporate Rate"/>
    <d v="2026-03-08T00:00:00"/>
    <s v="Yes"/>
    <s v="No"/>
    <s v="Shoulder"/>
    <x v="1"/>
    <n v="0"/>
    <s v="8–30 days"/>
  </r>
  <r>
    <s v="B000043"/>
    <s v="G00630"/>
    <s v="H010"/>
    <s v="CH01"/>
    <d v="2026-11-20T00:00:00"/>
    <d v="2026-11-23T00:00:00"/>
    <x v="2"/>
    <n v="2825"/>
    <x v="0"/>
    <b v="0"/>
    <x v="6"/>
    <x v="4"/>
    <n v="2026"/>
    <n v="0"/>
    <n v="11"/>
    <n v="2026"/>
    <n v="4"/>
    <s v="No"/>
    <x v="1"/>
    <s v="India"/>
    <x v="1"/>
    <s v="StayNest Garden"/>
    <x v="10"/>
    <s v="Boutique"/>
    <n v="70"/>
    <x v="5"/>
    <s v="Direct"/>
    <d v="2026-11-23T00:00:00"/>
    <s v="No"/>
    <s v="No"/>
    <s v="Off-Peak"/>
    <x v="1"/>
    <n v="0"/>
    <s v="0–7 days"/>
  </r>
  <r>
    <s v="B000044"/>
    <s v="G00142"/>
    <s v="H010"/>
    <s v="CH04"/>
    <d v="2026-03-10T00:00:00"/>
    <d v="2026-03-17T00:00:00"/>
    <x v="0"/>
    <n v="5505"/>
    <x v="0"/>
    <b v="0"/>
    <x v="4"/>
    <x v="3"/>
    <n v="2026"/>
    <n v="1"/>
    <n v="3"/>
    <n v="2026"/>
    <n v="1"/>
    <s v="No"/>
    <x v="0"/>
    <s v="India"/>
    <x v="1"/>
    <s v="StayNest Garden"/>
    <x v="10"/>
    <s v="Boutique"/>
    <n v="70"/>
    <x v="4"/>
    <s v="Partner"/>
    <d v="2026-03-17T00:00:00"/>
    <s v="No"/>
    <s v="No"/>
    <s v="Shoulder"/>
    <x v="1"/>
    <n v="0"/>
    <s v="0–7 days"/>
  </r>
  <r>
    <s v="B000045"/>
    <s v="G00368"/>
    <s v="H001"/>
    <s v="CH04"/>
    <d v="2025-05-20T00:00:00"/>
    <d v="2025-05-27T00:00:00"/>
    <x v="1"/>
    <n v="7804"/>
    <x v="0"/>
    <b v="0"/>
    <x v="4"/>
    <x v="9"/>
    <n v="2025"/>
    <n v="1"/>
    <n v="5"/>
    <n v="2025"/>
    <n v="1"/>
    <s v="No"/>
    <x v="1"/>
    <s v="India"/>
    <x v="0"/>
    <s v="StayNest Marina"/>
    <x v="1"/>
    <s v="Business"/>
    <n v="120"/>
    <x v="4"/>
    <s v="Partner"/>
    <d v="2025-05-27T00:00:00"/>
    <s v="No"/>
    <s v="No"/>
    <s v="Peak"/>
    <x v="1"/>
    <n v="0"/>
    <s v="0–7 days"/>
  </r>
  <r>
    <s v="B000046"/>
    <s v="G00172"/>
    <s v="H002"/>
    <s v="CH05"/>
    <d v="2025-02-01T00:00:00"/>
    <d v="2025-04-02T00:00:00"/>
    <x v="0"/>
    <n v="4625"/>
    <x v="0"/>
    <b v="0"/>
    <x v="1"/>
    <x v="2"/>
    <n v="2025"/>
    <n v="2"/>
    <n v="2"/>
    <n v="2025"/>
    <n v="5"/>
    <s v="No"/>
    <x v="1"/>
    <s v="United States"/>
    <x v="0"/>
    <s v="StayNest Central"/>
    <x v="0"/>
    <s v="Business"/>
    <n v="150"/>
    <x v="2"/>
    <s v="Corporate Rate"/>
    <d v="2025-04-02T00:00:00"/>
    <s v="No"/>
    <s v="No"/>
    <s v="Peak"/>
    <x v="1"/>
    <n v="0"/>
    <s v="31–90 days"/>
  </r>
  <r>
    <s v="B000047"/>
    <s v="G00508"/>
    <s v="H009"/>
    <s v="CH05"/>
    <d v="2025-04-26T00:00:00"/>
    <d v="2025-05-26T00:00:00"/>
    <x v="3"/>
    <n v="10940"/>
    <x v="0"/>
    <b v="0"/>
    <x v="2"/>
    <x v="9"/>
    <n v="2025"/>
    <n v="0"/>
    <n v="4"/>
    <n v="2025"/>
    <n v="5"/>
    <s v="No"/>
    <x v="1"/>
    <s v="United States"/>
    <x v="0"/>
    <s v="StayNest Airport"/>
    <x v="9"/>
    <s v="Business"/>
    <n v="160"/>
    <x v="2"/>
    <s v="Corporate Rate"/>
    <d v="2025-05-26T00:00:00"/>
    <s v="No"/>
    <s v="No"/>
    <s v="Peak"/>
    <x v="1"/>
    <n v="0"/>
    <s v="8–30 days"/>
  </r>
  <r>
    <s v="B000048"/>
    <s v="G00224"/>
    <s v="H007"/>
    <s v="CH01"/>
    <d v="2026-11-01T00:00:00"/>
    <d v="2026-12-31T00:00:00"/>
    <x v="3"/>
    <n v="9355"/>
    <x v="3"/>
    <b v="0"/>
    <x v="1"/>
    <x v="5"/>
    <n v="2026"/>
    <n v="3"/>
    <n v="11"/>
    <n v="2026"/>
    <n v="6"/>
    <s v="No"/>
    <x v="3"/>
    <s v="India"/>
    <x v="0"/>
    <s v="StayNest Tech Park"/>
    <x v="6"/>
    <s v="Business"/>
    <n v="140"/>
    <x v="5"/>
    <s v="Direct"/>
    <d v="2026-12-31T00:00:00"/>
    <s v="No"/>
    <s v="No"/>
    <s v="Peak"/>
    <x v="1"/>
    <n v="0"/>
    <s v="31–90 days"/>
  </r>
  <r>
    <s v="B000050"/>
    <s v="G00288"/>
    <s v="H010"/>
    <s v="CH05"/>
    <d v="2025-06-22T00:00:00"/>
    <d v="2025-07-06T00:00:00"/>
    <x v="3"/>
    <n v="10714"/>
    <x v="1"/>
    <b v="0"/>
    <x v="3"/>
    <x v="8"/>
    <n v="2025"/>
    <n v="6"/>
    <n v="6"/>
    <n v="2025"/>
    <n v="6"/>
    <s v="Yes"/>
    <x v="3"/>
    <s v="United States"/>
    <x v="0"/>
    <s v="StayNest Garden"/>
    <x v="10"/>
    <s v="Boutique"/>
    <n v="70"/>
    <x v="2"/>
    <s v="Corporate Rate"/>
    <d v="2025-07-06T00:00:00"/>
    <s v="Yes"/>
    <s v="No"/>
    <s v="Off-Peak"/>
    <x v="1"/>
    <n v="1"/>
    <s v="8–30 days"/>
  </r>
  <r>
    <s v="B000051"/>
    <s v="G00422"/>
    <s v="H001"/>
    <s v="CH03"/>
    <d v="2026-11-03T00:00:00"/>
    <d v="2026-11-06T00:00:00"/>
    <x v="0"/>
    <n v="4819"/>
    <x v="0"/>
    <b v="0"/>
    <x v="6"/>
    <x v="4"/>
    <n v="2026"/>
    <n v="4"/>
    <n v="11"/>
    <n v="2026"/>
    <n v="1"/>
    <s v="No"/>
    <x v="2"/>
    <s v="India"/>
    <x v="0"/>
    <s v="StayNest Marina"/>
    <x v="1"/>
    <s v="Business"/>
    <n v="120"/>
    <x v="1"/>
    <s v="OTA Promo"/>
    <d v="2026-11-06T00:00:00"/>
    <s v="No"/>
    <s v="No"/>
    <s v="Off-Peak"/>
    <x v="1"/>
    <n v="0"/>
    <s v="0–7 days"/>
  </r>
  <r>
    <s v="B000052"/>
    <s v="G00648"/>
    <s v="H005"/>
    <s v="CH06"/>
    <d v="2026-03-01T00:00:00"/>
    <d v="2026-03-15T00:00:00"/>
    <x v="2"/>
    <n v="3025"/>
    <x v="3"/>
    <b v="0"/>
    <x v="3"/>
    <x v="3"/>
    <n v="2026"/>
    <n v="6"/>
    <n v="3"/>
    <n v="2026"/>
    <n v="6"/>
    <s v="Yes"/>
    <x v="0"/>
    <s v="United Kingdom"/>
    <x v="0"/>
    <s v="StayNest Heritage"/>
    <x v="11"/>
    <s v="Heritage"/>
    <n v="90"/>
    <x v="0"/>
    <s v="Retention"/>
    <d v="2026-03-15T00:00:00"/>
    <s v="Yes"/>
    <s v="No"/>
    <s v="Shoulder"/>
    <x v="1"/>
    <n v="0"/>
    <s v="8–30 days"/>
  </r>
  <r>
    <s v="B000053"/>
    <s v="G00336"/>
    <s v="H010"/>
    <s v="CH01"/>
    <d v="2025-04-06T00:00:00"/>
    <d v="2025-06-05T00:00:00"/>
    <x v="1"/>
    <n v="6629"/>
    <x v="0"/>
    <b v="0"/>
    <x v="1"/>
    <x v="1"/>
    <n v="2025"/>
    <n v="3"/>
    <n v="4"/>
    <n v="2025"/>
    <n v="6"/>
    <s v="No"/>
    <x v="3"/>
    <s v="India"/>
    <x v="1"/>
    <s v="StayNest Garden"/>
    <x v="10"/>
    <s v="Boutique"/>
    <n v="70"/>
    <x v="5"/>
    <s v="Direct"/>
    <d v="2025-06-05T00:00:00"/>
    <s v="No"/>
    <s v="No"/>
    <s v="Shoulder"/>
    <x v="1"/>
    <n v="0"/>
    <s v="31–90 days"/>
  </r>
  <r>
    <s v="B000054"/>
    <s v="G00275"/>
    <s v="H006"/>
    <s v="CH03"/>
    <d v="2025-12-12T00:00:00"/>
    <d v="2026-01-11T00:00:00"/>
    <x v="0"/>
    <n v="5487"/>
    <x v="1"/>
    <b v="0"/>
    <x v="2"/>
    <x v="6"/>
    <n v="2026"/>
    <n v="6"/>
    <n v="12"/>
    <n v="2025"/>
    <n v="4"/>
    <s v="Yes"/>
    <x v="0"/>
    <s v="United Kingdom"/>
    <x v="0"/>
    <s v="StayNest Beach"/>
    <x v="3"/>
    <s v="Resort"/>
    <n v="100"/>
    <x v="1"/>
    <s v="OTA Promo"/>
    <d v="2026-01-11T00:00:00"/>
    <s v="Yes"/>
    <s v="No"/>
    <s v="Off-Peak"/>
    <x v="1"/>
    <n v="1"/>
    <s v="8–30 days"/>
  </r>
  <r>
    <s v="B000055"/>
    <s v="G00102"/>
    <s v="H011"/>
    <s v="CH04"/>
    <d v="2025-01-17T00:00:00"/>
    <d v="2025-01-20T00:00:00"/>
    <x v="0"/>
    <n v="3502"/>
    <x v="2"/>
    <b v="0"/>
    <x v="6"/>
    <x v="6"/>
    <n v="2025"/>
    <n v="0"/>
    <n v="1"/>
    <n v="2025"/>
    <n v="4"/>
    <s v="No"/>
    <x v="3"/>
    <s v="India"/>
    <x v="1"/>
    <s v="StayNest Grand"/>
    <x v="8"/>
    <s v="Business"/>
    <n v="110"/>
    <x v="4"/>
    <s v="Partner"/>
    <d v="2025-01-20T00:00:00"/>
    <s v="No"/>
    <s v="No"/>
    <s v="Off-Peak"/>
    <x v="1"/>
    <n v="0"/>
    <s v="0–7 days"/>
  </r>
  <r>
    <s v="B000056"/>
    <s v="G00310"/>
    <s v="H003"/>
    <s v="CH03"/>
    <d v="2025-04-06T00:00:00"/>
    <d v="2025-05-06T00:00:00"/>
    <x v="3"/>
    <n v="6924"/>
    <x v="2"/>
    <b v="0"/>
    <x v="2"/>
    <x v="9"/>
    <n v="2025"/>
    <n v="1"/>
    <n v="4"/>
    <n v="2025"/>
    <n v="6"/>
    <s v="No"/>
    <x v="3"/>
    <s v="United States"/>
    <x v="1"/>
    <s v="StayNest Hills"/>
    <x v="5"/>
    <s v="Resort"/>
    <n v="80"/>
    <x v="1"/>
    <s v="OTA Promo"/>
    <d v="2025-05-06T00:00:00"/>
    <s v="No"/>
    <s v="No"/>
    <s v="Peak"/>
    <x v="1"/>
    <n v="0"/>
    <s v="8–30 days"/>
  </r>
  <r>
    <s v="B000057"/>
    <s v="G00440"/>
    <s v="H011"/>
    <s v="CH01"/>
    <d v="2025-04-08T00:00:00"/>
    <d v="2025-04-09T00:00:00"/>
    <x v="1"/>
    <n v="7127"/>
    <x v="1"/>
    <b v="0"/>
    <x v="7"/>
    <x v="2"/>
    <n v="2025"/>
    <n v="2"/>
    <n v="4"/>
    <n v="2025"/>
    <n v="1"/>
    <s v="No"/>
    <x v="0"/>
    <s v="India"/>
    <x v="0"/>
    <s v="StayNest Grand"/>
    <x v="8"/>
    <s v="Business"/>
    <n v="110"/>
    <x v="5"/>
    <s v="Direct"/>
    <d v="2025-04-09T00:00:00"/>
    <s v="No"/>
    <s v="No"/>
    <s v="Peak"/>
    <x v="1"/>
    <n v="1"/>
    <s v="0–7 days"/>
  </r>
  <r>
    <s v="B000058"/>
    <s v="G00352"/>
    <s v="H002"/>
    <s v="CH04"/>
    <d v="2025-05-16T00:00:00"/>
    <d v="2025-05-30T00:00:00"/>
    <x v="0"/>
    <n v="3919"/>
    <x v="0"/>
    <b v="0"/>
    <x v="3"/>
    <x v="9"/>
    <n v="2025"/>
    <n v="4"/>
    <n v="5"/>
    <n v="2025"/>
    <n v="4"/>
    <s v="No"/>
    <x v="3"/>
    <s v="Germany"/>
    <x v="1"/>
    <s v="StayNest Central"/>
    <x v="0"/>
    <s v="Business"/>
    <n v="150"/>
    <x v="4"/>
    <s v="Partner"/>
    <d v="2025-05-30T00:00:00"/>
    <s v="No"/>
    <s v="No"/>
    <s v="Peak"/>
    <x v="1"/>
    <n v="0"/>
    <s v="8–30 days"/>
  </r>
  <r>
    <s v="B000059"/>
    <s v="G00137"/>
    <s v="H011"/>
    <s v="CH06"/>
    <d v="2025-05-27T00:00:00"/>
    <d v="2025-05-28T00:00:00"/>
    <x v="2"/>
    <n v="3531"/>
    <x v="0"/>
    <b v="0"/>
    <x v="7"/>
    <x v="9"/>
    <n v="2025"/>
    <n v="2"/>
    <n v="5"/>
    <n v="2025"/>
    <n v="1"/>
    <s v="No"/>
    <x v="0"/>
    <s v="India"/>
    <x v="0"/>
    <s v="StayNest Grand"/>
    <x v="8"/>
    <s v="Business"/>
    <n v="110"/>
    <x v="0"/>
    <s v="Retention"/>
    <d v="2025-05-28T00:00:00"/>
    <s v="No"/>
    <s v="No"/>
    <s v="Peak"/>
    <x v="1"/>
    <n v="0"/>
    <s v="0–7 days"/>
  </r>
  <r>
    <s v="B000060"/>
    <s v="G00422"/>
    <s v="H010"/>
    <s v="CH06"/>
    <d v="2026-03-30T00:00:00"/>
    <d v="2026-07-08T00:00:00"/>
    <x v="2"/>
    <n v="2486"/>
    <x v="0"/>
    <b v="0"/>
    <x v="0"/>
    <x v="8"/>
    <n v="2026"/>
    <n v="2"/>
    <n v="3"/>
    <n v="2026"/>
    <n v="0"/>
    <s v="No"/>
    <x v="2"/>
    <s v="India"/>
    <x v="0"/>
    <s v="StayNest Garden"/>
    <x v="10"/>
    <s v="Boutique"/>
    <n v="70"/>
    <x v="0"/>
    <s v="Retention"/>
    <d v="2026-07-08T00:00:00"/>
    <s v="No"/>
    <s v="No"/>
    <s v="Off-Peak"/>
    <x v="1"/>
    <n v="0"/>
    <s v="91–180 days"/>
  </r>
  <r>
    <s v="B000061"/>
    <s v="G00144"/>
    <s v="H004"/>
    <s v="CH03"/>
    <d v="2026-10-23T00:00:00"/>
    <d v="2026-10-26T00:00:00"/>
    <x v="3"/>
    <n v="8183"/>
    <x v="1"/>
    <b v="0"/>
    <x v="6"/>
    <x v="11"/>
    <n v="2026"/>
    <n v="0"/>
    <n v="10"/>
    <n v="2026"/>
    <n v="4"/>
    <s v="No"/>
    <x v="0"/>
    <s v="India"/>
    <x v="0"/>
    <s v="StayNest Lakeview"/>
    <x v="2"/>
    <s v="Resort"/>
    <n v="75"/>
    <x v="1"/>
    <s v="OTA Promo"/>
    <d v="2026-10-26T00:00:00"/>
    <s v="No"/>
    <s v="No"/>
    <s v="Shoulder"/>
    <x v="1"/>
    <n v="1"/>
    <s v="0–7 days"/>
  </r>
  <r>
    <s v="B000062"/>
    <s v="G00402"/>
    <s v="H005"/>
    <s v="CH06"/>
    <d v="2025-02-25T00:00:00"/>
    <d v="2025-04-26T00:00:00"/>
    <x v="0"/>
    <n v="3961"/>
    <x v="1"/>
    <b v="0"/>
    <x v="1"/>
    <x v="2"/>
    <n v="2025"/>
    <n v="5"/>
    <n v="2"/>
    <n v="2025"/>
    <n v="1"/>
    <s v="Yes"/>
    <x v="3"/>
    <s v="India"/>
    <x v="0"/>
    <s v="StayNest Heritage"/>
    <x v="11"/>
    <s v="Heritage"/>
    <n v="90"/>
    <x v="0"/>
    <s v="Retention"/>
    <d v="2025-04-26T00:00:00"/>
    <s v="Yes"/>
    <s v="No"/>
    <s v="Peak"/>
    <x v="1"/>
    <n v="1"/>
    <s v="31–90 days"/>
  </r>
  <r>
    <s v="B000063"/>
    <s v="G00013"/>
    <s v="H006"/>
    <s v="CH03"/>
    <d v="2025-05-16T00:00:00"/>
    <d v="2025-05-30T00:00:00"/>
    <x v="1"/>
    <n v="8909"/>
    <x v="1"/>
    <b v="0"/>
    <x v="3"/>
    <x v="9"/>
    <n v="2025"/>
    <n v="4"/>
    <n v="5"/>
    <n v="2025"/>
    <n v="4"/>
    <s v="No"/>
    <x v="0"/>
    <s v="India"/>
    <x v="0"/>
    <s v="StayNest Beach"/>
    <x v="3"/>
    <s v="Resort"/>
    <n v="100"/>
    <x v="1"/>
    <s v="OTA Promo"/>
    <d v="2025-05-30T00:00:00"/>
    <s v="No"/>
    <s v="No"/>
    <s v="Peak"/>
    <x v="1"/>
    <n v="1"/>
    <s v="8–30 days"/>
  </r>
  <r>
    <s v="B000064"/>
    <s v="G00602"/>
    <s v="H002"/>
    <s v="CH01"/>
    <d v="2025-09-26T00:00:00"/>
    <d v="2025-10-03T00:00:00"/>
    <x v="2"/>
    <n v="3237"/>
    <x v="2"/>
    <b v="0"/>
    <x v="4"/>
    <x v="11"/>
    <n v="2025"/>
    <n v="4"/>
    <n v="9"/>
    <n v="2025"/>
    <n v="4"/>
    <s v="No"/>
    <x v="3"/>
    <s v="United States"/>
    <x v="1"/>
    <s v="StayNest Central"/>
    <x v="0"/>
    <s v="Business"/>
    <n v="150"/>
    <x v="5"/>
    <s v="Direct"/>
    <d v="2025-10-03T00:00:00"/>
    <s v="No"/>
    <s v="No"/>
    <s v="Shoulder"/>
    <x v="1"/>
    <n v="0"/>
    <s v="0–7 days"/>
  </r>
  <r>
    <s v="B000065"/>
    <s v="G00085"/>
    <s v="H011"/>
    <s v="CH05"/>
    <d v="2026-07-05T00:00:00"/>
    <d v="2026-08-04T00:00:00"/>
    <x v="3"/>
    <n v="10688"/>
    <x v="0"/>
    <b v="0"/>
    <x v="2"/>
    <x v="7"/>
    <n v="2026"/>
    <n v="1"/>
    <n v="7"/>
    <n v="2026"/>
    <n v="6"/>
    <s v="No"/>
    <x v="1"/>
    <s v="India"/>
    <x v="0"/>
    <s v="StayNest Grand"/>
    <x v="8"/>
    <s v="Business"/>
    <n v="110"/>
    <x v="2"/>
    <s v="Corporate Rate"/>
    <d v="2026-08-04T00:00:00"/>
    <s v="No"/>
    <s v="No"/>
    <s v="Off-Peak"/>
    <x v="1"/>
    <n v="0"/>
    <s v="8–30 days"/>
  </r>
  <r>
    <s v="B000066"/>
    <s v="G00401"/>
    <s v="H010"/>
    <s v="CH06"/>
    <d v="2026-10-28T00:00:00"/>
    <d v="2026-12-27T00:00:00"/>
    <x v="2"/>
    <n v="3630"/>
    <x v="0"/>
    <b v="0"/>
    <x v="1"/>
    <x v="5"/>
    <n v="2026"/>
    <n v="6"/>
    <n v="10"/>
    <n v="2026"/>
    <n v="2"/>
    <s v="Yes"/>
    <x v="0"/>
    <s v="India"/>
    <x v="0"/>
    <s v="StayNest Garden"/>
    <x v="10"/>
    <s v="Boutique"/>
    <n v="70"/>
    <x v="0"/>
    <s v="Retention"/>
    <d v="2026-12-27T00:00:00"/>
    <s v="Yes"/>
    <s v="No"/>
    <s v="Peak"/>
    <x v="1"/>
    <n v="0"/>
    <s v="31–90 days"/>
  </r>
  <r>
    <s v="B000067"/>
    <s v="G00627"/>
    <s v="H010"/>
    <s v="CH01"/>
    <d v="2025-11-13T00:00:00"/>
    <d v="2025-12-13T00:00:00"/>
    <x v="0"/>
    <n v="4062"/>
    <x v="0"/>
    <b v="0"/>
    <x v="2"/>
    <x v="5"/>
    <n v="2025"/>
    <n v="5"/>
    <n v="11"/>
    <n v="2025"/>
    <n v="3"/>
    <s v="Yes"/>
    <x v="1"/>
    <s v="India"/>
    <x v="0"/>
    <s v="StayNest Garden"/>
    <x v="10"/>
    <s v="Boutique"/>
    <n v="70"/>
    <x v="5"/>
    <s v="Direct"/>
    <d v="2025-12-13T00:00:00"/>
    <s v="Yes"/>
    <s v="No"/>
    <s v="Peak"/>
    <x v="1"/>
    <n v="0"/>
    <s v="8–30 days"/>
  </r>
  <r>
    <s v="B000068"/>
    <s v="G00266"/>
    <s v="H003"/>
    <s v="CH03"/>
    <d v="2025-05-10T00:00:00"/>
    <d v="2025-07-09T00:00:00"/>
    <x v="3"/>
    <n v="9244"/>
    <x v="0"/>
    <b v="0"/>
    <x v="1"/>
    <x v="8"/>
    <n v="2025"/>
    <n v="2"/>
    <n v="5"/>
    <n v="2025"/>
    <n v="5"/>
    <s v="No"/>
    <x v="0"/>
    <s v="India"/>
    <x v="0"/>
    <s v="StayNest Hills"/>
    <x v="5"/>
    <s v="Resort"/>
    <n v="80"/>
    <x v="1"/>
    <s v="OTA Promo"/>
    <d v="2025-07-09T00:00:00"/>
    <s v="No"/>
    <s v="No"/>
    <s v="Off-Peak"/>
    <x v="1"/>
    <n v="0"/>
    <s v="31–90 days"/>
  </r>
  <r>
    <s v="B000069"/>
    <s v="G00591"/>
    <s v="H011"/>
    <s v="CH01"/>
    <d v="2026-05-24T00:00:00"/>
    <d v="2026-06-07T00:00:00"/>
    <x v="3"/>
    <n v="7867"/>
    <x v="2"/>
    <b v="0"/>
    <x v="3"/>
    <x v="1"/>
    <n v="2026"/>
    <n v="6"/>
    <n v="5"/>
    <n v="2026"/>
    <n v="6"/>
    <s v="Yes"/>
    <x v="1"/>
    <s v="United States"/>
    <x v="0"/>
    <s v="StayNest Grand"/>
    <x v="8"/>
    <s v="Business"/>
    <n v="110"/>
    <x v="5"/>
    <s v="Direct"/>
    <d v="2026-06-07T00:00:00"/>
    <s v="Yes"/>
    <s v="No"/>
    <s v="Shoulder"/>
    <x v="1"/>
    <n v="0"/>
    <s v="8–30 days"/>
  </r>
  <r>
    <s v="B000070"/>
    <s v="G00119"/>
    <s v="H004"/>
    <s v="CH06"/>
    <d v="2026-06-06T00:00:00"/>
    <d v="2026-06-07T00:00:00"/>
    <x v="2"/>
    <n v="2294"/>
    <x v="3"/>
    <b v="0"/>
    <x v="7"/>
    <x v="1"/>
    <n v="2026"/>
    <n v="6"/>
    <n v="6"/>
    <n v="2026"/>
    <n v="5"/>
    <s v="Yes"/>
    <x v="2"/>
    <s v="India"/>
    <x v="0"/>
    <s v="StayNest Lakeview"/>
    <x v="2"/>
    <s v="Resort"/>
    <n v="75"/>
    <x v="0"/>
    <s v="Retention"/>
    <d v="2026-06-07T00:00:00"/>
    <s v="Yes"/>
    <s v="No"/>
    <s v="Shoulder"/>
    <x v="1"/>
    <n v="0"/>
    <s v="0–7 days"/>
  </r>
  <r>
    <s v="B000071"/>
    <s v="G00037"/>
    <s v="H009"/>
    <s v="CH06"/>
    <d v="2026-11-03T00:00:00"/>
    <d v="2026-11-17T00:00:00"/>
    <x v="3"/>
    <n v="8722"/>
    <x v="0"/>
    <b v="0"/>
    <x v="3"/>
    <x v="4"/>
    <n v="2026"/>
    <n v="1"/>
    <n v="11"/>
    <n v="2026"/>
    <n v="1"/>
    <s v="No"/>
    <x v="3"/>
    <s v="Germany"/>
    <x v="0"/>
    <s v="StayNest Airport"/>
    <x v="9"/>
    <s v="Business"/>
    <n v="160"/>
    <x v="0"/>
    <s v="Retention"/>
    <d v="2026-11-17T00:00:00"/>
    <s v="No"/>
    <s v="No"/>
    <s v="Off-Peak"/>
    <x v="1"/>
    <n v="0"/>
    <s v="8–30 days"/>
  </r>
  <r>
    <s v="B000072"/>
    <s v="G00054"/>
    <s v="H003"/>
    <s v="CH02"/>
    <d v="2026-06-13T00:00:00"/>
    <d v="2027-01-19T00:00:00"/>
    <x v="1"/>
    <n v="8168"/>
    <x v="0"/>
    <b v="0"/>
    <x v="8"/>
    <x v="6"/>
    <n v="2027"/>
    <n v="1"/>
    <n v="6"/>
    <n v="2026"/>
    <n v="5"/>
    <s v="No"/>
    <x v="1"/>
    <s v="India"/>
    <x v="0"/>
    <s v="StayNest Hills"/>
    <x v="5"/>
    <s v="Resort"/>
    <n v="80"/>
    <x v="3"/>
    <s v="App Push"/>
    <m/>
    <s v="Unknown"/>
    <s v="Unknown"/>
    <s v="Unknown"/>
    <x v="0"/>
    <n v="0"/>
    <s v="181+ days"/>
  </r>
  <r>
    <s v="B000073"/>
    <s v="G00009"/>
    <s v="H006"/>
    <s v="CH02"/>
    <d v="2025-10-26T00:00:00"/>
    <d v="2025-11-25T00:00:00"/>
    <x v="3"/>
    <n v="9516"/>
    <x v="2"/>
    <b v="0"/>
    <x v="2"/>
    <x v="4"/>
    <n v="2025"/>
    <n v="1"/>
    <n v="10"/>
    <n v="2025"/>
    <n v="6"/>
    <s v="No"/>
    <x v="2"/>
    <s v="India"/>
    <x v="1"/>
    <s v="StayNest Beach"/>
    <x v="3"/>
    <s v="Resort"/>
    <n v="100"/>
    <x v="3"/>
    <s v="App Push"/>
    <d v="2025-11-25T00:00:00"/>
    <s v="No"/>
    <s v="No"/>
    <s v="Off-Peak"/>
    <x v="1"/>
    <n v="0"/>
    <s v="8–30 days"/>
  </r>
  <r>
    <s v="B000074"/>
    <s v="G00560"/>
    <s v="H004"/>
    <s v="CH02"/>
    <d v="2025-01-07T00:00:00"/>
    <d v="2025-06-06T00:00:00"/>
    <x v="2"/>
    <n v="3309"/>
    <x v="1"/>
    <b v="0"/>
    <x v="5"/>
    <x v="1"/>
    <n v="2025"/>
    <n v="4"/>
    <n v="1"/>
    <n v="2025"/>
    <n v="1"/>
    <s v="No"/>
    <x v="1"/>
    <s v="India"/>
    <x v="1"/>
    <s v="StayNest Lakeview"/>
    <x v="2"/>
    <s v="Resort"/>
    <n v="75"/>
    <x v="3"/>
    <s v="App Push"/>
    <d v="2025-06-06T00:00:00"/>
    <s v="No"/>
    <s v="No"/>
    <s v="Shoulder"/>
    <x v="1"/>
    <n v="1"/>
    <s v="91–180 days"/>
  </r>
  <r>
    <s v="B000075"/>
    <s v="G00344"/>
    <s v="H001"/>
    <s v="CH06"/>
    <d v="2026-01-21T00:00:00"/>
    <d v="2026-05-01T00:00:00"/>
    <x v="3"/>
    <n v="8451"/>
    <x v="1"/>
    <b v="0"/>
    <x v="0"/>
    <x v="9"/>
    <n v="2026"/>
    <n v="4"/>
    <n v="1"/>
    <n v="2026"/>
    <n v="2"/>
    <s v="No"/>
    <x v="1"/>
    <s v="India"/>
    <x v="1"/>
    <s v="StayNest Marina"/>
    <x v="1"/>
    <s v="Business"/>
    <n v="120"/>
    <x v="0"/>
    <s v="Retention"/>
    <d v="2026-05-01T00:00:00"/>
    <s v="No"/>
    <s v="No"/>
    <s v="Peak"/>
    <x v="1"/>
    <n v="1"/>
    <s v="91–180 days"/>
  </r>
  <r>
    <s v="B000076"/>
    <s v="G00146"/>
    <s v="H012"/>
    <s v="CH03"/>
    <d v="2025-04-06T00:00:00"/>
    <d v="2025-04-07T00:00:00"/>
    <x v="0"/>
    <n v="5025"/>
    <x v="0"/>
    <b v="0"/>
    <x v="7"/>
    <x v="2"/>
    <n v="2025"/>
    <n v="0"/>
    <n v="4"/>
    <n v="2025"/>
    <n v="6"/>
    <s v="No"/>
    <x v="1"/>
    <s v="India"/>
    <x v="0"/>
    <s v="StayNest Valley"/>
    <x v="4"/>
    <s v="Resort"/>
    <n v="65"/>
    <x v="1"/>
    <s v="OTA Promo"/>
    <d v="2025-04-07T00:00:00"/>
    <s v="No"/>
    <s v="No"/>
    <s v="Peak"/>
    <x v="1"/>
    <n v="0"/>
    <s v="0–7 days"/>
  </r>
  <r>
    <s v="B000077"/>
    <s v="G00404"/>
    <s v="H002"/>
    <s v="CH05"/>
    <d v="2026-08-05T00:00:00"/>
    <d v="2026-08-06T00:00:00"/>
    <x v="0"/>
    <n v="4569"/>
    <x v="2"/>
    <b v="0"/>
    <x v="7"/>
    <x v="7"/>
    <n v="2026"/>
    <n v="3"/>
    <n v="8"/>
    <n v="2026"/>
    <n v="2"/>
    <s v="No"/>
    <x v="3"/>
    <s v="India"/>
    <x v="0"/>
    <s v="StayNest Central"/>
    <x v="0"/>
    <s v="Business"/>
    <n v="150"/>
    <x v="2"/>
    <s v="Corporate Rate"/>
    <d v="2026-08-06T00:00:00"/>
    <s v="No"/>
    <s v="No"/>
    <s v="Off-Peak"/>
    <x v="1"/>
    <n v="0"/>
    <s v="0–7 days"/>
  </r>
  <r>
    <s v="B000078"/>
    <s v="G00326"/>
    <s v="H008"/>
    <s v="CH03"/>
    <d v="2025-08-28T00:00:00"/>
    <d v="2025-08-29T00:00:00"/>
    <x v="0"/>
    <n v="5894"/>
    <x v="0"/>
    <b v="0"/>
    <x v="7"/>
    <x v="7"/>
    <n v="2025"/>
    <n v="4"/>
    <n v="8"/>
    <n v="2025"/>
    <n v="3"/>
    <s v="No"/>
    <x v="3"/>
    <s v="India"/>
    <x v="0"/>
    <s v="StayNest Palace"/>
    <x v="7"/>
    <s v="Heritage"/>
    <n v="85"/>
    <x v="1"/>
    <s v="OTA Promo"/>
    <d v="2025-08-29T00:00:00"/>
    <s v="No"/>
    <s v="No"/>
    <s v="Off-Peak"/>
    <x v="1"/>
    <n v="0"/>
    <s v="0–7 days"/>
  </r>
  <r>
    <s v="B000079"/>
    <s v="G00124"/>
    <s v="H009"/>
    <s v="CH03"/>
    <d v="2025-08-01T00:00:00"/>
    <d v="2025-08-15T00:00:00"/>
    <x v="1"/>
    <n v="5645"/>
    <x v="1"/>
    <b v="0"/>
    <x v="3"/>
    <x v="7"/>
    <n v="2025"/>
    <n v="4"/>
    <n v="8"/>
    <n v="2025"/>
    <n v="4"/>
    <s v="No"/>
    <x v="2"/>
    <s v="India"/>
    <x v="0"/>
    <s v="StayNest Airport"/>
    <x v="9"/>
    <s v="Business"/>
    <n v="160"/>
    <x v="1"/>
    <s v="OTA Promo"/>
    <d v="2025-08-15T00:00:00"/>
    <s v="No"/>
    <s v="Yes"/>
    <s v="Off-Peak"/>
    <x v="2"/>
    <n v="1"/>
    <s v="8–30 days"/>
  </r>
  <r>
    <s v="B000080"/>
    <s v="G00618"/>
    <s v="H001"/>
    <s v="CH02"/>
    <d v="2025-12-02T00:00:00"/>
    <d v="2025-12-05T00:00:00"/>
    <x v="0"/>
    <n v="5603"/>
    <x v="0"/>
    <b v="0"/>
    <x v="6"/>
    <x v="5"/>
    <n v="2025"/>
    <n v="4"/>
    <n v="12"/>
    <n v="2025"/>
    <n v="1"/>
    <s v="No"/>
    <x v="1"/>
    <s v="India"/>
    <x v="0"/>
    <s v="StayNest Marina"/>
    <x v="1"/>
    <s v="Business"/>
    <n v="120"/>
    <x v="3"/>
    <s v="App Push"/>
    <d v="2025-12-05T00:00:00"/>
    <s v="No"/>
    <s v="No"/>
    <s v="Peak"/>
    <x v="1"/>
    <n v="0"/>
    <s v="0–7 days"/>
  </r>
  <r>
    <s v="B000081"/>
    <s v="G00415"/>
    <s v="H008"/>
    <s v="CH05"/>
    <d v="2026-07-18T00:00:00"/>
    <d v="2026-07-25T00:00:00"/>
    <x v="1"/>
    <n v="5048"/>
    <x v="0"/>
    <b v="0"/>
    <x v="4"/>
    <x v="8"/>
    <n v="2026"/>
    <n v="5"/>
    <n v="7"/>
    <n v="2026"/>
    <n v="5"/>
    <s v="Yes"/>
    <x v="1"/>
    <s v="India"/>
    <x v="1"/>
    <s v="StayNest Palace"/>
    <x v="7"/>
    <s v="Heritage"/>
    <n v="85"/>
    <x v="2"/>
    <s v="Corporate Rate"/>
    <d v="2026-07-25T00:00:00"/>
    <s v="Yes"/>
    <s v="No"/>
    <s v="Off-Peak"/>
    <x v="1"/>
    <n v="0"/>
    <s v="0–7 days"/>
  </r>
  <r>
    <s v="B000082"/>
    <s v="G00203"/>
    <s v="H007"/>
    <s v="CH03"/>
    <d v="2026-10-08T00:00:00"/>
    <d v="2027-03-07T00:00:00"/>
    <x v="2"/>
    <n v="3400"/>
    <x v="1"/>
    <b v="0"/>
    <x v="5"/>
    <x v="3"/>
    <n v="2027"/>
    <n v="6"/>
    <n v="10"/>
    <n v="2026"/>
    <n v="3"/>
    <s v="Yes"/>
    <x v="3"/>
    <s v="United Kingdom"/>
    <x v="1"/>
    <s v="StayNest Tech Park"/>
    <x v="6"/>
    <s v="Business"/>
    <n v="140"/>
    <x v="1"/>
    <s v="OTA Promo"/>
    <m/>
    <s v="Unknown"/>
    <s v="Unknown"/>
    <s v="Unknown"/>
    <x v="0"/>
    <n v="1"/>
    <s v="91–180 days"/>
  </r>
  <r>
    <s v="B000083"/>
    <s v="G00455"/>
    <s v="H003"/>
    <s v="CH01"/>
    <d v="2025-12-06T00:00:00"/>
    <d v="2025-12-09T00:00:00"/>
    <x v="1"/>
    <n v="8365"/>
    <x v="0"/>
    <b v="0"/>
    <x v="6"/>
    <x v="5"/>
    <n v="2025"/>
    <n v="1"/>
    <n v="12"/>
    <n v="2025"/>
    <n v="5"/>
    <s v="No"/>
    <x v="2"/>
    <s v="India"/>
    <x v="0"/>
    <s v="StayNest Hills"/>
    <x v="5"/>
    <s v="Resort"/>
    <n v="80"/>
    <x v="5"/>
    <s v="Direct"/>
    <d v="2025-12-09T00:00:00"/>
    <s v="No"/>
    <s v="No"/>
    <s v="Peak"/>
    <x v="1"/>
    <n v="0"/>
    <s v="0–7 days"/>
  </r>
  <r>
    <s v="B000084"/>
    <s v="G00437"/>
    <s v="H003"/>
    <s v="CH03"/>
    <d v="2025-08-08T00:00:00"/>
    <d v="2025-11-16T00:00:00"/>
    <x v="3"/>
    <n v="6783"/>
    <x v="1"/>
    <b v="0"/>
    <x v="0"/>
    <x v="4"/>
    <n v="2025"/>
    <n v="6"/>
    <n v="8"/>
    <n v="2025"/>
    <n v="4"/>
    <s v="Yes"/>
    <x v="1"/>
    <s v="India"/>
    <x v="1"/>
    <s v="StayNest Hills"/>
    <x v="5"/>
    <s v="Resort"/>
    <n v="80"/>
    <x v="1"/>
    <s v="OTA Promo"/>
    <d v="2025-11-16T00:00:00"/>
    <s v="Yes"/>
    <s v="No"/>
    <s v="Off-Peak"/>
    <x v="1"/>
    <n v="1"/>
    <s v="91–180 days"/>
  </r>
  <r>
    <s v="B000085"/>
    <s v="G00303"/>
    <s v="H008"/>
    <s v="CH04"/>
    <d v="2026-07-18T00:00:00"/>
    <d v="2026-08-01T00:00:00"/>
    <x v="2"/>
    <n v="2984"/>
    <x v="0"/>
    <b v="0"/>
    <x v="3"/>
    <x v="7"/>
    <n v="2026"/>
    <n v="5"/>
    <n v="7"/>
    <n v="2026"/>
    <n v="5"/>
    <s v="Yes"/>
    <x v="0"/>
    <s v="United States"/>
    <x v="1"/>
    <s v="StayNest Palace"/>
    <x v="7"/>
    <s v="Heritage"/>
    <n v="85"/>
    <x v="4"/>
    <s v="Partner"/>
    <d v="2026-08-01T00:00:00"/>
    <s v="Yes"/>
    <s v="No"/>
    <s v="Off-Peak"/>
    <x v="1"/>
    <n v="0"/>
    <s v="8–30 days"/>
  </r>
  <r>
    <s v="B000086"/>
    <s v="G00557"/>
    <s v="H001"/>
    <s v="CH04"/>
    <d v="2026-01-03T00:00:00"/>
    <d v="2026-01-17T00:00:00"/>
    <x v="1"/>
    <n v="6317"/>
    <x v="0"/>
    <b v="0"/>
    <x v="3"/>
    <x v="6"/>
    <n v="2026"/>
    <n v="5"/>
    <n v="1"/>
    <n v="2026"/>
    <n v="5"/>
    <s v="Yes"/>
    <x v="3"/>
    <s v="Singapore"/>
    <x v="0"/>
    <s v="StayNest Marina"/>
    <x v="1"/>
    <s v="Business"/>
    <n v="120"/>
    <x v="4"/>
    <s v="Partner"/>
    <d v="2026-01-17T00:00:00"/>
    <s v="Yes"/>
    <s v="No"/>
    <s v="Off-Peak"/>
    <x v="1"/>
    <n v="0"/>
    <s v="8–30 days"/>
  </r>
  <r>
    <s v="B000087"/>
    <s v="G00225"/>
    <s v="H001"/>
    <s v="CH03"/>
    <d v="2025-03-01T00:00:00"/>
    <d v="2025-04-30T00:00:00"/>
    <x v="1"/>
    <n v="8989"/>
    <x v="1"/>
    <b v="0"/>
    <x v="1"/>
    <x v="2"/>
    <n v="2025"/>
    <n v="2"/>
    <n v="3"/>
    <n v="2025"/>
    <n v="5"/>
    <s v="No"/>
    <x v="2"/>
    <s v="India"/>
    <x v="0"/>
    <s v="StayNest Marina"/>
    <x v="1"/>
    <s v="Business"/>
    <n v="120"/>
    <x v="1"/>
    <s v="OTA Promo"/>
    <d v="2025-04-30T00:00:00"/>
    <s v="No"/>
    <s v="No"/>
    <s v="Peak"/>
    <x v="1"/>
    <n v="1"/>
    <s v="31–90 days"/>
  </r>
  <r>
    <s v="B000088"/>
    <s v="G00247"/>
    <s v="H005"/>
    <s v="CH05"/>
    <d v="2025-02-27T00:00:00"/>
    <d v="2025-04-28T00:00:00"/>
    <x v="0"/>
    <n v="5090"/>
    <x v="0"/>
    <b v="0"/>
    <x v="1"/>
    <x v="2"/>
    <n v="2025"/>
    <n v="0"/>
    <n v="2"/>
    <n v="2025"/>
    <n v="3"/>
    <s v="No"/>
    <x v="1"/>
    <s v="India"/>
    <x v="0"/>
    <s v="StayNest Heritage"/>
    <x v="11"/>
    <s v="Heritage"/>
    <n v="90"/>
    <x v="2"/>
    <s v="Corporate Rate"/>
    <d v="2025-04-28T00:00:00"/>
    <s v="No"/>
    <s v="No"/>
    <s v="Peak"/>
    <x v="1"/>
    <n v="0"/>
    <s v="31–90 days"/>
  </r>
  <r>
    <s v="B000089"/>
    <s v="G00607"/>
    <s v="H006"/>
    <s v="CH06"/>
    <d v="2026-01-03T00:00:00"/>
    <d v="2026-06-02T00:00:00"/>
    <x v="2"/>
    <n v="4140"/>
    <x v="1"/>
    <b v="0"/>
    <x v="5"/>
    <x v="1"/>
    <n v="2026"/>
    <n v="1"/>
    <n v="1"/>
    <n v="2026"/>
    <n v="5"/>
    <s v="No"/>
    <x v="2"/>
    <s v="India"/>
    <x v="0"/>
    <s v="StayNest Beach"/>
    <x v="3"/>
    <s v="Resort"/>
    <n v="100"/>
    <x v="0"/>
    <s v="Retention"/>
    <d v="2026-06-02T00:00:00"/>
    <s v="No"/>
    <s v="No"/>
    <s v="Shoulder"/>
    <x v="1"/>
    <n v="1"/>
    <s v="91–180 days"/>
  </r>
  <r>
    <s v="B000090"/>
    <s v="G00505"/>
    <s v="H009"/>
    <s v="CH03"/>
    <d v="2025-06-29T00:00:00"/>
    <d v="2025-07-29T00:00:00"/>
    <x v="2"/>
    <n v="2676"/>
    <x v="1"/>
    <b v="0"/>
    <x v="2"/>
    <x v="8"/>
    <n v="2025"/>
    <n v="1"/>
    <n v="6"/>
    <n v="2025"/>
    <n v="6"/>
    <s v="No"/>
    <x v="0"/>
    <s v="Germany"/>
    <x v="0"/>
    <s v="StayNest Airport"/>
    <x v="9"/>
    <s v="Business"/>
    <n v="160"/>
    <x v="1"/>
    <s v="OTA Promo"/>
    <d v="2025-07-29T00:00:00"/>
    <s v="No"/>
    <s v="No"/>
    <s v="Off-Peak"/>
    <x v="1"/>
    <n v="1"/>
    <s v="8–30 days"/>
  </r>
  <r>
    <s v="B000091"/>
    <s v="G00629"/>
    <s v="H004"/>
    <s v="CH02"/>
    <d v="2025-12-15T00:00:00"/>
    <d v="2026-02-13T00:00:00"/>
    <x v="3"/>
    <n v="11305"/>
    <x v="2"/>
    <b v="0"/>
    <x v="1"/>
    <x v="0"/>
    <n v="2026"/>
    <n v="4"/>
    <n v="12"/>
    <n v="2025"/>
    <n v="0"/>
    <s v="No"/>
    <x v="1"/>
    <s v="India"/>
    <x v="0"/>
    <s v="StayNest Lakeview"/>
    <x v="2"/>
    <s v="Resort"/>
    <n v="75"/>
    <x v="3"/>
    <s v="App Push"/>
    <d v="2026-02-13T00:00:00"/>
    <s v="No"/>
    <s v="No"/>
    <s v="Shoulder"/>
    <x v="1"/>
    <n v="0"/>
    <s v="31–90 days"/>
  </r>
  <r>
    <s v="B000092"/>
    <s v="G00374"/>
    <s v="H002"/>
    <s v="CH03"/>
    <d v="2026-11-10T00:00:00"/>
    <d v="2026-11-24T00:00:00"/>
    <x v="2"/>
    <n v="2818"/>
    <x v="2"/>
    <b v="0"/>
    <x v="3"/>
    <x v="4"/>
    <n v="2026"/>
    <n v="1"/>
    <n v="11"/>
    <n v="2026"/>
    <n v="1"/>
    <s v="No"/>
    <x v="0"/>
    <s v="Singapore"/>
    <x v="0"/>
    <s v="StayNest Central"/>
    <x v="0"/>
    <s v="Business"/>
    <n v="150"/>
    <x v="1"/>
    <s v="OTA Promo"/>
    <d v="2026-11-24T00:00:00"/>
    <s v="No"/>
    <s v="No"/>
    <s v="Off-Peak"/>
    <x v="1"/>
    <n v="0"/>
    <s v="8–30 days"/>
  </r>
  <r>
    <s v="B000093"/>
    <s v="G00499"/>
    <s v="H011"/>
    <s v="CH03"/>
    <d v="2025-06-28T00:00:00"/>
    <d v="2025-08-27T00:00:00"/>
    <x v="3"/>
    <n v="7936"/>
    <x v="0"/>
    <b v="0"/>
    <x v="1"/>
    <x v="7"/>
    <n v="2025"/>
    <n v="2"/>
    <n v="6"/>
    <n v="2025"/>
    <n v="5"/>
    <s v="No"/>
    <x v="2"/>
    <s v="Germany"/>
    <x v="1"/>
    <s v="StayNest Grand"/>
    <x v="8"/>
    <s v="Business"/>
    <n v="110"/>
    <x v="1"/>
    <s v="OTA Promo"/>
    <d v="2025-08-27T00:00:00"/>
    <s v="No"/>
    <s v="No"/>
    <s v="Off-Peak"/>
    <x v="1"/>
    <n v="0"/>
    <s v="31–90 days"/>
  </r>
  <r>
    <s v="B000094"/>
    <s v="G00002"/>
    <s v="H012"/>
    <s v="CH05"/>
    <d v="2026-02-05T00:00:00"/>
    <d v="2026-05-16T00:00:00"/>
    <x v="2"/>
    <n v="3433"/>
    <x v="1"/>
    <b v="0"/>
    <x v="0"/>
    <x v="9"/>
    <n v="2026"/>
    <n v="5"/>
    <n v="2"/>
    <n v="2026"/>
    <n v="3"/>
    <s v="Yes"/>
    <x v="1"/>
    <s v="United States"/>
    <x v="0"/>
    <s v="StayNest Valley"/>
    <x v="4"/>
    <s v="Resort"/>
    <n v="65"/>
    <x v="2"/>
    <s v="Corporate Rate"/>
    <d v="2026-05-16T00:00:00"/>
    <s v="Yes"/>
    <s v="No"/>
    <s v="Peak"/>
    <x v="1"/>
    <n v="1"/>
    <s v="91–180 days"/>
  </r>
  <r>
    <s v="B000095"/>
    <s v="G00509"/>
    <s v="H003"/>
    <s v="CH03"/>
    <d v="2025-03-21T00:00:00"/>
    <d v="2025-03-28T00:00:00"/>
    <x v="3"/>
    <n v="11988"/>
    <x v="0"/>
    <b v="0"/>
    <x v="4"/>
    <x v="3"/>
    <n v="2025"/>
    <n v="4"/>
    <n v="3"/>
    <n v="2025"/>
    <n v="4"/>
    <s v="No"/>
    <x v="3"/>
    <s v="India"/>
    <x v="1"/>
    <s v="StayNest Hills"/>
    <x v="5"/>
    <s v="Resort"/>
    <n v="80"/>
    <x v="1"/>
    <s v="OTA Promo"/>
    <d v="2025-03-28T00:00:00"/>
    <s v="No"/>
    <s v="No"/>
    <s v="Shoulder"/>
    <x v="1"/>
    <n v="0"/>
    <s v="0–7 days"/>
  </r>
  <r>
    <s v="B000096"/>
    <s v="G00215"/>
    <s v="H004"/>
    <s v="CH06"/>
    <d v="2025-03-11T00:00:00"/>
    <d v="2025-03-25T00:00:00"/>
    <x v="2"/>
    <n v="2298"/>
    <x v="0"/>
    <b v="0"/>
    <x v="3"/>
    <x v="3"/>
    <n v="2025"/>
    <n v="1"/>
    <n v="3"/>
    <n v="2025"/>
    <n v="1"/>
    <s v="No"/>
    <x v="0"/>
    <s v="India"/>
    <x v="0"/>
    <s v="StayNest Lakeview"/>
    <x v="2"/>
    <s v="Resort"/>
    <n v="75"/>
    <x v="0"/>
    <s v="Retention"/>
    <d v="2025-03-25T00:00:00"/>
    <s v="No"/>
    <s v="No"/>
    <s v="Shoulder"/>
    <x v="1"/>
    <n v="0"/>
    <s v="8–30 days"/>
  </r>
  <r>
    <s v="B000097"/>
    <s v="G00388"/>
    <s v="H006"/>
    <s v="CH05"/>
    <d v="2026-01-20T00:00:00"/>
    <d v="2026-01-23T00:00:00"/>
    <x v="1"/>
    <n v="6848"/>
    <x v="0"/>
    <b v="0"/>
    <x v="6"/>
    <x v="6"/>
    <n v="2026"/>
    <n v="4"/>
    <n v="1"/>
    <n v="2026"/>
    <n v="1"/>
    <s v="No"/>
    <x v="1"/>
    <s v="India"/>
    <x v="0"/>
    <s v="StayNest Beach"/>
    <x v="3"/>
    <s v="Resort"/>
    <n v="100"/>
    <x v="2"/>
    <s v="Corporate Rate"/>
    <d v="2026-01-23T00:00:00"/>
    <s v="No"/>
    <s v="No"/>
    <s v="Off-Peak"/>
    <x v="1"/>
    <n v="0"/>
    <s v="0–7 days"/>
  </r>
  <r>
    <s v="B000098"/>
    <s v="G00327"/>
    <s v="H005"/>
    <s v="CH01"/>
    <d v="2025-03-17T00:00:00"/>
    <d v="2025-03-31T00:00:00"/>
    <x v="1"/>
    <n v="8857"/>
    <x v="0"/>
    <b v="0"/>
    <x v="3"/>
    <x v="3"/>
    <n v="2025"/>
    <n v="0"/>
    <n v="3"/>
    <n v="2025"/>
    <n v="0"/>
    <s v="No"/>
    <x v="1"/>
    <s v="India"/>
    <x v="1"/>
    <s v="StayNest Heritage"/>
    <x v="11"/>
    <s v="Heritage"/>
    <n v="90"/>
    <x v="5"/>
    <s v="Direct"/>
    <d v="2025-03-31T00:00:00"/>
    <s v="No"/>
    <s v="No"/>
    <s v="Shoulder"/>
    <x v="1"/>
    <n v="0"/>
    <s v="8–30 days"/>
  </r>
  <r>
    <s v="B000099"/>
    <s v="G00629"/>
    <s v="H008"/>
    <s v="CH06"/>
    <d v="2025-02-01T00:00:00"/>
    <d v="2025-02-15T00:00:00"/>
    <x v="0"/>
    <n v="5278"/>
    <x v="0"/>
    <b v="0"/>
    <x v="3"/>
    <x v="0"/>
    <n v="2025"/>
    <n v="5"/>
    <n v="2"/>
    <n v="2025"/>
    <n v="5"/>
    <s v="Yes"/>
    <x v="1"/>
    <s v="India"/>
    <x v="0"/>
    <s v="StayNest Palace"/>
    <x v="7"/>
    <s v="Heritage"/>
    <n v="85"/>
    <x v="0"/>
    <s v="Retention"/>
    <d v="2025-02-15T00:00:00"/>
    <s v="Yes"/>
    <s v="No"/>
    <s v="Shoulder"/>
    <x v="1"/>
    <n v="0"/>
    <s v="8–30 days"/>
  </r>
  <r>
    <s v="B000100"/>
    <s v="G00568"/>
    <s v="H012"/>
    <s v="CH06"/>
    <d v="2026-07-08T00:00:00"/>
    <d v="2026-07-15T00:00:00"/>
    <x v="3"/>
    <n v="6906"/>
    <x v="0"/>
    <b v="0"/>
    <x v="4"/>
    <x v="8"/>
    <n v="2026"/>
    <n v="2"/>
    <n v="7"/>
    <n v="2026"/>
    <n v="2"/>
    <s v="No"/>
    <x v="3"/>
    <s v="India"/>
    <x v="0"/>
    <s v="StayNest Valley"/>
    <x v="4"/>
    <s v="Resort"/>
    <n v="65"/>
    <x v="0"/>
    <s v="Retention"/>
    <d v="2026-07-15T00:00:00"/>
    <s v="No"/>
    <s v="No"/>
    <s v="Off-Peak"/>
    <x v="1"/>
    <n v="0"/>
    <s v="0–7 days"/>
  </r>
  <r>
    <s v="B000101"/>
    <s v="G00370"/>
    <s v="H001"/>
    <s v="CH04"/>
    <d v="2025-03-31T00:00:00"/>
    <d v="2025-04-07T00:00:00"/>
    <x v="1"/>
    <n v="5699"/>
    <x v="0"/>
    <b v="0"/>
    <x v="4"/>
    <x v="2"/>
    <n v="2025"/>
    <n v="0"/>
    <n v="3"/>
    <n v="2025"/>
    <n v="0"/>
    <s v="No"/>
    <x v="2"/>
    <s v="India"/>
    <x v="0"/>
    <s v="StayNest Marina"/>
    <x v="1"/>
    <s v="Business"/>
    <n v="120"/>
    <x v="4"/>
    <s v="Partner"/>
    <d v="2025-04-07T00:00:00"/>
    <s v="No"/>
    <s v="No"/>
    <s v="Peak"/>
    <x v="1"/>
    <n v="0"/>
    <s v="0–7 days"/>
  </r>
  <r>
    <s v="B000102"/>
    <s v="G00119"/>
    <s v="H005"/>
    <s v="CH04"/>
    <d v="2026-04-28T00:00:00"/>
    <d v="2026-05-12T00:00:00"/>
    <x v="3"/>
    <n v="9674"/>
    <x v="0"/>
    <b v="0"/>
    <x v="3"/>
    <x v="9"/>
    <n v="2026"/>
    <n v="1"/>
    <n v="4"/>
    <n v="2026"/>
    <n v="1"/>
    <s v="No"/>
    <x v="2"/>
    <s v="India"/>
    <x v="0"/>
    <s v="StayNest Heritage"/>
    <x v="11"/>
    <s v="Heritage"/>
    <n v="90"/>
    <x v="4"/>
    <s v="Partner"/>
    <d v="2026-05-12T00:00:00"/>
    <s v="No"/>
    <s v="No"/>
    <s v="Peak"/>
    <x v="1"/>
    <n v="0"/>
    <s v="8–30 days"/>
  </r>
  <r>
    <s v="B000103"/>
    <s v="G00046"/>
    <s v="H005"/>
    <s v="CH04"/>
    <d v="2026-04-22T00:00:00"/>
    <d v="2026-04-29T00:00:00"/>
    <x v="3"/>
    <n v="11967"/>
    <x v="0"/>
    <b v="0"/>
    <x v="4"/>
    <x v="2"/>
    <n v="2026"/>
    <n v="2"/>
    <n v="4"/>
    <n v="2026"/>
    <n v="2"/>
    <s v="No"/>
    <x v="3"/>
    <s v="Unknown"/>
    <x v="0"/>
    <s v="StayNest Heritage"/>
    <x v="11"/>
    <s v="Heritage"/>
    <n v="90"/>
    <x v="4"/>
    <s v="Partner"/>
    <d v="2026-04-29T00:00:00"/>
    <s v="No"/>
    <s v="No"/>
    <s v="Peak"/>
    <x v="1"/>
    <n v="0"/>
    <s v="0–7 days"/>
  </r>
  <r>
    <s v="B000104"/>
    <s v="G00604"/>
    <s v="H004"/>
    <s v="CH05"/>
    <d v="2025-03-04T00:00:00"/>
    <d v="2025-06-12T00:00:00"/>
    <x v="1"/>
    <n v="8611"/>
    <x v="1"/>
    <b v="0"/>
    <x v="0"/>
    <x v="1"/>
    <n v="2025"/>
    <n v="3"/>
    <n v="3"/>
    <n v="2025"/>
    <n v="1"/>
    <s v="No"/>
    <x v="2"/>
    <s v="India"/>
    <x v="0"/>
    <s v="StayNest Lakeview"/>
    <x v="2"/>
    <s v="Resort"/>
    <n v="75"/>
    <x v="2"/>
    <s v="Corporate Rate"/>
    <d v="2025-06-12T00:00:00"/>
    <s v="No"/>
    <s v="No"/>
    <s v="Shoulder"/>
    <x v="1"/>
    <n v="1"/>
    <s v="91–180 days"/>
  </r>
  <r>
    <s v="B000105"/>
    <s v="G00405"/>
    <s v="H012"/>
    <s v="CH01"/>
    <d v="2026-05-30T00:00:00"/>
    <d v="2026-06-29T00:00:00"/>
    <x v="0"/>
    <n v="5339"/>
    <x v="2"/>
    <b v="0"/>
    <x v="2"/>
    <x v="1"/>
    <n v="2026"/>
    <n v="0"/>
    <n v="5"/>
    <n v="2026"/>
    <n v="5"/>
    <s v="No"/>
    <x v="2"/>
    <s v="India"/>
    <x v="0"/>
    <s v="StayNest Valley"/>
    <x v="4"/>
    <s v="Resort"/>
    <n v="65"/>
    <x v="5"/>
    <s v="Direct"/>
    <d v="2026-06-29T00:00:00"/>
    <s v="No"/>
    <s v="No"/>
    <s v="Shoulder"/>
    <x v="1"/>
    <n v="0"/>
    <s v="8–30 days"/>
  </r>
  <r>
    <s v="B000106"/>
    <s v="G00130"/>
    <s v="H001"/>
    <s v="CH04"/>
    <d v="2025-03-22T00:00:00"/>
    <d v="2025-10-28T00:00:00"/>
    <x v="1"/>
    <n v="6056"/>
    <x v="2"/>
    <b v="0"/>
    <x v="8"/>
    <x v="11"/>
    <n v="2025"/>
    <n v="1"/>
    <n v="3"/>
    <n v="2025"/>
    <n v="5"/>
    <s v="No"/>
    <x v="3"/>
    <s v="Germany"/>
    <x v="0"/>
    <s v="StayNest Marina"/>
    <x v="1"/>
    <s v="Business"/>
    <n v="120"/>
    <x v="4"/>
    <s v="Partner"/>
    <d v="2025-10-28T00:00:00"/>
    <s v="No"/>
    <s v="No"/>
    <s v="Shoulder"/>
    <x v="1"/>
    <n v="0"/>
    <s v="181+ days"/>
  </r>
  <r>
    <s v="B000107"/>
    <s v="G00090"/>
    <s v="H007"/>
    <s v="CH05"/>
    <d v="2026-02-11T00:00:00"/>
    <d v="2026-03-13T00:00:00"/>
    <x v="3"/>
    <n v="11604"/>
    <x v="0"/>
    <b v="0"/>
    <x v="2"/>
    <x v="3"/>
    <n v="2026"/>
    <n v="4"/>
    <n v="2"/>
    <n v="2026"/>
    <n v="2"/>
    <s v="No"/>
    <x v="2"/>
    <s v="India"/>
    <x v="1"/>
    <s v="StayNest Tech Park"/>
    <x v="6"/>
    <s v="Business"/>
    <n v="140"/>
    <x v="2"/>
    <s v="Corporate Rate"/>
    <d v="2026-03-13T00:00:00"/>
    <s v="No"/>
    <s v="No"/>
    <s v="Shoulder"/>
    <x v="1"/>
    <n v="0"/>
    <s v="8–30 days"/>
  </r>
  <r>
    <s v="B000108"/>
    <s v="G00152"/>
    <s v="H010"/>
    <s v="CH05"/>
    <d v="2026-08-20T00:00:00"/>
    <d v="2026-10-19T00:00:00"/>
    <x v="2"/>
    <n v="3352"/>
    <x v="0"/>
    <b v="0"/>
    <x v="1"/>
    <x v="11"/>
    <n v="2026"/>
    <n v="0"/>
    <n v="8"/>
    <n v="2026"/>
    <n v="3"/>
    <s v="No"/>
    <x v="1"/>
    <s v="India"/>
    <x v="0"/>
    <s v="StayNest Garden"/>
    <x v="10"/>
    <s v="Boutique"/>
    <n v="70"/>
    <x v="2"/>
    <s v="Corporate Rate"/>
    <d v="2026-10-19T00:00:00"/>
    <s v="No"/>
    <s v="No"/>
    <s v="Shoulder"/>
    <x v="1"/>
    <n v="0"/>
    <s v="31–90 days"/>
  </r>
  <r>
    <s v="B000109"/>
    <s v="G00393"/>
    <s v="H011"/>
    <s v="CH04"/>
    <d v="2026-08-09T00:00:00"/>
    <d v="2026-09-08T00:00:00"/>
    <x v="2"/>
    <n v="2764"/>
    <x v="0"/>
    <b v="0"/>
    <x v="2"/>
    <x v="10"/>
    <n v="2026"/>
    <n v="1"/>
    <n v="8"/>
    <n v="2026"/>
    <n v="6"/>
    <s v="No"/>
    <x v="1"/>
    <s v="India"/>
    <x v="0"/>
    <s v="StayNest Grand"/>
    <x v="8"/>
    <s v="Business"/>
    <n v="110"/>
    <x v="4"/>
    <s v="Partner"/>
    <d v="2026-09-08T00:00:00"/>
    <s v="No"/>
    <s v="No"/>
    <s v="Shoulder"/>
    <x v="1"/>
    <n v="0"/>
    <s v="8–30 days"/>
  </r>
  <r>
    <s v="B000110"/>
    <s v="G00340"/>
    <s v="H012"/>
    <s v="CH02"/>
    <d v="2025-02-20T00:00:00"/>
    <d v="2025-04-21T00:00:00"/>
    <x v="3"/>
    <n v="8982"/>
    <x v="2"/>
    <b v="0"/>
    <x v="1"/>
    <x v="2"/>
    <n v="2025"/>
    <n v="0"/>
    <n v="2"/>
    <n v="2025"/>
    <n v="3"/>
    <s v="No"/>
    <x v="3"/>
    <s v="India"/>
    <x v="0"/>
    <s v="StayNest Valley"/>
    <x v="4"/>
    <s v="Resort"/>
    <n v="65"/>
    <x v="3"/>
    <s v="App Push"/>
    <d v="2025-04-21T00:00:00"/>
    <s v="No"/>
    <s v="No"/>
    <s v="Peak"/>
    <x v="1"/>
    <n v="0"/>
    <s v="31–90 days"/>
  </r>
  <r>
    <s v="B000111"/>
    <s v="G00101"/>
    <s v="H004"/>
    <s v="CH02"/>
    <d v="2025-11-04T00:00:00"/>
    <d v="2026-06-12T00:00:00"/>
    <x v="1"/>
    <n v="7644"/>
    <x v="2"/>
    <b v="0"/>
    <x v="8"/>
    <x v="1"/>
    <n v="2026"/>
    <n v="4"/>
    <n v="11"/>
    <n v="2025"/>
    <n v="1"/>
    <s v="No"/>
    <x v="2"/>
    <s v="India"/>
    <x v="0"/>
    <s v="StayNest Lakeview"/>
    <x v="2"/>
    <s v="Resort"/>
    <n v="75"/>
    <x v="3"/>
    <s v="App Push"/>
    <d v="2026-06-12T00:00:00"/>
    <s v="No"/>
    <s v="No"/>
    <s v="Shoulder"/>
    <x v="1"/>
    <n v="0"/>
    <s v="181+ days"/>
  </r>
  <r>
    <s v="B000112"/>
    <s v="G00417"/>
    <s v="H012"/>
    <s v="CH04"/>
    <d v="2026-06-13T00:00:00"/>
    <d v="2026-09-21T00:00:00"/>
    <x v="2"/>
    <n v="3820"/>
    <x v="2"/>
    <b v="0"/>
    <x v="0"/>
    <x v="10"/>
    <n v="2026"/>
    <n v="0"/>
    <n v="6"/>
    <n v="2026"/>
    <n v="5"/>
    <s v="No"/>
    <x v="2"/>
    <s v="India"/>
    <x v="0"/>
    <s v="StayNest Valley"/>
    <x v="4"/>
    <s v="Resort"/>
    <n v="65"/>
    <x v="4"/>
    <s v="Partner"/>
    <d v="2026-09-21T00:00:00"/>
    <s v="No"/>
    <s v="No"/>
    <s v="Shoulder"/>
    <x v="1"/>
    <n v="0"/>
    <s v="91–180 days"/>
  </r>
  <r>
    <s v="B000113"/>
    <s v="G00537"/>
    <s v="H010"/>
    <s v="CH01"/>
    <d v="2025-06-27T00:00:00"/>
    <d v="2025-07-04T00:00:00"/>
    <x v="0"/>
    <n v="3635"/>
    <x v="0"/>
    <b v="0"/>
    <x v="4"/>
    <x v="8"/>
    <n v="2025"/>
    <n v="4"/>
    <n v="6"/>
    <n v="2025"/>
    <n v="4"/>
    <s v="No"/>
    <x v="1"/>
    <s v="India"/>
    <x v="0"/>
    <s v="StayNest Garden"/>
    <x v="10"/>
    <s v="Boutique"/>
    <n v="70"/>
    <x v="5"/>
    <s v="Direct"/>
    <d v="2025-07-04T00:00:00"/>
    <s v="No"/>
    <s v="No"/>
    <s v="Off-Peak"/>
    <x v="1"/>
    <n v="0"/>
    <s v="0–7 days"/>
  </r>
  <r>
    <s v="B000114"/>
    <s v="G00476"/>
    <s v="H009"/>
    <s v="CH04"/>
    <d v="2026-10-13T00:00:00"/>
    <d v="2027-03-12T00:00:00"/>
    <x v="2"/>
    <n v="2962"/>
    <x v="0"/>
    <b v="0"/>
    <x v="5"/>
    <x v="3"/>
    <n v="2027"/>
    <n v="4"/>
    <n v="10"/>
    <n v="2026"/>
    <n v="1"/>
    <s v="No"/>
    <x v="3"/>
    <s v="India"/>
    <x v="0"/>
    <s v="StayNest Airport"/>
    <x v="9"/>
    <s v="Business"/>
    <n v="160"/>
    <x v="4"/>
    <s v="Partner"/>
    <m/>
    <s v="Unknown"/>
    <s v="Unknown"/>
    <s v="Unknown"/>
    <x v="0"/>
    <n v="0"/>
    <s v="91–180 days"/>
  </r>
  <r>
    <s v="B000115"/>
    <s v="G00359"/>
    <s v="H006"/>
    <s v="CH02"/>
    <d v="2025-09-22T00:00:00"/>
    <d v="2025-11-21T00:00:00"/>
    <x v="2"/>
    <n v="2256"/>
    <x v="0"/>
    <b v="0"/>
    <x v="1"/>
    <x v="4"/>
    <n v="2025"/>
    <n v="4"/>
    <n v="9"/>
    <n v="2025"/>
    <n v="0"/>
    <s v="No"/>
    <x v="0"/>
    <s v="Singapore"/>
    <x v="0"/>
    <s v="StayNest Beach"/>
    <x v="3"/>
    <s v="Resort"/>
    <n v="100"/>
    <x v="3"/>
    <s v="App Push"/>
    <d v="2025-11-21T00:00:00"/>
    <s v="No"/>
    <s v="No"/>
    <s v="Off-Peak"/>
    <x v="1"/>
    <n v="0"/>
    <s v="31–90 days"/>
  </r>
  <r>
    <s v="B000116"/>
    <s v="G00227"/>
    <s v="H011"/>
    <s v="CH02"/>
    <d v="2026-11-25T00:00:00"/>
    <d v="2026-12-02T00:00:00"/>
    <x v="1"/>
    <n v="8733"/>
    <x v="2"/>
    <b v="0"/>
    <x v="4"/>
    <x v="5"/>
    <n v="2026"/>
    <n v="2"/>
    <n v="11"/>
    <n v="2026"/>
    <n v="2"/>
    <s v="No"/>
    <x v="1"/>
    <s v="India"/>
    <x v="0"/>
    <s v="StayNest Grand"/>
    <x v="8"/>
    <s v="Business"/>
    <n v="110"/>
    <x v="3"/>
    <s v="App Push"/>
    <d v="2026-12-02T00:00:00"/>
    <s v="No"/>
    <s v="No"/>
    <s v="Peak"/>
    <x v="1"/>
    <n v="0"/>
    <s v="0–7 days"/>
  </r>
  <r>
    <s v="B000117"/>
    <s v="G00230"/>
    <s v="H005"/>
    <s v="CH05"/>
    <d v="2025-11-09T00:00:00"/>
    <d v="2026-01-08T00:00:00"/>
    <x v="3"/>
    <n v="9356"/>
    <x v="2"/>
    <b v="0"/>
    <x v="1"/>
    <x v="6"/>
    <n v="2026"/>
    <n v="3"/>
    <n v="11"/>
    <n v="2025"/>
    <n v="6"/>
    <s v="No"/>
    <x v="1"/>
    <s v="India"/>
    <x v="0"/>
    <s v="StayNest Heritage"/>
    <x v="11"/>
    <s v="Heritage"/>
    <n v="90"/>
    <x v="2"/>
    <s v="Corporate Rate"/>
    <d v="2026-01-08T00:00:00"/>
    <s v="No"/>
    <s v="No"/>
    <s v="Off-Peak"/>
    <x v="1"/>
    <n v="0"/>
    <s v="31–90 days"/>
  </r>
  <r>
    <s v="B000118"/>
    <s v="G00639"/>
    <s v="H007"/>
    <s v="CH05"/>
    <d v="2025-04-15T00:00:00"/>
    <d v="2025-04-16T00:00:00"/>
    <x v="3"/>
    <n v="11489"/>
    <x v="0"/>
    <b v="0"/>
    <x v="7"/>
    <x v="2"/>
    <n v="2025"/>
    <n v="2"/>
    <n v="4"/>
    <n v="2025"/>
    <n v="1"/>
    <s v="No"/>
    <x v="3"/>
    <s v="India"/>
    <x v="1"/>
    <s v="StayNest Tech Park"/>
    <x v="6"/>
    <s v="Business"/>
    <n v="140"/>
    <x v="2"/>
    <s v="Corporate Rate"/>
    <d v="2025-04-16T00:00:00"/>
    <s v="No"/>
    <s v="No"/>
    <s v="Peak"/>
    <x v="1"/>
    <n v="0"/>
    <s v="0–7 days"/>
  </r>
  <r>
    <s v="B000119"/>
    <s v="G00284"/>
    <s v="H011"/>
    <s v="CH03"/>
    <d v="2025-10-11T00:00:00"/>
    <d v="2025-10-18T00:00:00"/>
    <x v="3"/>
    <n v="8468"/>
    <x v="2"/>
    <b v="0"/>
    <x v="4"/>
    <x v="11"/>
    <n v="2025"/>
    <n v="5"/>
    <n v="10"/>
    <n v="2025"/>
    <n v="5"/>
    <s v="Yes"/>
    <x v="0"/>
    <s v="Singapore"/>
    <x v="1"/>
    <s v="StayNest Grand"/>
    <x v="8"/>
    <s v="Business"/>
    <n v="110"/>
    <x v="1"/>
    <s v="OTA Promo"/>
    <d v="2025-10-18T00:00:00"/>
    <s v="Yes"/>
    <s v="No"/>
    <s v="Shoulder"/>
    <x v="1"/>
    <n v="0"/>
    <s v="0–7 days"/>
  </r>
  <r>
    <s v="B000120"/>
    <s v="G00414"/>
    <s v="H011"/>
    <s v="CH03"/>
    <d v="2026-11-29T00:00:00"/>
    <d v="2026-12-02T00:00:00"/>
    <x v="2"/>
    <n v="2805"/>
    <x v="1"/>
    <b v="0"/>
    <x v="6"/>
    <x v="5"/>
    <n v="2026"/>
    <n v="2"/>
    <n v="11"/>
    <n v="2026"/>
    <n v="6"/>
    <s v="No"/>
    <x v="1"/>
    <s v="India"/>
    <x v="0"/>
    <s v="StayNest Grand"/>
    <x v="8"/>
    <s v="Business"/>
    <n v="110"/>
    <x v="1"/>
    <s v="OTA Promo"/>
    <d v="2026-12-02T00:00:00"/>
    <s v="No"/>
    <s v="No"/>
    <s v="Peak"/>
    <x v="1"/>
    <n v="1"/>
    <s v="0–7 days"/>
  </r>
  <r>
    <s v="B000122"/>
    <s v="G00483"/>
    <s v="H003"/>
    <s v="CH06"/>
    <d v="2025-09-22T00:00:00"/>
    <d v="2025-11-21T00:00:00"/>
    <x v="0"/>
    <n v="3865"/>
    <x v="0"/>
    <b v="0"/>
    <x v="1"/>
    <x v="4"/>
    <n v="2025"/>
    <n v="4"/>
    <n v="9"/>
    <n v="2025"/>
    <n v="0"/>
    <s v="No"/>
    <x v="1"/>
    <s v="United Kingdom"/>
    <x v="0"/>
    <s v="StayNest Hills"/>
    <x v="5"/>
    <s v="Resort"/>
    <n v="80"/>
    <x v="0"/>
    <s v="Retention"/>
    <d v="2025-11-21T00:00:00"/>
    <s v="No"/>
    <s v="No"/>
    <s v="Off-Peak"/>
    <x v="1"/>
    <n v="0"/>
    <s v="31–90 days"/>
  </r>
  <r>
    <s v="B000123"/>
    <s v="G00340"/>
    <s v="H006"/>
    <s v="CH03"/>
    <d v="2026-08-23T00:00:00"/>
    <d v="2026-08-30T00:00:00"/>
    <x v="2"/>
    <n v="2309"/>
    <x v="0"/>
    <b v="0"/>
    <x v="4"/>
    <x v="7"/>
    <n v="2026"/>
    <n v="6"/>
    <n v="8"/>
    <n v="2026"/>
    <n v="6"/>
    <s v="Yes"/>
    <x v="3"/>
    <s v="India"/>
    <x v="0"/>
    <s v="StayNest Beach"/>
    <x v="3"/>
    <s v="Resort"/>
    <n v="100"/>
    <x v="1"/>
    <s v="OTA Promo"/>
    <d v="2026-08-30T00:00:00"/>
    <s v="Yes"/>
    <s v="No"/>
    <s v="Off-Peak"/>
    <x v="1"/>
    <n v="0"/>
    <s v="0–7 days"/>
  </r>
  <r>
    <s v="B000124"/>
    <s v="G00123"/>
    <s v="H011"/>
    <s v="CH04"/>
    <d v="2026-06-27T00:00:00"/>
    <d v="2026-07-04T00:00:00"/>
    <x v="2"/>
    <n v="2481"/>
    <x v="3"/>
    <b v="0"/>
    <x v="4"/>
    <x v="8"/>
    <n v="2026"/>
    <n v="5"/>
    <n v="6"/>
    <n v="2026"/>
    <n v="5"/>
    <s v="Yes"/>
    <x v="1"/>
    <s v="United States"/>
    <x v="1"/>
    <s v="StayNest Grand"/>
    <x v="8"/>
    <s v="Business"/>
    <n v="110"/>
    <x v="4"/>
    <s v="Partner"/>
    <d v="2026-07-04T00:00:00"/>
    <s v="Yes"/>
    <s v="No"/>
    <s v="Off-Peak"/>
    <x v="1"/>
    <n v="0"/>
    <s v="0–7 days"/>
  </r>
  <r>
    <s v="B000125"/>
    <s v="G00147"/>
    <s v="H006"/>
    <s v="CH06"/>
    <d v="2025-07-04T00:00:00"/>
    <d v="2025-09-02T00:00:00"/>
    <x v="1"/>
    <n v="7598"/>
    <x v="0"/>
    <b v="0"/>
    <x v="1"/>
    <x v="10"/>
    <n v="2025"/>
    <n v="1"/>
    <n v="7"/>
    <n v="2025"/>
    <n v="4"/>
    <s v="No"/>
    <x v="3"/>
    <s v="United Kingdom"/>
    <x v="0"/>
    <s v="StayNest Beach"/>
    <x v="3"/>
    <s v="Resort"/>
    <n v="100"/>
    <x v="0"/>
    <s v="Retention"/>
    <d v="2025-09-02T00:00:00"/>
    <s v="No"/>
    <s v="No"/>
    <s v="Shoulder"/>
    <x v="1"/>
    <n v="0"/>
    <s v="31–90 days"/>
  </r>
  <r>
    <s v="B000126"/>
    <s v="G00173"/>
    <s v="H010"/>
    <s v="CH02"/>
    <d v="2026-05-17T00:00:00"/>
    <d v="2026-07-16T00:00:00"/>
    <x v="2"/>
    <n v="3458"/>
    <x v="0"/>
    <b v="0"/>
    <x v="1"/>
    <x v="8"/>
    <n v="2026"/>
    <n v="3"/>
    <n v="5"/>
    <n v="2026"/>
    <n v="6"/>
    <s v="No"/>
    <x v="1"/>
    <s v="India"/>
    <x v="1"/>
    <s v="StayNest Garden"/>
    <x v="10"/>
    <s v="Boutique"/>
    <n v="70"/>
    <x v="3"/>
    <s v="App Push"/>
    <d v="2026-07-16T00:00:00"/>
    <s v="No"/>
    <s v="No"/>
    <s v="Off-Peak"/>
    <x v="1"/>
    <n v="0"/>
    <s v="31–90 days"/>
  </r>
  <r>
    <s v="B000127"/>
    <s v="G00039"/>
    <s v="H009"/>
    <s v="CH02"/>
    <d v="2026-01-18T00:00:00"/>
    <d v="2026-06-17T00:00:00"/>
    <x v="3"/>
    <n v="6533"/>
    <x v="1"/>
    <b v="0"/>
    <x v="5"/>
    <x v="1"/>
    <n v="2026"/>
    <n v="2"/>
    <n v="1"/>
    <n v="2026"/>
    <n v="6"/>
    <s v="No"/>
    <x v="2"/>
    <s v="Singapore"/>
    <x v="0"/>
    <s v="StayNest Airport"/>
    <x v="9"/>
    <s v="Business"/>
    <n v="160"/>
    <x v="3"/>
    <s v="App Push"/>
    <d v="2026-06-17T00:00:00"/>
    <s v="No"/>
    <s v="No"/>
    <s v="Shoulder"/>
    <x v="1"/>
    <n v="1"/>
    <s v="91–180 days"/>
  </r>
  <r>
    <s v="B000128"/>
    <s v="G00353"/>
    <s v="H005"/>
    <s v="CH02"/>
    <d v="2025-04-16T00:00:00"/>
    <d v="2025-04-30T00:00:00"/>
    <x v="3"/>
    <n v="8942"/>
    <x v="0"/>
    <b v="0"/>
    <x v="3"/>
    <x v="2"/>
    <n v="2025"/>
    <n v="2"/>
    <n v="4"/>
    <n v="2025"/>
    <n v="2"/>
    <s v="No"/>
    <x v="3"/>
    <s v="India"/>
    <x v="0"/>
    <s v="StayNest Heritage"/>
    <x v="11"/>
    <s v="Heritage"/>
    <n v="90"/>
    <x v="3"/>
    <s v="App Push"/>
    <d v="2025-04-30T00:00:00"/>
    <s v="No"/>
    <s v="No"/>
    <s v="Peak"/>
    <x v="1"/>
    <n v="0"/>
    <s v="8–30 days"/>
  </r>
  <r>
    <s v="B000129"/>
    <s v="G00346"/>
    <s v="H007"/>
    <s v="CH06"/>
    <d v="2025-05-18T00:00:00"/>
    <d v="2025-06-01T00:00:00"/>
    <x v="1"/>
    <n v="8883"/>
    <x v="0"/>
    <b v="0"/>
    <x v="3"/>
    <x v="1"/>
    <n v="2025"/>
    <n v="6"/>
    <n v="5"/>
    <n v="2025"/>
    <n v="6"/>
    <s v="Yes"/>
    <x v="0"/>
    <s v="India"/>
    <x v="0"/>
    <s v="StayNest Tech Park"/>
    <x v="6"/>
    <s v="Business"/>
    <n v="140"/>
    <x v="0"/>
    <s v="Retention"/>
    <d v="2025-06-01T00:00:00"/>
    <s v="Yes"/>
    <s v="No"/>
    <s v="Shoulder"/>
    <x v="1"/>
    <n v="0"/>
    <s v="8–30 days"/>
  </r>
  <r>
    <s v="B000130"/>
    <s v="G00230"/>
    <s v="H012"/>
    <s v="CH02"/>
    <d v="2025-08-05T00:00:00"/>
    <d v="2025-10-04T00:00:00"/>
    <x v="0"/>
    <n v="3653"/>
    <x v="0"/>
    <b v="0"/>
    <x v="1"/>
    <x v="11"/>
    <n v="2025"/>
    <n v="5"/>
    <n v="8"/>
    <n v="2025"/>
    <n v="1"/>
    <s v="Yes"/>
    <x v="1"/>
    <s v="India"/>
    <x v="0"/>
    <s v="StayNest Valley"/>
    <x v="4"/>
    <s v="Resort"/>
    <n v="65"/>
    <x v="3"/>
    <s v="App Push"/>
    <d v="2025-10-04T00:00:00"/>
    <s v="Yes"/>
    <s v="No"/>
    <s v="Shoulder"/>
    <x v="1"/>
    <n v="0"/>
    <s v="31–90 days"/>
  </r>
  <r>
    <s v="B000131"/>
    <s v="G00609"/>
    <s v="H001"/>
    <s v="CH06"/>
    <d v="2025-04-21T00:00:00"/>
    <d v="2025-05-21T00:00:00"/>
    <x v="2"/>
    <n v="3612"/>
    <x v="0"/>
    <b v="0"/>
    <x v="2"/>
    <x v="9"/>
    <n v="2025"/>
    <n v="2"/>
    <n v="4"/>
    <n v="2025"/>
    <n v="0"/>
    <s v="No"/>
    <x v="2"/>
    <s v="India"/>
    <x v="0"/>
    <s v="StayNest Marina"/>
    <x v="1"/>
    <s v="Business"/>
    <n v="120"/>
    <x v="0"/>
    <s v="Retention"/>
    <d v="2025-05-21T00:00:00"/>
    <s v="No"/>
    <s v="No"/>
    <s v="Peak"/>
    <x v="1"/>
    <n v="0"/>
    <s v="8–30 days"/>
  </r>
  <r>
    <s v="B000132"/>
    <s v="G00157"/>
    <s v="H004"/>
    <s v="CH06"/>
    <d v="2026-10-08T00:00:00"/>
    <d v="2026-10-09T00:00:00"/>
    <x v="1"/>
    <n v="7550"/>
    <x v="2"/>
    <b v="0"/>
    <x v="7"/>
    <x v="11"/>
    <n v="2026"/>
    <n v="4"/>
    <n v="10"/>
    <n v="2026"/>
    <n v="3"/>
    <s v="No"/>
    <x v="0"/>
    <s v="India"/>
    <x v="0"/>
    <s v="StayNest Lakeview"/>
    <x v="2"/>
    <s v="Resort"/>
    <n v="75"/>
    <x v="0"/>
    <s v="Retention"/>
    <d v="2026-10-09T00:00:00"/>
    <s v="No"/>
    <s v="No"/>
    <s v="Shoulder"/>
    <x v="1"/>
    <n v="0"/>
    <s v="0–7 days"/>
  </r>
  <r>
    <s v="B000133"/>
    <s v="G00108"/>
    <s v="H009"/>
    <s v="CH06"/>
    <d v="2026-09-25T00:00:00"/>
    <d v="2026-09-28T00:00:00"/>
    <x v="2"/>
    <n v="3219"/>
    <x v="3"/>
    <b v="0"/>
    <x v="6"/>
    <x v="10"/>
    <n v="2026"/>
    <n v="0"/>
    <n v="9"/>
    <n v="2026"/>
    <n v="4"/>
    <s v="No"/>
    <x v="2"/>
    <s v="United Kingdom"/>
    <x v="0"/>
    <s v="StayNest Airport"/>
    <x v="9"/>
    <s v="Business"/>
    <n v="160"/>
    <x v="0"/>
    <s v="Retention"/>
    <d v="2026-09-28T00:00:00"/>
    <s v="No"/>
    <s v="No"/>
    <s v="Shoulder"/>
    <x v="1"/>
    <n v="0"/>
    <s v="0–7 days"/>
  </r>
  <r>
    <s v="B000134"/>
    <s v="G00367"/>
    <s v="H012"/>
    <s v="CH04"/>
    <d v="2025-10-30T00:00:00"/>
    <d v="2025-11-02T00:00:00"/>
    <x v="1"/>
    <n v="39475"/>
    <x v="1"/>
    <b v="1"/>
    <x v="6"/>
    <x v="4"/>
    <n v="2025"/>
    <n v="6"/>
    <n v="10"/>
    <n v="2025"/>
    <n v="3"/>
    <s v="Yes"/>
    <x v="3"/>
    <s v="India"/>
    <x v="0"/>
    <s v="StayNest Valley"/>
    <x v="4"/>
    <s v="Resort"/>
    <n v="65"/>
    <x v="4"/>
    <s v="Partner"/>
    <d v="2025-11-02T00:00:00"/>
    <s v="Yes"/>
    <s v="No"/>
    <s v="Off-Peak"/>
    <x v="1"/>
    <n v="1"/>
    <s v="0–7 days"/>
  </r>
  <r>
    <s v="B000135"/>
    <s v="G00114"/>
    <s v="H010"/>
    <s v="CH06"/>
    <d v="2026-05-21T00:00:00"/>
    <d v="2026-05-24T00:00:00"/>
    <x v="2"/>
    <n v="2353"/>
    <x v="0"/>
    <b v="0"/>
    <x v="6"/>
    <x v="9"/>
    <n v="2026"/>
    <n v="6"/>
    <n v="5"/>
    <n v="2026"/>
    <n v="3"/>
    <s v="Yes"/>
    <x v="1"/>
    <s v="United Kingdom"/>
    <x v="1"/>
    <s v="StayNest Garden"/>
    <x v="10"/>
    <s v="Boutique"/>
    <n v="70"/>
    <x v="0"/>
    <s v="Retention"/>
    <d v="2026-05-24T00:00:00"/>
    <s v="Yes"/>
    <s v="No"/>
    <s v="Peak"/>
    <x v="1"/>
    <n v="0"/>
    <s v="0–7 days"/>
  </r>
  <r>
    <s v="B000136"/>
    <s v="G00476"/>
    <s v="H001"/>
    <s v="CH01"/>
    <d v="2025-06-28T00:00:00"/>
    <d v="2025-10-06T00:00:00"/>
    <x v="3"/>
    <n v="9989"/>
    <x v="2"/>
    <b v="0"/>
    <x v="0"/>
    <x v="11"/>
    <n v="2025"/>
    <n v="0"/>
    <n v="6"/>
    <n v="2025"/>
    <n v="5"/>
    <s v="No"/>
    <x v="3"/>
    <s v="India"/>
    <x v="0"/>
    <s v="StayNest Marina"/>
    <x v="1"/>
    <s v="Business"/>
    <n v="120"/>
    <x v="5"/>
    <s v="Direct"/>
    <d v="2025-10-06T00:00:00"/>
    <s v="No"/>
    <s v="No"/>
    <s v="Shoulder"/>
    <x v="1"/>
    <n v="0"/>
    <s v="91–180 days"/>
  </r>
  <r>
    <s v="B000137"/>
    <s v="G00010"/>
    <s v="H003"/>
    <s v="CH06"/>
    <d v="2026-10-25T00:00:00"/>
    <d v="2026-10-28T00:00:00"/>
    <x v="3"/>
    <n v="7261"/>
    <x v="0"/>
    <b v="0"/>
    <x v="6"/>
    <x v="11"/>
    <n v="2026"/>
    <n v="2"/>
    <n v="10"/>
    <n v="2026"/>
    <n v="6"/>
    <s v="No"/>
    <x v="1"/>
    <s v="Singapore"/>
    <x v="0"/>
    <s v="StayNest Hills"/>
    <x v="5"/>
    <s v="Resort"/>
    <n v="80"/>
    <x v="0"/>
    <s v="Retention"/>
    <d v="2026-10-28T00:00:00"/>
    <s v="No"/>
    <s v="No"/>
    <s v="Shoulder"/>
    <x v="1"/>
    <n v="0"/>
    <s v="0–7 days"/>
  </r>
  <r>
    <s v="B000138"/>
    <s v="G00468"/>
    <s v="H005"/>
    <s v="CH04"/>
    <d v="2026-05-05T00:00:00"/>
    <d v="2026-07-04T00:00:00"/>
    <x v="0"/>
    <n v="3740"/>
    <x v="2"/>
    <b v="0"/>
    <x v="1"/>
    <x v="8"/>
    <n v="2026"/>
    <n v="5"/>
    <n v="5"/>
    <n v="2026"/>
    <n v="1"/>
    <s v="Yes"/>
    <x v="1"/>
    <s v="India"/>
    <x v="0"/>
    <s v="StayNest Heritage"/>
    <x v="11"/>
    <s v="Heritage"/>
    <n v="90"/>
    <x v="4"/>
    <s v="Partner"/>
    <d v="2026-07-04T00:00:00"/>
    <s v="Yes"/>
    <s v="No"/>
    <s v="Off-Peak"/>
    <x v="1"/>
    <n v="0"/>
    <s v="31–90 days"/>
  </r>
  <r>
    <s v="B000139"/>
    <s v="G00449"/>
    <s v="H003"/>
    <s v="CH05"/>
    <d v="2026-01-24T00:00:00"/>
    <d v="2026-03-25T00:00:00"/>
    <x v="2"/>
    <n v="3189"/>
    <x v="1"/>
    <b v="0"/>
    <x v="1"/>
    <x v="3"/>
    <n v="2026"/>
    <n v="2"/>
    <n v="1"/>
    <n v="2026"/>
    <n v="5"/>
    <s v="No"/>
    <x v="0"/>
    <s v="India"/>
    <x v="0"/>
    <s v="StayNest Hills"/>
    <x v="5"/>
    <s v="Resort"/>
    <n v="80"/>
    <x v="2"/>
    <s v="Corporate Rate"/>
    <d v="2026-03-25T00:00:00"/>
    <s v="No"/>
    <s v="No"/>
    <s v="Shoulder"/>
    <x v="1"/>
    <n v="1"/>
    <s v="31–90 days"/>
  </r>
  <r>
    <s v="B000140"/>
    <s v="G00268"/>
    <s v="H011"/>
    <s v="CH03"/>
    <d v="2025-01-13T00:00:00"/>
    <d v="2025-03-14T00:00:00"/>
    <x v="0"/>
    <n v="5642"/>
    <x v="0"/>
    <b v="0"/>
    <x v="1"/>
    <x v="3"/>
    <n v="2025"/>
    <n v="4"/>
    <n v="1"/>
    <n v="2025"/>
    <n v="0"/>
    <s v="No"/>
    <x v="1"/>
    <s v="India"/>
    <x v="0"/>
    <s v="StayNest Grand"/>
    <x v="8"/>
    <s v="Business"/>
    <n v="110"/>
    <x v="1"/>
    <s v="OTA Promo"/>
    <d v="2025-03-14T00:00:00"/>
    <s v="No"/>
    <s v="No"/>
    <s v="Shoulder"/>
    <x v="1"/>
    <n v="0"/>
    <s v="31–90 days"/>
  </r>
  <r>
    <s v="B000141"/>
    <s v="G00395"/>
    <s v="H003"/>
    <s v="CH05"/>
    <d v="2026-09-20T00:00:00"/>
    <d v="2026-09-21T00:00:00"/>
    <x v="0"/>
    <n v="5422"/>
    <x v="0"/>
    <b v="0"/>
    <x v="7"/>
    <x v="10"/>
    <n v="2026"/>
    <n v="0"/>
    <n v="9"/>
    <n v="2026"/>
    <n v="6"/>
    <s v="No"/>
    <x v="1"/>
    <s v="Singapore"/>
    <x v="1"/>
    <s v="StayNest Hills"/>
    <x v="5"/>
    <s v="Resort"/>
    <n v="80"/>
    <x v="2"/>
    <s v="Corporate Rate"/>
    <d v="2026-09-21T00:00:00"/>
    <s v="No"/>
    <s v="No"/>
    <s v="Shoulder"/>
    <x v="1"/>
    <n v="0"/>
    <s v="0–7 days"/>
  </r>
  <r>
    <s v="B000142"/>
    <s v="G00339"/>
    <s v="H005"/>
    <s v="CH01"/>
    <d v="2026-06-04T00:00:00"/>
    <d v="2026-06-11T00:00:00"/>
    <x v="1"/>
    <n v="6880"/>
    <x v="0"/>
    <b v="0"/>
    <x v="4"/>
    <x v="1"/>
    <n v="2026"/>
    <n v="3"/>
    <n v="6"/>
    <n v="2026"/>
    <n v="3"/>
    <s v="No"/>
    <x v="0"/>
    <s v="India"/>
    <x v="1"/>
    <s v="StayNest Heritage"/>
    <x v="11"/>
    <s v="Heritage"/>
    <n v="90"/>
    <x v="5"/>
    <s v="Direct"/>
    <d v="2026-06-11T00:00:00"/>
    <s v="No"/>
    <s v="No"/>
    <s v="Shoulder"/>
    <x v="1"/>
    <n v="0"/>
    <s v="0–7 days"/>
  </r>
  <r>
    <s v="B000143"/>
    <s v="G00511"/>
    <s v="H008"/>
    <s v="CH03"/>
    <d v="2025-05-02T00:00:00"/>
    <d v="2025-12-08T00:00:00"/>
    <x v="2"/>
    <n v="3026"/>
    <x v="2"/>
    <b v="0"/>
    <x v="8"/>
    <x v="5"/>
    <n v="2025"/>
    <n v="0"/>
    <n v="5"/>
    <n v="2025"/>
    <n v="4"/>
    <s v="No"/>
    <x v="1"/>
    <s v="UAE"/>
    <x v="0"/>
    <s v="StayNest Palace"/>
    <x v="7"/>
    <s v="Heritage"/>
    <n v="85"/>
    <x v="1"/>
    <s v="OTA Promo"/>
    <d v="2025-12-08T00:00:00"/>
    <s v="No"/>
    <s v="No"/>
    <s v="Peak"/>
    <x v="1"/>
    <n v="0"/>
    <s v="181+ days"/>
  </r>
  <r>
    <s v="B000144"/>
    <s v="G00634"/>
    <s v="H011"/>
    <s v="CH03"/>
    <d v="2026-06-05T00:00:00"/>
    <d v="2026-07-05T00:00:00"/>
    <x v="1"/>
    <n v="8458"/>
    <x v="0"/>
    <b v="0"/>
    <x v="2"/>
    <x v="8"/>
    <n v="2026"/>
    <n v="6"/>
    <n v="6"/>
    <n v="2026"/>
    <n v="4"/>
    <s v="Yes"/>
    <x v="1"/>
    <s v="India"/>
    <x v="0"/>
    <s v="StayNest Grand"/>
    <x v="8"/>
    <s v="Business"/>
    <n v="110"/>
    <x v="1"/>
    <s v="OTA Promo"/>
    <d v="2026-07-05T00:00:00"/>
    <s v="Yes"/>
    <s v="No"/>
    <s v="Off-Peak"/>
    <x v="1"/>
    <n v="0"/>
    <s v="8–30 days"/>
  </r>
  <r>
    <s v="B000145"/>
    <s v="G00485"/>
    <s v="H012"/>
    <s v="CH06"/>
    <d v="2026-01-08T00:00:00"/>
    <d v="2026-03-09T00:00:00"/>
    <x v="2"/>
    <n v="3755"/>
    <x v="2"/>
    <b v="0"/>
    <x v="1"/>
    <x v="3"/>
    <n v="2026"/>
    <n v="0"/>
    <n v="1"/>
    <n v="2026"/>
    <n v="3"/>
    <s v="No"/>
    <x v="1"/>
    <s v="Germany"/>
    <x v="0"/>
    <s v="StayNest Valley"/>
    <x v="4"/>
    <s v="Resort"/>
    <n v="65"/>
    <x v="0"/>
    <s v="Retention"/>
    <d v="2026-03-09T00:00:00"/>
    <s v="No"/>
    <s v="No"/>
    <s v="Shoulder"/>
    <x v="1"/>
    <n v="0"/>
    <s v="31–90 days"/>
  </r>
  <r>
    <s v="B000146"/>
    <s v="G00561"/>
    <s v="H009"/>
    <s v="CH03"/>
    <d v="2025-04-19T00:00:00"/>
    <d v="2025-04-20T00:00:00"/>
    <x v="0"/>
    <n v="5176"/>
    <x v="1"/>
    <b v="0"/>
    <x v="7"/>
    <x v="2"/>
    <n v="2025"/>
    <n v="6"/>
    <n v="4"/>
    <n v="2025"/>
    <n v="5"/>
    <s v="Yes"/>
    <x v="3"/>
    <s v="United Kingdom"/>
    <x v="0"/>
    <s v="StayNest Airport"/>
    <x v="9"/>
    <s v="Business"/>
    <n v="160"/>
    <x v="1"/>
    <s v="OTA Promo"/>
    <d v="2025-04-20T00:00:00"/>
    <s v="Yes"/>
    <s v="No"/>
    <s v="Peak"/>
    <x v="1"/>
    <n v="1"/>
    <s v="0–7 days"/>
  </r>
  <r>
    <s v="B000147"/>
    <s v="G00403"/>
    <s v="H004"/>
    <s v="CH04"/>
    <d v="2025-07-15T00:00:00"/>
    <d v="2025-09-13T00:00:00"/>
    <x v="2"/>
    <n v="2295"/>
    <x v="0"/>
    <b v="0"/>
    <x v="1"/>
    <x v="10"/>
    <n v="2025"/>
    <n v="5"/>
    <n v="7"/>
    <n v="2025"/>
    <n v="1"/>
    <s v="Yes"/>
    <x v="1"/>
    <s v="India"/>
    <x v="1"/>
    <s v="StayNest Lakeview"/>
    <x v="2"/>
    <s v="Resort"/>
    <n v="75"/>
    <x v="4"/>
    <s v="Partner"/>
    <d v="2025-09-13T00:00:00"/>
    <s v="Yes"/>
    <s v="No"/>
    <s v="Shoulder"/>
    <x v="1"/>
    <n v="0"/>
    <s v="31–90 days"/>
  </r>
  <r>
    <s v="B000148"/>
    <s v="G00517"/>
    <s v="H003"/>
    <s v="CH04"/>
    <d v="2025-01-05T00:00:00"/>
    <d v="2025-02-04T00:00:00"/>
    <x v="2"/>
    <n v="4115"/>
    <x v="2"/>
    <b v="0"/>
    <x v="2"/>
    <x v="0"/>
    <n v="2025"/>
    <n v="1"/>
    <n v="1"/>
    <n v="2025"/>
    <n v="6"/>
    <s v="No"/>
    <x v="2"/>
    <s v="India"/>
    <x v="0"/>
    <s v="StayNest Hills"/>
    <x v="5"/>
    <s v="Resort"/>
    <n v="80"/>
    <x v="4"/>
    <s v="Partner"/>
    <d v="2025-02-04T00:00:00"/>
    <s v="No"/>
    <s v="No"/>
    <s v="Shoulder"/>
    <x v="1"/>
    <n v="0"/>
    <s v="8–30 days"/>
  </r>
  <r>
    <s v="B000149"/>
    <s v="G00593"/>
    <s v="H003"/>
    <s v="CH06"/>
    <d v="2025-05-12T00:00:00"/>
    <d v="2025-05-15T00:00:00"/>
    <x v="3"/>
    <n v="9929"/>
    <x v="0"/>
    <b v="0"/>
    <x v="6"/>
    <x v="9"/>
    <n v="2025"/>
    <n v="3"/>
    <n v="5"/>
    <n v="2025"/>
    <n v="0"/>
    <s v="No"/>
    <x v="1"/>
    <s v="India"/>
    <x v="0"/>
    <s v="StayNest Hills"/>
    <x v="5"/>
    <s v="Resort"/>
    <n v="80"/>
    <x v="0"/>
    <s v="Retention"/>
    <d v="2025-05-15T00:00:00"/>
    <s v="No"/>
    <s v="No"/>
    <s v="Peak"/>
    <x v="1"/>
    <n v="0"/>
    <s v="0–7 days"/>
  </r>
  <r>
    <s v="B000150"/>
    <s v="G00352"/>
    <s v="H005"/>
    <s v="CH04"/>
    <d v="2025-05-17T00:00:00"/>
    <d v="2025-05-20T00:00:00"/>
    <x v="3"/>
    <n v="11034"/>
    <x v="2"/>
    <b v="0"/>
    <x v="6"/>
    <x v="9"/>
    <n v="2025"/>
    <n v="1"/>
    <n v="5"/>
    <n v="2025"/>
    <n v="5"/>
    <s v="No"/>
    <x v="3"/>
    <s v="Germany"/>
    <x v="1"/>
    <s v="StayNest Heritage"/>
    <x v="11"/>
    <s v="Heritage"/>
    <n v="90"/>
    <x v="4"/>
    <s v="Partner"/>
    <d v="2025-05-20T00:00:00"/>
    <s v="No"/>
    <s v="No"/>
    <s v="Peak"/>
    <x v="1"/>
    <n v="0"/>
    <s v="0–7 days"/>
  </r>
  <r>
    <s v="B000151"/>
    <s v="G00354"/>
    <s v="H011"/>
    <s v="CH02"/>
    <d v="2026-10-28T00:00:00"/>
    <d v="2027-06-05T00:00:00"/>
    <x v="0"/>
    <n v="4820"/>
    <x v="0"/>
    <b v="0"/>
    <x v="8"/>
    <x v="1"/>
    <n v="2027"/>
    <n v="5"/>
    <n v="10"/>
    <n v="2026"/>
    <n v="2"/>
    <s v="Yes"/>
    <x v="3"/>
    <s v="UAE"/>
    <x v="1"/>
    <s v="StayNest Grand"/>
    <x v="8"/>
    <s v="Business"/>
    <n v="110"/>
    <x v="3"/>
    <s v="App Push"/>
    <m/>
    <s v="Unknown"/>
    <s v="Unknown"/>
    <s v="Unknown"/>
    <x v="0"/>
    <n v="0"/>
    <s v="181+ days"/>
  </r>
  <r>
    <s v="B000152"/>
    <s v="G00428"/>
    <s v="H011"/>
    <s v="CH06"/>
    <d v="2026-07-01T00:00:00"/>
    <d v="2026-07-08T00:00:00"/>
    <x v="1"/>
    <n v="6560"/>
    <x v="0"/>
    <b v="0"/>
    <x v="4"/>
    <x v="8"/>
    <n v="2026"/>
    <n v="2"/>
    <n v="7"/>
    <n v="2026"/>
    <n v="2"/>
    <s v="No"/>
    <x v="1"/>
    <s v="India"/>
    <x v="0"/>
    <s v="StayNest Grand"/>
    <x v="8"/>
    <s v="Business"/>
    <n v="110"/>
    <x v="0"/>
    <s v="Retention"/>
    <d v="2026-07-08T00:00:00"/>
    <s v="No"/>
    <s v="No"/>
    <s v="Off-Peak"/>
    <x v="1"/>
    <n v="0"/>
    <s v="0–7 days"/>
  </r>
  <r>
    <s v="B000153"/>
    <s v="G00165"/>
    <s v="H005"/>
    <s v="CH06"/>
    <d v="2025-09-14T00:00:00"/>
    <d v="2025-09-17T00:00:00"/>
    <x v="2"/>
    <n v="2617"/>
    <x v="1"/>
    <b v="0"/>
    <x v="6"/>
    <x v="10"/>
    <n v="2025"/>
    <n v="2"/>
    <n v="9"/>
    <n v="2025"/>
    <n v="6"/>
    <s v="No"/>
    <x v="3"/>
    <s v="India"/>
    <x v="0"/>
    <s v="StayNest Heritage"/>
    <x v="11"/>
    <s v="Heritage"/>
    <n v="90"/>
    <x v="0"/>
    <s v="Retention"/>
    <d v="2025-09-17T00:00:00"/>
    <s v="No"/>
    <s v="No"/>
    <s v="Shoulder"/>
    <x v="1"/>
    <n v="1"/>
    <s v="0–7 days"/>
  </r>
  <r>
    <s v="B000154"/>
    <s v="G00576"/>
    <s v="H004"/>
    <s v="CH06"/>
    <d v="2026-10-25T00:00:00"/>
    <d v="2026-11-24T00:00:00"/>
    <x v="0"/>
    <n v="4678"/>
    <x v="3"/>
    <b v="0"/>
    <x v="2"/>
    <x v="4"/>
    <n v="2026"/>
    <n v="1"/>
    <n v="10"/>
    <n v="2026"/>
    <n v="6"/>
    <s v="No"/>
    <x v="0"/>
    <s v="India"/>
    <x v="0"/>
    <s v="StayNest Lakeview"/>
    <x v="2"/>
    <s v="Resort"/>
    <n v="75"/>
    <x v="0"/>
    <s v="Retention"/>
    <d v="2026-11-24T00:00:00"/>
    <s v="No"/>
    <s v="No"/>
    <s v="Off-Peak"/>
    <x v="1"/>
    <n v="0"/>
    <s v="8–30 days"/>
  </r>
  <r>
    <s v="B000155"/>
    <s v="G00321"/>
    <s v="H009"/>
    <s v="CH01"/>
    <d v="2025-01-14T00:00:00"/>
    <d v="2025-03-15T00:00:00"/>
    <x v="0"/>
    <n v="5314"/>
    <x v="0"/>
    <b v="0"/>
    <x v="1"/>
    <x v="3"/>
    <n v="2025"/>
    <n v="5"/>
    <n v="1"/>
    <n v="2025"/>
    <n v="1"/>
    <s v="Yes"/>
    <x v="0"/>
    <s v="India"/>
    <x v="0"/>
    <s v="StayNest Airport"/>
    <x v="9"/>
    <s v="Business"/>
    <n v="160"/>
    <x v="5"/>
    <s v="Direct"/>
    <d v="2025-03-15T00:00:00"/>
    <s v="Yes"/>
    <s v="No"/>
    <s v="Shoulder"/>
    <x v="1"/>
    <n v="0"/>
    <s v="31–90 days"/>
  </r>
  <r>
    <s v="B000156"/>
    <s v="G00603"/>
    <s v="H009"/>
    <s v="CH06"/>
    <d v="2026-09-10T00:00:00"/>
    <d v="2026-09-17T00:00:00"/>
    <x v="0"/>
    <n v="4226"/>
    <x v="0"/>
    <b v="0"/>
    <x v="4"/>
    <x v="10"/>
    <n v="2026"/>
    <n v="3"/>
    <n v="9"/>
    <n v="2026"/>
    <n v="3"/>
    <s v="No"/>
    <x v="0"/>
    <s v="India"/>
    <x v="0"/>
    <s v="StayNest Airport"/>
    <x v="9"/>
    <s v="Business"/>
    <n v="160"/>
    <x v="0"/>
    <s v="Retention"/>
    <d v="2026-09-17T00:00:00"/>
    <s v="No"/>
    <s v="No"/>
    <s v="Shoulder"/>
    <x v="1"/>
    <n v="0"/>
    <s v="0–7 days"/>
  </r>
  <r>
    <s v="B000157"/>
    <s v="G00042"/>
    <s v="H007"/>
    <s v="CH03"/>
    <d v="2026-07-24T00:00:00"/>
    <d v="2026-07-31T00:00:00"/>
    <x v="0"/>
    <n v="4544"/>
    <x v="0"/>
    <b v="0"/>
    <x v="4"/>
    <x v="8"/>
    <n v="2026"/>
    <n v="4"/>
    <n v="7"/>
    <n v="2026"/>
    <n v="4"/>
    <s v="No"/>
    <x v="3"/>
    <s v="India"/>
    <x v="0"/>
    <s v="StayNest Tech Park"/>
    <x v="6"/>
    <s v="Business"/>
    <n v="140"/>
    <x v="1"/>
    <s v="OTA Promo"/>
    <d v="2026-07-31T00:00:00"/>
    <s v="No"/>
    <s v="No"/>
    <s v="Off-Peak"/>
    <x v="1"/>
    <n v="0"/>
    <s v="0–7 days"/>
  </r>
  <r>
    <s v="B000158"/>
    <s v="G00331"/>
    <s v="H010"/>
    <s v="CH01"/>
    <d v="2026-10-03T00:00:00"/>
    <d v="2026-11-02T00:00:00"/>
    <x v="3"/>
    <n v="11006"/>
    <x v="0"/>
    <b v="0"/>
    <x v="2"/>
    <x v="4"/>
    <n v="2026"/>
    <n v="0"/>
    <n v="10"/>
    <n v="2026"/>
    <n v="5"/>
    <s v="No"/>
    <x v="3"/>
    <s v="India"/>
    <x v="0"/>
    <s v="StayNest Garden"/>
    <x v="10"/>
    <s v="Boutique"/>
    <n v="70"/>
    <x v="5"/>
    <s v="Direct"/>
    <d v="2026-11-02T00:00:00"/>
    <s v="No"/>
    <s v="No"/>
    <s v="Off-Peak"/>
    <x v="1"/>
    <n v="0"/>
    <s v="8–30 days"/>
  </r>
  <r>
    <s v="B000160"/>
    <s v="G00634"/>
    <s v="H009"/>
    <s v="CH04"/>
    <d v="2026-07-29T00:00:00"/>
    <d v="2026-11-06T00:00:00"/>
    <x v="2"/>
    <n v="3569"/>
    <x v="0"/>
    <b v="0"/>
    <x v="0"/>
    <x v="4"/>
    <n v="2026"/>
    <n v="4"/>
    <n v="7"/>
    <n v="2026"/>
    <n v="2"/>
    <s v="No"/>
    <x v="1"/>
    <s v="India"/>
    <x v="0"/>
    <s v="StayNest Airport"/>
    <x v="9"/>
    <s v="Business"/>
    <n v="160"/>
    <x v="4"/>
    <s v="Partner"/>
    <d v="2026-11-06T00:00:00"/>
    <s v="No"/>
    <s v="No"/>
    <s v="Off-Peak"/>
    <x v="1"/>
    <n v="0"/>
    <s v="91–180 days"/>
  </r>
  <r>
    <s v="B000161"/>
    <s v="G00041"/>
    <s v="H011"/>
    <s v="CH03"/>
    <d v="2026-01-26T00:00:00"/>
    <d v="2026-06-25T00:00:00"/>
    <x v="2"/>
    <n v="2725"/>
    <x v="0"/>
    <b v="0"/>
    <x v="5"/>
    <x v="1"/>
    <n v="2026"/>
    <n v="3"/>
    <n v="1"/>
    <n v="2026"/>
    <n v="0"/>
    <s v="No"/>
    <x v="0"/>
    <s v="India"/>
    <x v="0"/>
    <s v="StayNest Grand"/>
    <x v="8"/>
    <s v="Business"/>
    <n v="110"/>
    <x v="1"/>
    <s v="OTA Promo"/>
    <d v="2026-06-25T00:00:00"/>
    <s v="No"/>
    <s v="No"/>
    <s v="Shoulder"/>
    <x v="1"/>
    <n v="0"/>
    <s v="91–180 days"/>
  </r>
  <r>
    <s v="B000162"/>
    <s v="G00521"/>
    <s v="H008"/>
    <s v="CH04"/>
    <d v="2025-02-14T00:00:00"/>
    <d v="2025-02-21T00:00:00"/>
    <x v="0"/>
    <n v="3837"/>
    <x v="0"/>
    <b v="0"/>
    <x v="4"/>
    <x v="0"/>
    <n v="2025"/>
    <n v="4"/>
    <n v="2"/>
    <n v="2025"/>
    <n v="4"/>
    <s v="No"/>
    <x v="3"/>
    <s v="India"/>
    <x v="1"/>
    <s v="StayNest Palace"/>
    <x v="7"/>
    <s v="Heritage"/>
    <n v="85"/>
    <x v="4"/>
    <s v="Partner"/>
    <d v="2025-02-21T00:00:00"/>
    <s v="No"/>
    <s v="No"/>
    <s v="Shoulder"/>
    <x v="1"/>
    <n v="0"/>
    <s v="0–7 days"/>
  </r>
  <r>
    <s v="B000163"/>
    <s v="G00642"/>
    <s v="H002"/>
    <s v="CH02"/>
    <d v="2026-11-18T00:00:00"/>
    <d v="2026-12-18T00:00:00"/>
    <x v="0"/>
    <n v="3925"/>
    <x v="2"/>
    <b v="0"/>
    <x v="2"/>
    <x v="5"/>
    <n v="2026"/>
    <n v="4"/>
    <n v="11"/>
    <n v="2026"/>
    <n v="2"/>
    <s v="No"/>
    <x v="3"/>
    <s v="India"/>
    <x v="0"/>
    <s v="StayNest Central"/>
    <x v="0"/>
    <s v="Business"/>
    <n v="150"/>
    <x v="3"/>
    <s v="App Push"/>
    <d v="2026-12-18T00:00:00"/>
    <s v="No"/>
    <s v="No"/>
    <s v="Peak"/>
    <x v="1"/>
    <n v="0"/>
    <s v="8–30 days"/>
  </r>
  <r>
    <s v="B000164"/>
    <s v="G00446"/>
    <s v="H011"/>
    <s v="CH01"/>
    <d v="2025-06-07T00:00:00"/>
    <d v="2025-06-08T00:00:00"/>
    <x v="3"/>
    <n v="6944"/>
    <x v="0"/>
    <b v="0"/>
    <x v="7"/>
    <x v="1"/>
    <n v="2025"/>
    <n v="6"/>
    <n v="6"/>
    <n v="2025"/>
    <n v="5"/>
    <s v="Yes"/>
    <x v="1"/>
    <s v="India"/>
    <x v="0"/>
    <s v="StayNest Grand"/>
    <x v="8"/>
    <s v="Business"/>
    <n v="110"/>
    <x v="5"/>
    <s v="Direct"/>
    <d v="2025-06-08T00:00:00"/>
    <s v="Yes"/>
    <s v="No"/>
    <s v="Shoulder"/>
    <x v="1"/>
    <n v="0"/>
    <s v="0–7 days"/>
  </r>
  <r>
    <s v="B000165"/>
    <s v="G00234"/>
    <s v="H005"/>
    <s v="CH04"/>
    <d v="2026-02-02T00:00:00"/>
    <d v="2026-02-16T00:00:00"/>
    <x v="1"/>
    <n v="7757"/>
    <x v="1"/>
    <b v="0"/>
    <x v="3"/>
    <x v="0"/>
    <n v="2026"/>
    <n v="0"/>
    <n v="2"/>
    <n v="2026"/>
    <n v="0"/>
    <s v="No"/>
    <x v="3"/>
    <s v="India"/>
    <x v="0"/>
    <s v="StayNest Heritage"/>
    <x v="11"/>
    <s v="Heritage"/>
    <n v="90"/>
    <x v="4"/>
    <s v="Partner"/>
    <d v="2026-02-16T00:00:00"/>
    <s v="No"/>
    <s v="No"/>
    <s v="Shoulder"/>
    <x v="1"/>
    <n v="1"/>
    <s v="8–30 days"/>
  </r>
  <r>
    <s v="B000166"/>
    <s v="G00634"/>
    <s v="H002"/>
    <s v="CH06"/>
    <d v="2026-08-23T00:00:00"/>
    <d v="2026-08-24T00:00:00"/>
    <x v="2"/>
    <n v="4100"/>
    <x v="0"/>
    <b v="0"/>
    <x v="7"/>
    <x v="7"/>
    <n v="2026"/>
    <n v="0"/>
    <n v="8"/>
    <n v="2026"/>
    <n v="6"/>
    <s v="No"/>
    <x v="1"/>
    <s v="India"/>
    <x v="0"/>
    <s v="StayNest Central"/>
    <x v="0"/>
    <s v="Business"/>
    <n v="150"/>
    <x v="0"/>
    <s v="Retention"/>
    <d v="2026-08-24T00:00:00"/>
    <s v="No"/>
    <s v="No"/>
    <s v="Off-Peak"/>
    <x v="1"/>
    <n v="0"/>
    <s v="0–7 days"/>
  </r>
  <r>
    <s v="B000167"/>
    <s v="G00449"/>
    <s v="H007"/>
    <s v="CH04"/>
    <d v="2026-11-08T00:00:00"/>
    <d v="2026-11-09T00:00:00"/>
    <x v="0"/>
    <n v="4058"/>
    <x v="3"/>
    <b v="0"/>
    <x v="7"/>
    <x v="4"/>
    <n v="2026"/>
    <n v="0"/>
    <n v="11"/>
    <n v="2026"/>
    <n v="6"/>
    <s v="No"/>
    <x v="0"/>
    <s v="India"/>
    <x v="0"/>
    <s v="StayNest Tech Park"/>
    <x v="6"/>
    <s v="Business"/>
    <n v="140"/>
    <x v="4"/>
    <s v="Partner"/>
    <d v="2026-11-09T00:00:00"/>
    <s v="No"/>
    <s v="No"/>
    <s v="Off-Peak"/>
    <x v="1"/>
    <n v="0"/>
    <s v="0–7 days"/>
  </r>
  <r>
    <s v="B000168"/>
    <s v="G00148"/>
    <s v="H005"/>
    <s v="CH06"/>
    <d v="2026-10-26T00:00:00"/>
    <d v="2026-11-09T00:00:00"/>
    <x v="2"/>
    <n v="3991"/>
    <x v="0"/>
    <b v="0"/>
    <x v="3"/>
    <x v="4"/>
    <n v="2026"/>
    <n v="0"/>
    <n v="10"/>
    <n v="2026"/>
    <n v="0"/>
    <s v="No"/>
    <x v="2"/>
    <s v="India"/>
    <x v="0"/>
    <s v="StayNest Heritage"/>
    <x v="11"/>
    <s v="Heritage"/>
    <n v="90"/>
    <x v="0"/>
    <s v="Retention"/>
    <d v="2026-11-09T00:00:00"/>
    <s v="No"/>
    <s v="No"/>
    <s v="Off-Peak"/>
    <x v="1"/>
    <n v="0"/>
    <s v="8–30 days"/>
  </r>
  <r>
    <s v="B000169"/>
    <s v="G00561"/>
    <s v="H002"/>
    <s v="CH03"/>
    <d v="2025-08-04T00:00:00"/>
    <d v="2025-10-03T00:00:00"/>
    <x v="3"/>
    <n v="7666"/>
    <x v="0"/>
    <b v="0"/>
    <x v="1"/>
    <x v="11"/>
    <n v="2025"/>
    <n v="4"/>
    <n v="8"/>
    <n v="2025"/>
    <n v="0"/>
    <s v="No"/>
    <x v="3"/>
    <s v="United Kingdom"/>
    <x v="0"/>
    <s v="StayNest Central"/>
    <x v="0"/>
    <s v="Business"/>
    <n v="150"/>
    <x v="1"/>
    <s v="OTA Promo"/>
    <d v="2025-10-03T00:00:00"/>
    <s v="No"/>
    <s v="No"/>
    <s v="Shoulder"/>
    <x v="1"/>
    <n v="0"/>
    <s v="31–90 days"/>
  </r>
  <r>
    <s v="B000170"/>
    <s v="G00118"/>
    <s v="H003"/>
    <s v="CH06"/>
    <d v="2026-08-04T00:00:00"/>
    <d v="2026-11-12T00:00:00"/>
    <x v="1"/>
    <n v="6026"/>
    <x v="0"/>
    <b v="0"/>
    <x v="0"/>
    <x v="4"/>
    <n v="2026"/>
    <n v="3"/>
    <n v="8"/>
    <n v="2026"/>
    <n v="1"/>
    <s v="No"/>
    <x v="3"/>
    <s v="Germany"/>
    <x v="1"/>
    <s v="StayNest Hills"/>
    <x v="5"/>
    <s v="Resort"/>
    <n v="80"/>
    <x v="0"/>
    <s v="Retention"/>
    <d v="2026-11-12T00:00:00"/>
    <s v="No"/>
    <s v="No"/>
    <s v="Off-Peak"/>
    <x v="1"/>
    <n v="0"/>
    <s v="91–180 days"/>
  </r>
  <r>
    <s v="B000171"/>
    <s v="G00339"/>
    <s v="H006"/>
    <s v="CH02"/>
    <d v="2026-11-19T00:00:00"/>
    <d v="2026-12-19T00:00:00"/>
    <x v="2"/>
    <n v="3468"/>
    <x v="2"/>
    <b v="0"/>
    <x v="2"/>
    <x v="5"/>
    <n v="2026"/>
    <n v="5"/>
    <n v="11"/>
    <n v="2026"/>
    <n v="3"/>
    <s v="Yes"/>
    <x v="0"/>
    <s v="India"/>
    <x v="1"/>
    <s v="StayNest Beach"/>
    <x v="3"/>
    <s v="Resort"/>
    <n v="100"/>
    <x v="3"/>
    <s v="App Push"/>
    <d v="2026-12-19T00:00:00"/>
    <s v="Yes"/>
    <s v="No"/>
    <s v="Peak"/>
    <x v="1"/>
    <n v="0"/>
    <s v="8–30 days"/>
  </r>
  <r>
    <s v="B000172"/>
    <s v="G00599"/>
    <s v="H003"/>
    <s v="CH05"/>
    <d v="2026-08-04T00:00:00"/>
    <d v="2026-08-18T00:00:00"/>
    <x v="3"/>
    <n v="9065"/>
    <x v="0"/>
    <b v="0"/>
    <x v="3"/>
    <x v="7"/>
    <n v="2026"/>
    <n v="1"/>
    <n v="8"/>
    <n v="2026"/>
    <n v="1"/>
    <s v="No"/>
    <x v="0"/>
    <s v="India"/>
    <x v="0"/>
    <s v="StayNest Hills"/>
    <x v="5"/>
    <s v="Resort"/>
    <n v="80"/>
    <x v="2"/>
    <s v="Corporate Rate"/>
    <d v="2026-08-18T00:00:00"/>
    <s v="No"/>
    <s v="No"/>
    <s v="Off-Peak"/>
    <x v="1"/>
    <n v="0"/>
    <s v="8–30 days"/>
  </r>
  <r>
    <s v="B000173"/>
    <s v="G00284"/>
    <s v="H006"/>
    <s v="CH02"/>
    <d v="2026-11-27T00:00:00"/>
    <d v="2027-01-26T00:00:00"/>
    <x v="1"/>
    <n v="6994"/>
    <x v="0"/>
    <b v="0"/>
    <x v="1"/>
    <x v="6"/>
    <n v="2027"/>
    <n v="1"/>
    <n v="11"/>
    <n v="2026"/>
    <n v="4"/>
    <s v="No"/>
    <x v="0"/>
    <s v="Singapore"/>
    <x v="1"/>
    <s v="StayNest Beach"/>
    <x v="3"/>
    <s v="Resort"/>
    <n v="100"/>
    <x v="3"/>
    <s v="App Push"/>
    <m/>
    <s v="Unknown"/>
    <s v="Unknown"/>
    <s v="Unknown"/>
    <x v="0"/>
    <n v="0"/>
    <s v="31–90 days"/>
  </r>
  <r>
    <s v="B000174"/>
    <s v="G00288"/>
    <s v="H003"/>
    <s v="CH05"/>
    <d v="2025-07-21T00:00:00"/>
    <d v="2025-07-28T00:00:00"/>
    <x v="2"/>
    <n v="4027"/>
    <x v="0"/>
    <b v="0"/>
    <x v="4"/>
    <x v="8"/>
    <n v="2025"/>
    <n v="0"/>
    <n v="7"/>
    <n v="2025"/>
    <n v="0"/>
    <s v="No"/>
    <x v="3"/>
    <s v="United States"/>
    <x v="0"/>
    <s v="StayNest Hills"/>
    <x v="5"/>
    <s v="Resort"/>
    <n v="80"/>
    <x v="2"/>
    <s v="Corporate Rate"/>
    <d v="2025-07-28T00:00:00"/>
    <s v="No"/>
    <s v="No"/>
    <s v="Off-Peak"/>
    <x v="1"/>
    <n v="0"/>
    <s v="0–7 days"/>
  </r>
  <r>
    <s v="B000175"/>
    <s v="G00605"/>
    <s v="H004"/>
    <s v="CH01"/>
    <d v="2026-07-19T00:00:00"/>
    <d v="2026-07-26T00:00:00"/>
    <x v="1"/>
    <n v="8651"/>
    <x v="0"/>
    <b v="0"/>
    <x v="4"/>
    <x v="8"/>
    <n v="2026"/>
    <n v="6"/>
    <n v="7"/>
    <n v="2026"/>
    <n v="6"/>
    <s v="Yes"/>
    <x v="2"/>
    <s v="India"/>
    <x v="1"/>
    <s v="StayNest Lakeview"/>
    <x v="2"/>
    <s v="Resort"/>
    <n v="75"/>
    <x v="5"/>
    <s v="Direct"/>
    <d v="2026-07-26T00:00:00"/>
    <s v="Yes"/>
    <s v="No"/>
    <s v="Off-Peak"/>
    <x v="1"/>
    <n v="0"/>
    <s v="0–7 days"/>
  </r>
  <r>
    <s v="B000176"/>
    <s v="G00476"/>
    <s v="H009"/>
    <s v="CH05"/>
    <d v="2025-04-03T00:00:00"/>
    <d v="2025-04-17T00:00:00"/>
    <x v="2"/>
    <n v="3936"/>
    <x v="3"/>
    <b v="0"/>
    <x v="3"/>
    <x v="2"/>
    <n v="2025"/>
    <n v="3"/>
    <n v="4"/>
    <n v="2025"/>
    <n v="3"/>
    <s v="No"/>
    <x v="3"/>
    <s v="India"/>
    <x v="0"/>
    <s v="StayNest Airport"/>
    <x v="9"/>
    <s v="Business"/>
    <n v="160"/>
    <x v="2"/>
    <s v="Corporate Rate"/>
    <d v="2025-04-17T00:00:00"/>
    <s v="No"/>
    <s v="No"/>
    <s v="Peak"/>
    <x v="1"/>
    <n v="0"/>
    <s v="8–30 days"/>
  </r>
  <r>
    <s v="B000177"/>
    <s v="G00150"/>
    <s v="H012"/>
    <s v="CH06"/>
    <d v="2026-05-11T00:00:00"/>
    <d v="2026-10-08T00:00:00"/>
    <x v="2"/>
    <n v="3759"/>
    <x v="1"/>
    <b v="0"/>
    <x v="5"/>
    <x v="11"/>
    <n v="2026"/>
    <n v="3"/>
    <n v="5"/>
    <n v="2026"/>
    <n v="0"/>
    <s v="No"/>
    <x v="3"/>
    <s v="Singapore"/>
    <x v="0"/>
    <s v="StayNest Valley"/>
    <x v="4"/>
    <s v="Resort"/>
    <n v="65"/>
    <x v="0"/>
    <s v="Retention"/>
    <d v="2026-10-08T00:00:00"/>
    <s v="No"/>
    <s v="No"/>
    <s v="Shoulder"/>
    <x v="1"/>
    <n v="1"/>
    <s v="91–180 days"/>
  </r>
  <r>
    <s v="B000178"/>
    <s v="G00212"/>
    <s v="H009"/>
    <s v="CH03"/>
    <d v="2026-02-02T00:00:00"/>
    <d v="2026-02-16T00:00:00"/>
    <x v="1"/>
    <n v="7882"/>
    <x v="0"/>
    <b v="0"/>
    <x v="3"/>
    <x v="0"/>
    <n v="2026"/>
    <n v="0"/>
    <n v="2"/>
    <n v="2026"/>
    <n v="0"/>
    <s v="No"/>
    <x v="1"/>
    <s v="India"/>
    <x v="1"/>
    <s v="StayNest Airport"/>
    <x v="9"/>
    <s v="Business"/>
    <n v="160"/>
    <x v="1"/>
    <s v="OTA Promo"/>
    <d v="2026-02-16T00:00:00"/>
    <s v="No"/>
    <s v="No"/>
    <s v="Shoulder"/>
    <x v="1"/>
    <n v="0"/>
    <s v="8–30 days"/>
  </r>
  <r>
    <s v="B000179"/>
    <s v="G00270"/>
    <s v="H010"/>
    <s v="CH05"/>
    <d v="2026-08-07T00:00:00"/>
    <d v="2026-08-10T00:00:00"/>
    <x v="1"/>
    <n v="6030"/>
    <x v="0"/>
    <b v="0"/>
    <x v="6"/>
    <x v="7"/>
    <n v="2026"/>
    <n v="0"/>
    <n v="8"/>
    <n v="2026"/>
    <n v="4"/>
    <s v="No"/>
    <x v="1"/>
    <s v="India"/>
    <x v="0"/>
    <s v="StayNest Garden"/>
    <x v="10"/>
    <s v="Boutique"/>
    <n v="70"/>
    <x v="2"/>
    <s v="Corporate Rate"/>
    <d v="2026-08-10T00:00:00"/>
    <s v="No"/>
    <s v="No"/>
    <s v="Off-Peak"/>
    <x v="1"/>
    <n v="0"/>
    <s v="0–7 days"/>
  </r>
  <r>
    <s v="B000180"/>
    <s v="G00362"/>
    <s v="H006"/>
    <s v="CH04"/>
    <d v="2026-05-09T00:00:00"/>
    <d v="2026-08-17T00:00:00"/>
    <x v="2"/>
    <n v="4006"/>
    <x v="0"/>
    <b v="0"/>
    <x v="0"/>
    <x v="7"/>
    <n v="2026"/>
    <n v="0"/>
    <n v="5"/>
    <n v="2026"/>
    <n v="5"/>
    <s v="No"/>
    <x v="3"/>
    <s v="India"/>
    <x v="1"/>
    <s v="StayNest Beach"/>
    <x v="3"/>
    <s v="Resort"/>
    <n v="100"/>
    <x v="4"/>
    <s v="Partner"/>
    <d v="2026-08-17T00:00:00"/>
    <s v="No"/>
    <s v="No"/>
    <s v="Off-Peak"/>
    <x v="1"/>
    <n v="0"/>
    <s v="91–180 days"/>
  </r>
  <r>
    <s v="B000181"/>
    <s v="G00154"/>
    <s v="H003"/>
    <s v="CH02"/>
    <d v="2026-01-06T00:00:00"/>
    <d v="2026-02-05T00:00:00"/>
    <x v="2"/>
    <n v="3049"/>
    <x v="0"/>
    <b v="0"/>
    <x v="2"/>
    <x v="0"/>
    <n v="2026"/>
    <n v="3"/>
    <n v="1"/>
    <n v="2026"/>
    <n v="1"/>
    <s v="No"/>
    <x v="1"/>
    <s v="India"/>
    <x v="0"/>
    <s v="StayNest Hills"/>
    <x v="5"/>
    <s v="Resort"/>
    <n v="80"/>
    <x v="3"/>
    <s v="App Push"/>
    <d v="2026-02-05T00:00:00"/>
    <s v="No"/>
    <s v="No"/>
    <s v="Shoulder"/>
    <x v="1"/>
    <n v="0"/>
    <s v="8–30 days"/>
  </r>
  <r>
    <s v="B000182"/>
    <s v="G00421"/>
    <s v="H001"/>
    <s v="CH02"/>
    <d v="2025-02-14T00:00:00"/>
    <d v="2025-02-17T00:00:00"/>
    <x v="0"/>
    <n v="5599"/>
    <x v="0"/>
    <b v="0"/>
    <x v="6"/>
    <x v="0"/>
    <n v="2025"/>
    <n v="0"/>
    <n v="2"/>
    <n v="2025"/>
    <n v="4"/>
    <s v="No"/>
    <x v="1"/>
    <s v="India"/>
    <x v="1"/>
    <s v="StayNest Marina"/>
    <x v="1"/>
    <s v="Business"/>
    <n v="120"/>
    <x v="3"/>
    <s v="App Push"/>
    <d v="2025-02-17T00:00:00"/>
    <s v="No"/>
    <s v="No"/>
    <s v="Shoulder"/>
    <x v="1"/>
    <n v="0"/>
    <s v="0–7 days"/>
  </r>
  <r>
    <s v="B000183"/>
    <s v="G00185"/>
    <s v="H009"/>
    <s v="CH04"/>
    <d v="2026-09-06T00:00:00"/>
    <d v="2027-02-03T00:00:00"/>
    <x v="2"/>
    <n v="4139"/>
    <x v="0"/>
    <b v="0"/>
    <x v="5"/>
    <x v="0"/>
    <n v="2027"/>
    <n v="2"/>
    <n v="9"/>
    <n v="2026"/>
    <n v="6"/>
    <s v="No"/>
    <x v="1"/>
    <s v="United Kingdom"/>
    <x v="0"/>
    <s v="StayNest Airport"/>
    <x v="9"/>
    <s v="Business"/>
    <n v="160"/>
    <x v="4"/>
    <s v="Partner"/>
    <m/>
    <s v="Unknown"/>
    <s v="Unknown"/>
    <s v="Unknown"/>
    <x v="0"/>
    <n v="0"/>
    <s v="91–180 days"/>
  </r>
  <r>
    <s v="B000184"/>
    <s v="G00225"/>
    <s v="H007"/>
    <s v="CH05"/>
    <d v="2025-05-27T00:00:00"/>
    <d v="2025-07-26T00:00:00"/>
    <x v="0"/>
    <n v="5592"/>
    <x v="0"/>
    <b v="0"/>
    <x v="1"/>
    <x v="8"/>
    <n v="2025"/>
    <n v="5"/>
    <n v="5"/>
    <n v="2025"/>
    <n v="1"/>
    <s v="Yes"/>
    <x v="2"/>
    <s v="India"/>
    <x v="0"/>
    <s v="StayNest Tech Park"/>
    <x v="6"/>
    <s v="Business"/>
    <n v="140"/>
    <x v="2"/>
    <s v="Corporate Rate"/>
    <d v="2025-07-26T00:00:00"/>
    <s v="Yes"/>
    <s v="No"/>
    <s v="Off-Peak"/>
    <x v="1"/>
    <n v="0"/>
    <s v="31–90 days"/>
  </r>
  <r>
    <s v="B000185"/>
    <s v="G00605"/>
    <s v="H002"/>
    <s v="CH02"/>
    <d v="2026-01-23T00:00:00"/>
    <d v="2026-02-06T00:00:00"/>
    <x v="2"/>
    <n v="2614"/>
    <x v="0"/>
    <b v="0"/>
    <x v="3"/>
    <x v="0"/>
    <n v="2026"/>
    <n v="4"/>
    <n v="1"/>
    <n v="2026"/>
    <n v="4"/>
    <s v="No"/>
    <x v="2"/>
    <s v="India"/>
    <x v="1"/>
    <s v="StayNest Central"/>
    <x v="0"/>
    <s v="Business"/>
    <n v="150"/>
    <x v="3"/>
    <s v="App Push"/>
    <d v="2026-02-06T00:00:00"/>
    <s v="No"/>
    <s v="No"/>
    <s v="Shoulder"/>
    <x v="1"/>
    <n v="0"/>
    <s v="8–30 days"/>
  </r>
  <r>
    <s v="B000186"/>
    <s v="G00488"/>
    <s v="H010"/>
    <s v="CH05"/>
    <d v="2025-02-09T00:00:00"/>
    <d v="2025-05-20T00:00:00"/>
    <x v="2"/>
    <n v="3187"/>
    <x v="2"/>
    <b v="0"/>
    <x v="0"/>
    <x v="9"/>
    <n v="2025"/>
    <n v="1"/>
    <n v="2"/>
    <n v="2025"/>
    <n v="6"/>
    <s v="No"/>
    <x v="0"/>
    <s v="Singapore"/>
    <x v="0"/>
    <s v="StayNest Garden"/>
    <x v="10"/>
    <s v="Boutique"/>
    <n v="70"/>
    <x v="2"/>
    <s v="Corporate Rate"/>
    <d v="2025-05-20T00:00:00"/>
    <s v="No"/>
    <s v="No"/>
    <s v="Peak"/>
    <x v="1"/>
    <n v="0"/>
    <s v="91–180 days"/>
  </r>
  <r>
    <s v="B000187"/>
    <s v="G00442"/>
    <s v="H009"/>
    <s v="CH04"/>
    <d v="2026-01-15T00:00:00"/>
    <d v="2026-04-25T00:00:00"/>
    <x v="1"/>
    <n v="6435"/>
    <x v="2"/>
    <b v="0"/>
    <x v="0"/>
    <x v="2"/>
    <n v="2026"/>
    <n v="5"/>
    <n v="1"/>
    <n v="2026"/>
    <n v="3"/>
    <s v="Yes"/>
    <x v="1"/>
    <s v="United Kingdom"/>
    <x v="1"/>
    <s v="StayNest Airport"/>
    <x v="9"/>
    <s v="Business"/>
    <n v="160"/>
    <x v="4"/>
    <s v="Partner"/>
    <d v="2026-04-25T00:00:00"/>
    <s v="Yes"/>
    <s v="No"/>
    <s v="Peak"/>
    <x v="1"/>
    <n v="0"/>
    <s v="91–180 days"/>
  </r>
  <r>
    <s v="B000188"/>
    <s v="G00590"/>
    <s v="H002"/>
    <s v="CH04"/>
    <d v="2025-05-18T00:00:00"/>
    <d v="2025-05-25T00:00:00"/>
    <x v="0"/>
    <n v="5950"/>
    <x v="1"/>
    <b v="0"/>
    <x v="4"/>
    <x v="9"/>
    <n v="2025"/>
    <n v="6"/>
    <n v="5"/>
    <n v="2025"/>
    <n v="6"/>
    <s v="Yes"/>
    <x v="2"/>
    <s v="India"/>
    <x v="0"/>
    <s v="StayNest Central"/>
    <x v="0"/>
    <s v="Business"/>
    <n v="150"/>
    <x v="4"/>
    <s v="Partner"/>
    <d v="2025-05-25T00:00:00"/>
    <s v="Yes"/>
    <s v="No"/>
    <s v="Peak"/>
    <x v="1"/>
    <n v="1"/>
    <s v="0–7 days"/>
  </r>
  <r>
    <s v="B000189"/>
    <s v="G00008"/>
    <s v="H010"/>
    <s v="CH05"/>
    <d v="2025-05-01T00:00:00"/>
    <d v="2025-05-31T00:00:00"/>
    <x v="1"/>
    <n v="6483"/>
    <x v="0"/>
    <b v="0"/>
    <x v="2"/>
    <x v="9"/>
    <n v="2025"/>
    <n v="5"/>
    <n v="5"/>
    <n v="2025"/>
    <n v="3"/>
    <s v="Yes"/>
    <x v="0"/>
    <s v="India"/>
    <x v="1"/>
    <s v="StayNest Garden"/>
    <x v="10"/>
    <s v="Boutique"/>
    <n v="70"/>
    <x v="2"/>
    <s v="Corporate Rate"/>
    <d v="2025-05-31T00:00:00"/>
    <s v="Yes"/>
    <s v="No"/>
    <s v="Peak"/>
    <x v="1"/>
    <n v="0"/>
    <s v="8–30 days"/>
  </r>
  <r>
    <s v="B000190"/>
    <s v="G00268"/>
    <s v="H009"/>
    <s v="CH04"/>
    <d v="2026-08-02T00:00:00"/>
    <d v="2026-08-16T00:00:00"/>
    <x v="3"/>
    <n v="9885"/>
    <x v="0"/>
    <b v="0"/>
    <x v="3"/>
    <x v="7"/>
    <n v="2026"/>
    <n v="6"/>
    <n v="8"/>
    <n v="2026"/>
    <n v="6"/>
    <s v="Yes"/>
    <x v="1"/>
    <s v="India"/>
    <x v="0"/>
    <s v="StayNest Airport"/>
    <x v="9"/>
    <s v="Business"/>
    <n v="160"/>
    <x v="4"/>
    <s v="Partner"/>
    <d v="2026-08-16T00:00:00"/>
    <s v="Yes"/>
    <s v="No"/>
    <s v="Off-Peak"/>
    <x v="1"/>
    <n v="0"/>
    <s v="8–30 days"/>
  </r>
  <r>
    <s v="B000192"/>
    <s v="G00521"/>
    <s v="H007"/>
    <s v="CH03"/>
    <d v="2026-07-18T00:00:00"/>
    <d v="2026-08-17T00:00:00"/>
    <x v="2"/>
    <n v="2996"/>
    <x v="0"/>
    <b v="0"/>
    <x v="2"/>
    <x v="7"/>
    <n v="2026"/>
    <n v="0"/>
    <n v="7"/>
    <n v="2026"/>
    <n v="5"/>
    <s v="No"/>
    <x v="3"/>
    <s v="India"/>
    <x v="1"/>
    <s v="StayNest Tech Park"/>
    <x v="6"/>
    <s v="Business"/>
    <n v="140"/>
    <x v="1"/>
    <s v="OTA Promo"/>
    <d v="2026-08-17T00:00:00"/>
    <s v="No"/>
    <s v="No"/>
    <s v="Off-Peak"/>
    <x v="1"/>
    <n v="0"/>
    <s v="8–30 days"/>
  </r>
  <r>
    <s v="B000193"/>
    <s v="G00066"/>
    <s v="H005"/>
    <s v="CH02"/>
    <d v="2026-01-15T00:00:00"/>
    <d v="2026-01-18T00:00:00"/>
    <x v="2"/>
    <n v="4106"/>
    <x v="0"/>
    <b v="0"/>
    <x v="6"/>
    <x v="6"/>
    <n v="2026"/>
    <n v="6"/>
    <n v="1"/>
    <n v="2026"/>
    <n v="3"/>
    <s v="Yes"/>
    <x v="2"/>
    <s v="India"/>
    <x v="1"/>
    <s v="StayNest Heritage"/>
    <x v="11"/>
    <s v="Heritage"/>
    <n v="90"/>
    <x v="3"/>
    <s v="App Push"/>
    <d v="2026-01-18T00:00:00"/>
    <s v="Yes"/>
    <s v="No"/>
    <s v="Off-Peak"/>
    <x v="1"/>
    <n v="0"/>
    <s v="0–7 days"/>
  </r>
  <r>
    <s v="B000194"/>
    <s v="G00180"/>
    <s v="H011"/>
    <s v="CH04"/>
    <d v="2026-03-26T00:00:00"/>
    <d v="2026-03-27T00:00:00"/>
    <x v="3"/>
    <n v="10682"/>
    <x v="2"/>
    <b v="0"/>
    <x v="7"/>
    <x v="3"/>
    <n v="2026"/>
    <n v="4"/>
    <n v="3"/>
    <n v="2026"/>
    <n v="3"/>
    <s v="No"/>
    <x v="3"/>
    <s v="United States"/>
    <x v="1"/>
    <s v="StayNest Grand"/>
    <x v="8"/>
    <s v="Business"/>
    <n v="110"/>
    <x v="4"/>
    <s v="Partner"/>
    <d v="2026-03-27T00:00:00"/>
    <s v="No"/>
    <s v="No"/>
    <s v="Shoulder"/>
    <x v="1"/>
    <n v="0"/>
    <s v="0–7 days"/>
  </r>
  <r>
    <s v="B000195"/>
    <s v="G00369"/>
    <s v="H004"/>
    <s v="CH06"/>
    <d v="2025-01-01T00:00:00"/>
    <d v="2025-08-09T00:00:00"/>
    <x v="2"/>
    <n v="3796"/>
    <x v="0"/>
    <b v="0"/>
    <x v="8"/>
    <x v="7"/>
    <n v="2025"/>
    <n v="5"/>
    <n v="1"/>
    <n v="2025"/>
    <n v="2"/>
    <s v="Yes"/>
    <x v="0"/>
    <s v="Singapore"/>
    <x v="0"/>
    <s v="StayNest Lakeview"/>
    <x v="2"/>
    <s v="Resort"/>
    <n v="75"/>
    <x v="0"/>
    <s v="Retention"/>
    <d v="2025-08-09T00:00:00"/>
    <s v="Yes"/>
    <s v="No"/>
    <s v="Off-Peak"/>
    <x v="1"/>
    <n v="0"/>
    <s v="181+ days"/>
  </r>
  <r>
    <s v="B000196"/>
    <s v="G00071"/>
    <s v="H002"/>
    <s v="CH05"/>
    <d v="2025-10-19T00:00:00"/>
    <d v="2025-12-18T00:00:00"/>
    <x v="3"/>
    <n v="8353"/>
    <x v="0"/>
    <b v="0"/>
    <x v="1"/>
    <x v="5"/>
    <n v="2025"/>
    <n v="3"/>
    <n v="10"/>
    <n v="2025"/>
    <n v="6"/>
    <s v="No"/>
    <x v="1"/>
    <s v="United Kingdom"/>
    <x v="0"/>
    <s v="StayNest Central"/>
    <x v="0"/>
    <s v="Business"/>
    <n v="150"/>
    <x v="2"/>
    <s v="Corporate Rate"/>
    <d v="2025-12-18T00:00:00"/>
    <s v="No"/>
    <s v="No"/>
    <s v="Peak"/>
    <x v="1"/>
    <n v="0"/>
    <s v="31–90 days"/>
  </r>
  <r>
    <s v="B000197"/>
    <s v="G00005"/>
    <s v="H005"/>
    <s v="CH02"/>
    <d v="2026-02-21T00:00:00"/>
    <d v="2026-03-23T00:00:00"/>
    <x v="2"/>
    <n v="2802"/>
    <x v="0"/>
    <b v="0"/>
    <x v="2"/>
    <x v="3"/>
    <n v="2026"/>
    <n v="0"/>
    <n v="2"/>
    <n v="2026"/>
    <n v="5"/>
    <s v="No"/>
    <x v="1"/>
    <s v="India"/>
    <x v="0"/>
    <s v="StayNest Heritage"/>
    <x v="11"/>
    <s v="Heritage"/>
    <n v="90"/>
    <x v="3"/>
    <s v="App Push"/>
    <d v="2026-03-23T00:00:00"/>
    <s v="No"/>
    <s v="No"/>
    <s v="Shoulder"/>
    <x v="1"/>
    <n v="0"/>
    <s v="8–30 days"/>
  </r>
  <r>
    <s v="B000198"/>
    <s v="G00589"/>
    <s v="H005"/>
    <s v="CH06"/>
    <d v="2026-03-30T00:00:00"/>
    <d v="2026-08-27T00:00:00"/>
    <x v="1"/>
    <n v="7791"/>
    <x v="0"/>
    <b v="0"/>
    <x v="5"/>
    <x v="7"/>
    <n v="2026"/>
    <n v="3"/>
    <n v="3"/>
    <n v="2026"/>
    <n v="0"/>
    <s v="No"/>
    <x v="1"/>
    <s v="India"/>
    <x v="1"/>
    <s v="StayNest Heritage"/>
    <x v="11"/>
    <s v="Heritage"/>
    <n v="90"/>
    <x v="0"/>
    <s v="Retention"/>
    <d v="2026-08-27T00:00:00"/>
    <s v="No"/>
    <s v="No"/>
    <s v="Off-Peak"/>
    <x v="1"/>
    <n v="0"/>
    <s v="91–180 days"/>
  </r>
  <r>
    <s v="B000199"/>
    <s v="G00120"/>
    <s v="H005"/>
    <s v="CH01"/>
    <d v="2026-01-27T00:00:00"/>
    <d v="2026-02-26T00:00:00"/>
    <x v="0"/>
    <n v="4793"/>
    <x v="2"/>
    <b v="0"/>
    <x v="2"/>
    <x v="0"/>
    <n v="2026"/>
    <n v="3"/>
    <n v="1"/>
    <n v="2026"/>
    <n v="1"/>
    <s v="No"/>
    <x v="1"/>
    <s v="India"/>
    <x v="0"/>
    <s v="StayNest Heritage"/>
    <x v="11"/>
    <s v="Heritage"/>
    <n v="90"/>
    <x v="5"/>
    <s v="Direct"/>
    <d v="2026-02-26T00:00:00"/>
    <s v="No"/>
    <s v="No"/>
    <s v="Shoulder"/>
    <x v="1"/>
    <n v="0"/>
    <s v="8–30 days"/>
  </r>
  <r>
    <s v="B000200"/>
    <s v="G00270"/>
    <s v="H004"/>
    <s v="CH03"/>
    <d v="2025-04-06T00:00:00"/>
    <d v="2025-04-20T00:00:00"/>
    <x v="3"/>
    <n v="10403"/>
    <x v="0"/>
    <b v="0"/>
    <x v="3"/>
    <x v="2"/>
    <n v="2025"/>
    <n v="6"/>
    <n v="4"/>
    <n v="2025"/>
    <n v="6"/>
    <s v="Yes"/>
    <x v="1"/>
    <s v="India"/>
    <x v="0"/>
    <s v="StayNest Lakeview"/>
    <x v="2"/>
    <s v="Resort"/>
    <n v="75"/>
    <x v="1"/>
    <s v="OTA Promo"/>
    <d v="2025-04-20T00:00:00"/>
    <s v="Yes"/>
    <s v="No"/>
    <s v="Peak"/>
    <x v="1"/>
    <n v="0"/>
    <s v="8–30 days"/>
  </r>
  <r>
    <s v="B000201"/>
    <s v="G00195"/>
    <s v="H008"/>
    <s v="CH06"/>
    <d v="2025-07-24T00:00:00"/>
    <d v="2025-07-31T00:00:00"/>
    <x v="0"/>
    <n v="4438"/>
    <x v="0"/>
    <b v="0"/>
    <x v="4"/>
    <x v="8"/>
    <n v="2025"/>
    <n v="3"/>
    <n v="7"/>
    <n v="2025"/>
    <n v="3"/>
    <s v="No"/>
    <x v="0"/>
    <s v="India"/>
    <x v="0"/>
    <s v="StayNest Palace"/>
    <x v="7"/>
    <s v="Heritage"/>
    <n v="85"/>
    <x v="0"/>
    <s v="Retention"/>
    <d v="2025-07-31T00:00:00"/>
    <s v="No"/>
    <s v="No"/>
    <s v="Off-Peak"/>
    <x v="1"/>
    <n v="0"/>
    <s v="0–7 days"/>
  </r>
  <r>
    <s v="B000202"/>
    <s v="G00110"/>
    <s v="H002"/>
    <s v="CH01"/>
    <d v="2026-11-24T00:00:00"/>
    <d v="2027-04-23T00:00:00"/>
    <x v="1"/>
    <n v="8473"/>
    <x v="0"/>
    <b v="0"/>
    <x v="5"/>
    <x v="2"/>
    <n v="2027"/>
    <n v="4"/>
    <n v="11"/>
    <n v="2026"/>
    <n v="1"/>
    <s v="No"/>
    <x v="2"/>
    <s v="United Kingdom"/>
    <x v="0"/>
    <s v="StayNest Central"/>
    <x v="0"/>
    <s v="Business"/>
    <n v="150"/>
    <x v="5"/>
    <s v="Direct"/>
    <m/>
    <s v="Unknown"/>
    <s v="Unknown"/>
    <s v="Unknown"/>
    <x v="0"/>
    <n v="0"/>
    <s v="91–180 days"/>
  </r>
  <r>
    <s v="B000203"/>
    <s v="G00589"/>
    <s v="H005"/>
    <s v="CH04"/>
    <d v="2025-07-07T00:00:00"/>
    <d v="2026-02-12T00:00:00"/>
    <x v="3"/>
    <n v="7550"/>
    <x v="2"/>
    <b v="0"/>
    <x v="8"/>
    <x v="0"/>
    <n v="2026"/>
    <n v="3"/>
    <n v="7"/>
    <n v="2025"/>
    <n v="0"/>
    <s v="No"/>
    <x v="1"/>
    <s v="India"/>
    <x v="1"/>
    <s v="StayNest Heritage"/>
    <x v="11"/>
    <s v="Heritage"/>
    <n v="90"/>
    <x v="4"/>
    <s v="Partner"/>
    <d v="2026-02-12T00:00:00"/>
    <s v="No"/>
    <s v="No"/>
    <s v="Shoulder"/>
    <x v="1"/>
    <n v="0"/>
    <s v="181+ days"/>
  </r>
  <r>
    <s v="B000204"/>
    <s v="G00034"/>
    <s v="H009"/>
    <s v="CH03"/>
    <d v="2026-02-08T00:00:00"/>
    <d v="2026-05-19T00:00:00"/>
    <x v="0"/>
    <n v="3993"/>
    <x v="1"/>
    <b v="0"/>
    <x v="0"/>
    <x v="9"/>
    <n v="2026"/>
    <n v="1"/>
    <n v="2"/>
    <n v="2026"/>
    <n v="6"/>
    <s v="No"/>
    <x v="2"/>
    <s v="India"/>
    <x v="0"/>
    <s v="StayNest Airport"/>
    <x v="9"/>
    <s v="Business"/>
    <n v="160"/>
    <x v="1"/>
    <s v="OTA Promo"/>
    <d v="2026-05-19T00:00:00"/>
    <s v="No"/>
    <s v="No"/>
    <s v="Peak"/>
    <x v="1"/>
    <n v="1"/>
    <s v="91–180 days"/>
  </r>
  <r>
    <s v="B000205"/>
    <s v="G00216"/>
    <s v="H007"/>
    <s v="CH05"/>
    <d v="2025-04-14T00:00:00"/>
    <d v="2025-04-28T00:00:00"/>
    <x v="3"/>
    <n v="8442"/>
    <x v="0"/>
    <b v="0"/>
    <x v="3"/>
    <x v="2"/>
    <n v="2025"/>
    <n v="0"/>
    <n v="4"/>
    <n v="2025"/>
    <n v="0"/>
    <s v="No"/>
    <x v="3"/>
    <s v="Singapore"/>
    <x v="0"/>
    <s v="StayNest Tech Park"/>
    <x v="6"/>
    <s v="Business"/>
    <n v="140"/>
    <x v="2"/>
    <s v="Corporate Rate"/>
    <d v="2025-04-28T00:00:00"/>
    <s v="No"/>
    <s v="No"/>
    <s v="Peak"/>
    <x v="1"/>
    <n v="0"/>
    <s v="8–30 days"/>
  </r>
  <r>
    <s v="B000206"/>
    <s v="G00511"/>
    <s v="H007"/>
    <s v="CH02"/>
    <d v="2026-03-06T00:00:00"/>
    <d v="2026-05-05T00:00:00"/>
    <x v="3"/>
    <n v="8790"/>
    <x v="0"/>
    <b v="0"/>
    <x v="1"/>
    <x v="9"/>
    <n v="2026"/>
    <n v="1"/>
    <n v="3"/>
    <n v="2026"/>
    <n v="4"/>
    <s v="No"/>
    <x v="1"/>
    <s v="UAE"/>
    <x v="0"/>
    <s v="StayNest Tech Park"/>
    <x v="6"/>
    <s v="Business"/>
    <n v="140"/>
    <x v="3"/>
    <s v="App Push"/>
    <d v="2026-05-05T00:00:00"/>
    <s v="No"/>
    <s v="No"/>
    <s v="Peak"/>
    <x v="1"/>
    <n v="0"/>
    <s v="31–90 days"/>
  </r>
  <r>
    <s v="B000207"/>
    <s v="G00235"/>
    <s v="H002"/>
    <s v="CH06"/>
    <d v="2025-10-04T00:00:00"/>
    <d v="2025-12-03T00:00:00"/>
    <x v="1"/>
    <n v="6937"/>
    <x v="0"/>
    <b v="0"/>
    <x v="1"/>
    <x v="5"/>
    <n v="2025"/>
    <n v="2"/>
    <n v="10"/>
    <n v="2025"/>
    <n v="5"/>
    <s v="No"/>
    <x v="0"/>
    <s v="India"/>
    <x v="1"/>
    <s v="StayNest Central"/>
    <x v="0"/>
    <s v="Business"/>
    <n v="150"/>
    <x v="0"/>
    <s v="Retention"/>
    <d v="2025-12-03T00:00:00"/>
    <s v="No"/>
    <s v="No"/>
    <s v="Peak"/>
    <x v="1"/>
    <n v="0"/>
    <s v="31–90 days"/>
  </r>
  <r>
    <s v="B000208"/>
    <s v="G00646"/>
    <s v="H009"/>
    <s v="CH05"/>
    <d v="2025-11-20T00:00:00"/>
    <d v="2026-01-19T00:00:00"/>
    <x v="3"/>
    <n v="6890"/>
    <x v="0"/>
    <b v="0"/>
    <x v="1"/>
    <x v="6"/>
    <n v="2026"/>
    <n v="0"/>
    <n v="11"/>
    <n v="2025"/>
    <n v="3"/>
    <s v="No"/>
    <x v="2"/>
    <s v="Germany"/>
    <x v="1"/>
    <s v="StayNest Airport"/>
    <x v="9"/>
    <s v="Business"/>
    <n v="160"/>
    <x v="2"/>
    <s v="Corporate Rate"/>
    <d v="2026-01-19T00:00:00"/>
    <s v="No"/>
    <s v="No"/>
    <s v="Off-Peak"/>
    <x v="1"/>
    <n v="0"/>
    <s v="31–90 days"/>
  </r>
  <r>
    <s v="B000209"/>
    <s v="G00261"/>
    <s v="H008"/>
    <s v="CH06"/>
    <d v="2025-04-09T00:00:00"/>
    <d v="2025-04-23T00:00:00"/>
    <x v="3"/>
    <n v="11090"/>
    <x v="0"/>
    <b v="0"/>
    <x v="3"/>
    <x v="2"/>
    <n v="2025"/>
    <n v="2"/>
    <n v="4"/>
    <n v="2025"/>
    <n v="2"/>
    <s v="No"/>
    <x v="0"/>
    <s v="India"/>
    <x v="0"/>
    <s v="StayNest Palace"/>
    <x v="7"/>
    <s v="Heritage"/>
    <n v="85"/>
    <x v="0"/>
    <s v="Retention"/>
    <d v="2025-04-23T00:00:00"/>
    <s v="No"/>
    <s v="No"/>
    <s v="Peak"/>
    <x v="1"/>
    <n v="0"/>
    <s v="8–30 days"/>
  </r>
  <r>
    <s v="B000210"/>
    <s v="G00125"/>
    <s v="H006"/>
    <s v="CH06"/>
    <d v="2026-09-13T00:00:00"/>
    <d v="2026-09-20T00:00:00"/>
    <x v="0"/>
    <n v="4831"/>
    <x v="0"/>
    <b v="0"/>
    <x v="4"/>
    <x v="10"/>
    <n v="2026"/>
    <n v="6"/>
    <n v="9"/>
    <n v="2026"/>
    <n v="6"/>
    <s v="Yes"/>
    <x v="0"/>
    <s v="India"/>
    <x v="0"/>
    <s v="StayNest Beach"/>
    <x v="3"/>
    <s v="Resort"/>
    <n v="100"/>
    <x v="0"/>
    <s v="Retention"/>
    <d v="2026-09-20T00:00:00"/>
    <s v="Yes"/>
    <s v="No"/>
    <s v="Shoulder"/>
    <x v="1"/>
    <n v="0"/>
    <s v="0–7 days"/>
  </r>
  <r>
    <s v="B000211"/>
    <s v="G00629"/>
    <s v="H005"/>
    <s v="CH04"/>
    <d v="2026-10-09T00:00:00"/>
    <d v="2027-03-08T00:00:00"/>
    <x v="0"/>
    <n v="5841"/>
    <x v="1"/>
    <b v="0"/>
    <x v="5"/>
    <x v="3"/>
    <n v="2027"/>
    <n v="0"/>
    <n v="10"/>
    <n v="2026"/>
    <n v="4"/>
    <s v="No"/>
    <x v="1"/>
    <s v="India"/>
    <x v="0"/>
    <s v="StayNest Heritage"/>
    <x v="11"/>
    <s v="Heritage"/>
    <n v="90"/>
    <x v="4"/>
    <s v="Partner"/>
    <m/>
    <s v="Unknown"/>
    <s v="Unknown"/>
    <s v="Unknown"/>
    <x v="0"/>
    <n v="1"/>
    <s v="91–180 days"/>
  </r>
  <r>
    <s v="B000212"/>
    <s v="G00352"/>
    <s v="H004"/>
    <s v="CH03"/>
    <d v="2025-11-21T00:00:00"/>
    <d v="2025-12-21T00:00:00"/>
    <x v="3"/>
    <n v="8722"/>
    <x v="0"/>
    <b v="0"/>
    <x v="2"/>
    <x v="5"/>
    <n v="2025"/>
    <n v="6"/>
    <n v="11"/>
    <n v="2025"/>
    <n v="4"/>
    <s v="Yes"/>
    <x v="3"/>
    <s v="Germany"/>
    <x v="1"/>
    <s v="StayNest Lakeview"/>
    <x v="2"/>
    <s v="Resort"/>
    <n v="75"/>
    <x v="1"/>
    <s v="OTA Promo"/>
    <d v="2025-12-21T00:00:00"/>
    <s v="Yes"/>
    <s v="No"/>
    <s v="Peak"/>
    <x v="1"/>
    <n v="0"/>
    <s v="8–30 days"/>
  </r>
  <r>
    <s v="B000213"/>
    <s v="G00602"/>
    <s v="H009"/>
    <s v="CH04"/>
    <d v="2026-02-28T00:00:00"/>
    <d v="2026-03-03T00:00:00"/>
    <x v="2"/>
    <n v="3690"/>
    <x v="0"/>
    <b v="0"/>
    <x v="6"/>
    <x v="3"/>
    <n v="2026"/>
    <n v="1"/>
    <n v="2"/>
    <n v="2026"/>
    <n v="5"/>
    <s v="No"/>
    <x v="3"/>
    <s v="United States"/>
    <x v="1"/>
    <s v="StayNest Airport"/>
    <x v="9"/>
    <s v="Business"/>
    <n v="160"/>
    <x v="4"/>
    <s v="Partner"/>
    <d v="2026-03-03T00:00:00"/>
    <s v="No"/>
    <s v="No"/>
    <s v="Shoulder"/>
    <x v="1"/>
    <n v="0"/>
    <s v="0–7 days"/>
  </r>
  <r>
    <s v="B000214"/>
    <s v="G00171"/>
    <s v="H007"/>
    <s v="CH01"/>
    <d v="2025-04-08T00:00:00"/>
    <d v="2025-04-09T00:00:00"/>
    <x v="1"/>
    <n v="7146"/>
    <x v="1"/>
    <b v="0"/>
    <x v="7"/>
    <x v="2"/>
    <n v="2025"/>
    <n v="2"/>
    <n v="4"/>
    <n v="2025"/>
    <n v="1"/>
    <s v="No"/>
    <x v="1"/>
    <s v="India"/>
    <x v="0"/>
    <s v="StayNest Tech Park"/>
    <x v="6"/>
    <s v="Business"/>
    <n v="140"/>
    <x v="5"/>
    <s v="Direct"/>
    <d v="2025-04-09T00:00:00"/>
    <s v="No"/>
    <s v="No"/>
    <s v="Peak"/>
    <x v="1"/>
    <n v="1"/>
    <s v="0–7 days"/>
  </r>
  <r>
    <s v="B000215"/>
    <s v="G00269"/>
    <s v="H010"/>
    <s v="CH02"/>
    <d v="2025-03-28T00:00:00"/>
    <d v="2025-04-27T00:00:00"/>
    <x v="1"/>
    <n v="6815"/>
    <x v="2"/>
    <b v="0"/>
    <x v="2"/>
    <x v="2"/>
    <n v="2025"/>
    <n v="6"/>
    <n v="3"/>
    <n v="2025"/>
    <n v="4"/>
    <s v="Yes"/>
    <x v="3"/>
    <s v="India"/>
    <x v="0"/>
    <s v="StayNest Garden"/>
    <x v="10"/>
    <s v="Boutique"/>
    <n v="70"/>
    <x v="3"/>
    <s v="App Push"/>
    <d v="2025-04-27T00:00:00"/>
    <s v="Yes"/>
    <s v="No"/>
    <s v="Peak"/>
    <x v="1"/>
    <n v="0"/>
    <s v="8–30 days"/>
  </r>
  <r>
    <s v="B000216"/>
    <s v="G00030"/>
    <s v="H001"/>
    <s v="CH06"/>
    <d v="2026-01-01T00:00:00"/>
    <d v="2026-04-11T00:00:00"/>
    <x v="3"/>
    <n v="8731"/>
    <x v="2"/>
    <b v="0"/>
    <x v="0"/>
    <x v="2"/>
    <n v="2026"/>
    <n v="5"/>
    <n v="1"/>
    <n v="2026"/>
    <n v="3"/>
    <s v="Yes"/>
    <x v="3"/>
    <s v="India"/>
    <x v="1"/>
    <s v="StayNest Marina"/>
    <x v="1"/>
    <s v="Business"/>
    <n v="120"/>
    <x v="0"/>
    <s v="Retention"/>
    <d v="2026-04-11T00:00:00"/>
    <s v="Yes"/>
    <s v="No"/>
    <s v="Peak"/>
    <x v="1"/>
    <n v="0"/>
    <s v="91–180 days"/>
  </r>
  <r>
    <s v="B000217"/>
    <s v="G00182"/>
    <s v="H010"/>
    <s v="CH05"/>
    <d v="2026-04-13T00:00:00"/>
    <d v="2026-05-13T00:00:00"/>
    <x v="1"/>
    <n v="8722"/>
    <x v="2"/>
    <b v="0"/>
    <x v="2"/>
    <x v="9"/>
    <n v="2026"/>
    <n v="2"/>
    <n v="4"/>
    <n v="2026"/>
    <n v="0"/>
    <s v="No"/>
    <x v="1"/>
    <s v="India"/>
    <x v="0"/>
    <s v="StayNest Garden"/>
    <x v="10"/>
    <s v="Boutique"/>
    <n v="70"/>
    <x v="2"/>
    <s v="Corporate Rate"/>
    <d v="2026-05-13T00:00:00"/>
    <s v="No"/>
    <s v="No"/>
    <s v="Peak"/>
    <x v="1"/>
    <n v="0"/>
    <s v="8–30 days"/>
  </r>
  <r>
    <s v="B000218"/>
    <s v="G00453"/>
    <s v="H005"/>
    <s v="CH03"/>
    <d v="2026-02-27T00:00:00"/>
    <d v="2026-03-06T00:00:00"/>
    <x v="3"/>
    <n v="7616"/>
    <x v="2"/>
    <b v="0"/>
    <x v="4"/>
    <x v="3"/>
    <n v="2026"/>
    <n v="4"/>
    <n v="2"/>
    <n v="2026"/>
    <n v="4"/>
    <s v="No"/>
    <x v="1"/>
    <s v="India"/>
    <x v="0"/>
    <s v="StayNest Heritage"/>
    <x v="11"/>
    <s v="Heritage"/>
    <n v="90"/>
    <x v="1"/>
    <s v="OTA Promo"/>
    <d v="2026-03-06T00:00:00"/>
    <s v="No"/>
    <s v="No"/>
    <s v="Shoulder"/>
    <x v="1"/>
    <n v="0"/>
    <s v="0–7 days"/>
  </r>
  <r>
    <s v="B000219"/>
    <s v="G00504"/>
    <s v="H008"/>
    <s v="CH03"/>
    <d v="2025-01-10T00:00:00"/>
    <d v="2025-03-11T00:00:00"/>
    <x v="3"/>
    <n v="10990"/>
    <x v="0"/>
    <b v="0"/>
    <x v="1"/>
    <x v="3"/>
    <n v="2025"/>
    <n v="1"/>
    <n v="1"/>
    <n v="2025"/>
    <n v="4"/>
    <s v="No"/>
    <x v="3"/>
    <s v="India"/>
    <x v="0"/>
    <s v="StayNest Palace"/>
    <x v="7"/>
    <s v="Heritage"/>
    <n v="85"/>
    <x v="1"/>
    <s v="OTA Promo"/>
    <d v="2025-03-11T00:00:00"/>
    <s v="No"/>
    <s v="No"/>
    <s v="Shoulder"/>
    <x v="1"/>
    <n v="0"/>
    <s v="31–90 days"/>
  </r>
  <r>
    <s v="B000220"/>
    <s v="G00256"/>
    <s v="H003"/>
    <s v="CH06"/>
    <d v="2026-10-24T00:00:00"/>
    <d v="2026-11-07T00:00:00"/>
    <x v="1"/>
    <n v="7561"/>
    <x v="2"/>
    <b v="0"/>
    <x v="3"/>
    <x v="4"/>
    <n v="2026"/>
    <n v="5"/>
    <n v="10"/>
    <n v="2026"/>
    <n v="5"/>
    <s v="Yes"/>
    <x v="2"/>
    <s v="India"/>
    <x v="0"/>
    <s v="StayNest Hills"/>
    <x v="5"/>
    <s v="Resort"/>
    <n v="80"/>
    <x v="0"/>
    <s v="Retention"/>
    <d v="2026-11-07T00:00:00"/>
    <s v="Yes"/>
    <s v="No"/>
    <s v="Off-Peak"/>
    <x v="1"/>
    <n v="0"/>
    <s v="8–30 days"/>
  </r>
  <r>
    <s v="B000221"/>
    <s v="G00279"/>
    <s v="H005"/>
    <s v="CH06"/>
    <d v="2026-06-29T00:00:00"/>
    <d v="2026-08-28T00:00:00"/>
    <x v="1"/>
    <n v="5559"/>
    <x v="0"/>
    <b v="0"/>
    <x v="1"/>
    <x v="7"/>
    <n v="2026"/>
    <n v="4"/>
    <n v="6"/>
    <n v="2026"/>
    <n v="0"/>
    <s v="No"/>
    <x v="0"/>
    <s v="India"/>
    <x v="0"/>
    <s v="StayNest Heritage"/>
    <x v="11"/>
    <s v="Heritage"/>
    <n v="90"/>
    <x v="0"/>
    <s v="Retention"/>
    <d v="2026-08-28T00:00:00"/>
    <s v="No"/>
    <s v="No"/>
    <s v="Off-Peak"/>
    <x v="1"/>
    <n v="0"/>
    <s v="31–90 days"/>
  </r>
  <r>
    <s v="B000222"/>
    <s v="G00279"/>
    <s v="H012"/>
    <s v="CH05"/>
    <d v="2026-05-19T00:00:00"/>
    <d v="2026-05-26T00:00:00"/>
    <x v="2"/>
    <n v="2301"/>
    <x v="0"/>
    <b v="0"/>
    <x v="4"/>
    <x v="9"/>
    <n v="2026"/>
    <n v="1"/>
    <n v="5"/>
    <n v="2026"/>
    <n v="1"/>
    <s v="No"/>
    <x v="0"/>
    <s v="India"/>
    <x v="0"/>
    <s v="StayNest Valley"/>
    <x v="4"/>
    <s v="Resort"/>
    <n v="65"/>
    <x v="2"/>
    <s v="Corporate Rate"/>
    <d v="2026-05-26T00:00:00"/>
    <s v="No"/>
    <s v="No"/>
    <s v="Peak"/>
    <x v="1"/>
    <n v="0"/>
    <s v="0–7 days"/>
  </r>
  <r>
    <s v="B000223"/>
    <s v="G00449"/>
    <s v="H012"/>
    <s v="CH01"/>
    <d v="2025-08-27T00:00:00"/>
    <d v="2025-08-30T00:00:00"/>
    <x v="2"/>
    <n v="2644"/>
    <x v="0"/>
    <b v="0"/>
    <x v="6"/>
    <x v="7"/>
    <n v="2025"/>
    <n v="5"/>
    <n v="8"/>
    <n v="2025"/>
    <n v="2"/>
    <s v="Yes"/>
    <x v="0"/>
    <s v="India"/>
    <x v="0"/>
    <s v="StayNest Valley"/>
    <x v="4"/>
    <s v="Resort"/>
    <n v="65"/>
    <x v="5"/>
    <s v="Direct"/>
    <d v="2025-08-30T00:00:00"/>
    <s v="Yes"/>
    <s v="No"/>
    <s v="Off-Peak"/>
    <x v="1"/>
    <n v="0"/>
    <s v="0–7 days"/>
  </r>
  <r>
    <s v="B000224"/>
    <s v="G00033"/>
    <s v="H006"/>
    <s v="CH01"/>
    <d v="2025-05-30T00:00:00"/>
    <d v="2025-05-31T00:00:00"/>
    <x v="1"/>
    <n v="5787"/>
    <x v="0"/>
    <b v="0"/>
    <x v="7"/>
    <x v="9"/>
    <n v="2025"/>
    <n v="5"/>
    <n v="5"/>
    <n v="2025"/>
    <n v="4"/>
    <s v="Yes"/>
    <x v="2"/>
    <s v="India"/>
    <x v="0"/>
    <s v="StayNest Beach"/>
    <x v="3"/>
    <s v="Resort"/>
    <n v="100"/>
    <x v="5"/>
    <s v="Direct"/>
    <d v="2025-05-31T00:00:00"/>
    <s v="Yes"/>
    <s v="No"/>
    <s v="Peak"/>
    <x v="1"/>
    <n v="0"/>
    <s v="0–7 days"/>
  </r>
  <r>
    <s v="B000225"/>
    <s v="G00013"/>
    <s v="H002"/>
    <s v="CH06"/>
    <d v="2025-09-12T00:00:00"/>
    <d v="2025-09-26T00:00:00"/>
    <x v="1"/>
    <n v="6887"/>
    <x v="1"/>
    <b v="0"/>
    <x v="3"/>
    <x v="10"/>
    <n v="2025"/>
    <n v="4"/>
    <n v="9"/>
    <n v="2025"/>
    <n v="4"/>
    <s v="No"/>
    <x v="0"/>
    <s v="India"/>
    <x v="0"/>
    <s v="StayNest Central"/>
    <x v="0"/>
    <s v="Business"/>
    <n v="150"/>
    <x v="0"/>
    <s v="Retention"/>
    <d v="2025-09-26T00:00:00"/>
    <s v="No"/>
    <s v="No"/>
    <s v="Shoulder"/>
    <x v="1"/>
    <n v="1"/>
    <s v="8–30 days"/>
  </r>
  <r>
    <s v="B000226"/>
    <s v="G00214"/>
    <s v="H008"/>
    <s v="CH04"/>
    <d v="2026-11-29T00:00:00"/>
    <d v="2027-04-28T00:00:00"/>
    <x v="3"/>
    <n v="11002"/>
    <x v="0"/>
    <b v="0"/>
    <x v="5"/>
    <x v="2"/>
    <n v="2027"/>
    <n v="2"/>
    <n v="11"/>
    <n v="2026"/>
    <n v="6"/>
    <s v="No"/>
    <x v="1"/>
    <s v="Unknown"/>
    <x v="0"/>
    <s v="StayNest Palace"/>
    <x v="7"/>
    <s v="Heritage"/>
    <n v="85"/>
    <x v="4"/>
    <s v="Partner"/>
    <m/>
    <s v="Unknown"/>
    <s v="Unknown"/>
    <s v="Unknown"/>
    <x v="0"/>
    <n v="0"/>
    <s v="91–180 days"/>
  </r>
  <r>
    <s v="B000227"/>
    <s v="G00370"/>
    <s v="H001"/>
    <s v="CH06"/>
    <d v="2025-08-12T00:00:00"/>
    <d v="2026-03-20T00:00:00"/>
    <x v="0"/>
    <n v="3561"/>
    <x v="1"/>
    <b v="0"/>
    <x v="8"/>
    <x v="3"/>
    <n v="2026"/>
    <n v="4"/>
    <n v="8"/>
    <n v="2025"/>
    <n v="1"/>
    <s v="No"/>
    <x v="2"/>
    <s v="India"/>
    <x v="0"/>
    <s v="StayNest Marina"/>
    <x v="1"/>
    <s v="Business"/>
    <n v="120"/>
    <x v="0"/>
    <s v="Retention"/>
    <d v="2026-03-20T00:00:00"/>
    <s v="No"/>
    <s v="No"/>
    <s v="Shoulder"/>
    <x v="1"/>
    <n v="1"/>
    <s v="181+ days"/>
  </r>
  <r>
    <s v="B000228"/>
    <s v="G00249"/>
    <s v="H001"/>
    <s v="CH01"/>
    <d v="2026-08-19T00:00:00"/>
    <d v="2026-10-18T00:00:00"/>
    <x v="1"/>
    <n v="6018"/>
    <x v="1"/>
    <b v="0"/>
    <x v="1"/>
    <x v="11"/>
    <n v="2026"/>
    <n v="6"/>
    <n v="8"/>
    <n v="2026"/>
    <n v="2"/>
    <s v="Yes"/>
    <x v="1"/>
    <s v="Germany"/>
    <x v="0"/>
    <s v="StayNest Marina"/>
    <x v="1"/>
    <s v="Business"/>
    <n v="120"/>
    <x v="5"/>
    <s v="Direct"/>
    <d v="2026-10-18T00:00:00"/>
    <s v="Yes"/>
    <s v="No"/>
    <s v="Shoulder"/>
    <x v="1"/>
    <n v="1"/>
    <s v="31–90 days"/>
  </r>
  <r>
    <s v="B000229"/>
    <s v="G00634"/>
    <s v="H006"/>
    <s v="CH06"/>
    <d v="2025-03-03T00:00:00"/>
    <d v="2025-03-04T00:00:00"/>
    <x v="0"/>
    <n v="3939"/>
    <x v="2"/>
    <b v="0"/>
    <x v="7"/>
    <x v="3"/>
    <n v="2025"/>
    <n v="1"/>
    <n v="3"/>
    <n v="2025"/>
    <n v="0"/>
    <s v="No"/>
    <x v="1"/>
    <s v="India"/>
    <x v="0"/>
    <s v="StayNest Beach"/>
    <x v="3"/>
    <s v="Resort"/>
    <n v="100"/>
    <x v="0"/>
    <s v="Retention"/>
    <d v="2025-03-04T00:00:00"/>
    <s v="No"/>
    <s v="No"/>
    <s v="Shoulder"/>
    <x v="1"/>
    <n v="0"/>
    <s v="0–7 days"/>
  </r>
  <r>
    <s v="B000230"/>
    <s v="G00356"/>
    <s v="H008"/>
    <s v="CH06"/>
    <d v="2025-07-17T00:00:00"/>
    <d v="2025-07-18T00:00:00"/>
    <x v="1"/>
    <n v="8680"/>
    <x v="0"/>
    <b v="0"/>
    <x v="7"/>
    <x v="8"/>
    <n v="2025"/>
    <n v="4"/>
    <n v="7"/>
    <n v="2025"/>
    <n v="3"/>
    <s v="No"/>
    <x v="1"/>
    <s v="India"/>
    <x v="0"/>
    <s v="StayNest Palace"/>
    <x v="7"/>
    <s v="Heritage"/>
    <n v="85"/>
    <x v="0"/>
    <s v="Retention"/>
    <d v="2025-07-18T00:00:00"/>
    <s v="No"/>
    <s v="No"/>
    <s v="Off-Peak"/>
    <x v="1"/>
    <n v="0"/>
    <s v="0–7 days"/>
  </r>
  <r>
    <s v="B000231"/>
    <s v="G00556"/>
    <s v="H012"/>
    <s v="CH04"/>
    <d v="2025-07-14T00:00:00"/>
    <d v="2025-08-13T00:00:00"/>
    <x v="3"/>
    <n v="8755"/>
    <x v="0"/>
    <b v="0"/>
    <x v="2"/>
    <x v="7"/>
    <n v="2025"/>
    <n v="2"/>
    <n v="7"/>
    <n v="2025"/>
    <n v="0"/>
    <s v="No"/>
    <x v="2"/>
    <s v="India"/>
    <x v="0"/>
    <s v="StayNest Valley"/>
    <x v="4"/>
    <s v="Resort"/>
    <n v="65"/>
    <x v="4"/>
    <s v="Partner"/>
    <d v="2025-08-13T00:00:00"/>
    <s v="No"/>
    <s v="No"/>
    <s v="Off-Peak"/>
    <x v="1"/>
    <n v="0"/>
    <s v="8–30 days"/>
  </r>
  <r>
    <s v="B000232"/>
    <s v="G00071"/>
    <s v="H009"/>
    <s v="CH02"/>
    <d v="2026-04-06T00:00:00"/>
    <d v="2026-04-13T00:00:00"/>
    <x v="3"/>
    <n v="6505"/>
    <x v="0"/>
    <b v="0"/>
    <x v="4"/>
    <x v="2"/>
    <n v="2026"/>
    <n v="0"/>
    <n v="4"/>
    <n v="2026"/>
    <n v="0"/>
    <s v="No"/>
    <x v="1"/>
    <s v="United Kingdom"/>
    <x v="0"/>
    <s v="StayNest Airport"/>
    <x v="9"/>
    <s v="Business"/>
    <n v="160"/>
    <x v="3"/>
    <s v="App Push"/>
    <d v="2026-04-13T00:00:00"/>
    <s v="No"/>
    <s v="No"/>
    <s v="Peak"/>
    <x v="1"/>
    <n v="0"/>
    <s v="0–7 days"/>
  </r>
  <r>
    <s v="B000233"/>
    <s v="G00020"/>
    <s v="H010"/>
    <s v="CH03"/>
    <d v="2026-09-28T00:00:00"/>
    <d v="2026-10-05T00:00:00"/>
    <x v="2"/>
    <n v="3877"/>
    <x v="0"/>
    <b v="0"/>
    <x v="4"/>
    <x v="11"/>
    <n v="2026"/>
    <n v="0"/>
    <n v="9"/>
    <n v="2026"/>
    <n v="0"/>
    <s v="No"/>
    <x v="0"/>
    <s v="India"/>
    <x v="0"/>
    <s v="StayNest Garden"/>
    <x v="10"/>
    <s v="Boutique"/>
    <n v="70"/>
    <x v="1"/>
    <s v="OTA Promo"/>
    <d v="2026-10-05T00:00:00"/>
    <s v="No"/>
    <s v="No"/>
    <s v="Shoulder"/>
    <x v="1"/>
    <n v="0"/>
    <s v="0–7 days"/>
  </r>
  <r>
    <s v="B000234"/>
    <s v="G00290"/>
    <s v="H006"/>
    <s v="CH04"/>
    <d v="2026-10-19T00:00:00"/>
    <d v="2026-11-02T00:00:00"/>
    <x v="2"/>
    <n v="3549"/>
    <x v="0"/>
    <b v="0"/>
    <x v="3"/>
    <x v="4"/>
    <n v="2026"/>
    <n v="0"/>
    <n v="10"/>
    <n v="2026"/>
    <n v="0"/>
    <s v="No"/>
    <x v="1"/>
    <s v="India"/>
    <x v="0"/>
    <s v="StayNest Beach"/>
    <x v="3"/>
    <s v="Resort"/>
    <n v="100"/>
    <x v="4"/>
    <s v="Partner"/>
    <d v="2026-11-02T00:00:00"/>
    <s v="No"/>
    <s v="No"/>
    <s v="Off-Peak"/>
    <x v="1"/>
    <n v="0"/>
    <s v="8–30 days"/>
  </r>
  <r>
    <s v="B000235"/>
    <s v="G00110"/>
    <s v="H008"/>
    <s v="CH02"/>
    <d v="2025-04-12T00:00:00"/>
    <d v="2025-04-13T00:00:00"/>
    <x v="1"/>
    <n v="5201"/>
    <x v="0"/>
    <b v="0"/>
    <x v="7"/>
    <x v="2"/>
    <n v="2025"/>
    <n v="6"/>
    <n v="4"/>
    <n v="2025"/>
    <n v="5"/>
    <s v="Yes"/>
    <x v="2"/>
    <s v="United Kingdom"/>
    <x v="0"/>
    <s v="StayNest Palace"/>
    <x v="7"/>
    <s v="Heritage"/>
    <n v="85"/>
    <x v="3"/>
    <s v="App Push"/>
    <d v="2025-04-13T00:00:00"/>
    <s v="Yes"/>
    <s v="No"/>
    <s v="Peak"/>
    <x v="1"/>
    <n v="0"/>
    <s v="0–7 days"/>
  </r>
  <r>
    <s v="B000236"/>
    <s v="G00214"/>
    <s v="H011"/>
    <s v="CH04"/>
    <d v="2025-03-23T00:00:00"/>
    <d v="2025-04-06T00:00:00"/>
    <x v="2"/>
    <n v="3342"/>
    <x v="0"/>
    <b v="0"/>
    <x v="3"/>
    <x v="2"/>
    <n v="2025"/>
    <n v="6"/>
    <n v="3"/>
    <n v="2025"/>
    <n v="6"/>
    <s v="Yes"/>
    <x v="1"/>
    <s v="Unknown"/>
    <x v="0"/>
    <s v="StayNest Grand"/>
    <x v="8"/>
    <s v="Business"/>
    <n v="110"/>
    <x v="4"/>
    <s v="Partner"/>
    <d v="2025-04-06T00:00:00"/>
    <s v="Yes"/>
    <s v="No"/>
    <s v="Peak"/>
    <x v="1"/>
    <n v="0"/>
    <s v="8–30 days"/>
  </r>
  <r>
    <s v="B000237"/>
    <s v="G00042"/>
    <s v="H012"/>
    <s v="CH01"/>
    <d v="2025-11-08T00:00:00"/>
    <d v="2025-11-09T00:00:00"/>
    <x v="0"/>
    <n v="3914"/>
    <x v="2"/>
    <b v="0"/>
    <x v="7"/>
    <x v="4"/>
    <n v="2025"/>
    <n v="6"/>
    <n v="11"/>
    <n v="2025"/>
    <n v="5"/>
    <s v="Yes"/>
    <x v="3"/>
    <s v="India"/>
    <x v="0"/>
    <s v="StayNest Valley"/>
    <x v="4"/>
    <s v="Resort"/>
    <n v="65"/>
    <x v="5"/>
    <s v="Direct"/>
    <d v="2025-11-09T00:00:00"/>
    <s v="Yes"/>
    <s v="No"/>
    <s v="Off-Peak"/>
    <x v="1"/>
    <n v="0"/>
    <s v="0–7 days"/>
  </r>
  <r>
    <s v="B000238"/>
    <s v="G00584"/>
    <s v="H011"/>
    <s v="CH02"/>
    <d v="2026-07-26T00:00:00"/>
    <d v="2026-09-24T00:00:00"/>
    <x v="1"/>
    <n v="7762"/>
    <x v="2"/>
    <b v="0"/>
    <x v="1"/>
    <x v="10"/>
    <n v="2026"/>
    <n v="3"/>
    <n v="7"/>
    <n v="2026"/>
    <n v="6"/>
    <s v="No"/>
    <x v="1"/>
    <s v="India"/>
    <x v="0"/>
    <s v="StayNest Grand"/>
    <x v="8"/>
    <s v="Business"/>
    <n v="110"/>
    <x v="3"/>
    <s v="App Push"/>
    <d v="2026-09-24T00:00:00"/>
    <s v="No"/>
    <s v="No"/>
    <s v="Shoulder"/>
    <x v="1"/>
    <n v="0"/>
    <s v="31–90 days"/>
  </r>
  <r>
    <s v="B000239"/>
    <s v="G00171"/>
    <s v="H003"/>
    <s v="CH05"/>
    <d v="2026-02-16T00:00:00"/>
    <d v="2026-03-18T00:00:00"/>
    <x v="0"/>
    <n v="5314"/>
    <x v="0"/>
    <b v="0"/>
    <x v="2"/>
    <x v="3"/>
    <n v="2026"/>
    <n v="2"/>
    <n v="2"/>
    <n v="2026"/>
    <n v="0"/>
    <s v="No"/>
    <x v="1"/>
    <s v="India"/>
    <x v="0"/>
    <s v="StayNest Hills"/>
    <x v="5"/>
    <s v="Resort"/>
    <n v="80"/>
    <x v="2"/>
    <s v="Corporate Rate"/>
    <d v="2026-03-18T00:00:00"/>
    <s v="No"/>
    <s v="No"/>
    <s v="Shoulder"/>
    <x v="1"/>
    <n v="0"/>
    <s v="8–30 days"/>
  </r>
  <r>
    <s v="B000240"/>
    <s v="G00381"/>
    <s v="H007"/>
    <s v="CH06"/>
    <d v="2026-03-17T00:00:00"/>
    <d v="2026-06-25T00:00:00"/>
    <x v="3"/>
    <n v="10969"/>
    <x v="2"/>
    <b v="0"/>
    <x v="0"/>
    <x v="1"/>
    <n v="2026"/>
    <n v="3"/>
    <n v="3"/>
    <n v="2026"/>
    <n v="1"/>
    <s v="No"/>
    <x v="0"/>
    <s v="India"/>
    <x v="0"/>
    <s v="StayNest Tech Park"/>
    <x v="6"/>
    <s v="Business"/>
    <n v="140"/>
    <x v="0"/>
    <s v="Retention"/>
    <d v="2026-06-25T00:00:00"/>
    <s v="No"/>
    <s v="No"/>
    <s v="Shoulder"/>
    <x v="1"/>
    <n v="0"/>
    <s v="91–180 days"/>
  </r>
  <r>
    <s v="B000241"/>
    <s v="G00369"/>
    <s v="H008"/>
    <s v="CH04"/>
    <d v="2026-02-11T00:00:00"/>
    <d v="2026-02-12T00:00:00"/>
    <x v="2"/>
    <n v="3420"/>
    <x v="0"/>
    <b v="0"/>
    <x v="7"/>
    <x v="0"/>
    <n v="2026"/>
    <n v="3"/>
    <n v="2"/>
    <n v="2026"/>
    <n v="2"/>
    <s v="No"/>
    <x v="0"/>
    <s v="Singapore"/>
    <x v="0"/>
    <s v="StayNest Palace"/>
    <x v="7"/>
    <s v="Heritage"/>
    <n v="85"/>
    <x v="4"/>
    <s v="Partner"/>
    <d v="2026-02-12T00:00:00"/>
    <s v="No"/>
    <s v="No"/>
    <s v="Shoulder"/>
    <x v="1"/>
    <n v="0"/>
    <s v="0–7 days"/>
  </r>
  <r>
    <s v="B000242"/>
    <s v="G00228"/>
    <s v="H004"/>
    <s v="CH03"/>
    <d v="2025-01-23T00:00:00"/>
    <d v="2025-03-24T00:00:00"/>
    <x v="3"/>
    <n v="11174"/>
    <x v="1"/>
    <b v="0"/>
    <x v="1"/>
    <x v="3"/>
    <n v="2025"/>
    <n v="0"/>
    <n v="1"/>
    <n v="2025"/>
    <n v="3"/>
    <s v="No"/>
    <x v="1"/>
    <s v="India"/>
    <x v="1"/>
    <s v="StayNest Lakeview"/>
    <x v="2"/>
    <s v="Resort"/>
    <n v="75"/>
    <x v="1"/>
    <s v="OTA Promo"/>
    <d v="2025-03-24T00:00:00"/>
    <s v="No"/>
    <s v="No"/>
    <s v="Shoulder"/>
    <x v="1"/>
    <n v="1"/>
    <s v="31–90 days"/>
  </r>
  <r>
    <s v="B000243"/>
    <s v="G00472"/>
    <s v="H006"/>
    <s v="CH02"/>
    <d v="2025-05-22T00:00:00"/>
    <d v="2025-05-29T00:00:00"/>
    <x v="0"/>
    <n v="4730"/>
    <x v="2"/>
    <b v="0"/>
    <x v="4"/>
    <x v="9"/>
    <n v="2025"/>
    <n v="3"/>
    <n v="5"/>
    <n v="2025"/>
    <n v="3"/>
    <s v="No"/>
    <x v="3"/>
    <s v="India"/>
    <x v="0"/>
    <s v="StayNest Beach"/>
    <x v="3"/>
    <s v="Resort"/>
    <n v="100"/>
    <x v="3"/>
    <s v="App Push"/>
    <d v="2025-05-29T00:00:00"/>
    <s v="No"/>
    <s v="No"/>
    <s v="Peak"/>
    <x v="1"/>
    <n v="0"/>
    <s v="0–7 days"/>
  </r>
  <r>
    <s v="B000244"/>
    <s v="G00333"/>
    <s v="H008"/>
    <s v="CH02"/>
    <d v="2026-05-15T00:00:00"/>
    <d v="2026-08-23T00:00:00"/>
    <x v="2"/>
    <n v="3515"/>
    <x v="2"/>
    <b v="0"/>
    <x v="0"/>
    <x v="7"/>
    <n v="2026"/>
    <n v="6"/>
    <n v="5"/>
    <n v="2026"/>
    <n v="4"/>
    <s v="Yes"/>
    <x v="1"/>
    <s v="India"/>
    <x v="0"/>
    <s v="StayNest Palace"/>
    <x v="7"/>
    <s v="Heritage"/>
    <n v="85"/>
    <x v="3"/>
    <s v="App Push"/>
    <d v="2026-08-23T00:00:00"/>
    <s v="Yes"/>
    <s v="No"/>
    <s v="Off-Peak"/>
    <x v="1"/>
    <n v="0"/>
    <s v="91–180 days"/>
  </r>
  <r>
    <s v="B000245"/>
    <s v="G00343"/>
    <s v="H006"/>
    <s v="CH04"/>
    <d v="2026-03-03T00:00:00"/>
    <d v="2026-07-31T00:00:00"/>
    <x v="2"/>
    <n v="3731"/>
    <x v="0"/>
    <b v="0"/>
    <x v="5"/>
    <x v="8"/>
    <n v="2026"/>
    <n v="4"/>
    <n v="3"/>
    <n v="2026"/>
    <n v="1"/>
    <s v="No"/>
    <x v="1"/>
    <s v="Singapore"/>
    <x v="1"/>
    <s v="StayNest Beach"/>
    <x v="3"/>
    <s v="Resort"/>
    <n v="100"/>
    <x v="4"/>
    <s v="Partner"/>
    <d v="2026-07-31T00:00:00"/>
    <s v="No"/>
    <s v="No"/>
    <s v="Off-Peak"/>
    <x v="1"/>
    <n v="0"/>
    <s v="91–180 days"/>
  </r>
  <r>
    <s v="B000246"/>
    <s v="G00043"/>
    <s v="H006"/>
    <s v="CH05"/>
    <d v="2026-08-02T00:00:00"/>
    <d v="2026-08-05T00:00:00"/>
    <x v="0"/>
    <n v="5109"/>
    <x v="0"/>
    <b v="0"/>
    <x v="6"/>
    <x v="7"/>
    <n v="2026"/>
    <n v="2"/>
    <n v="8"/>
    <n v="2026"/>
    <n v="6"/>
    <s v="No"/>
    <x v="1"/>
    <s v="UAE"/>
    <x v="0"/>
    <s v="StayNest Beach"/>
    <x v="3"/>
    <s v="Resort"/>
    <n v="100"/>
    <x v="2"/>
    <s v="Corporate Rate"/>
    <d v="2026-08-05T00:00:00"/>
    <s v="No"/>
    <s v="No"/>
    <s v="Off-Peak"/>
    <x v="1"/>
    <n v="0"/>
    <s v="0–7 days"/>
  </r>
  <r>
    <s v="B000247"/>
    <s v="G00297"/>
    <s v="H007"/>
    <s v="CH02"/>
    <d v="2025-05-16T00:00:00"/>
    <d v="2025-05-30T00:00:00"/>
    <x v="1"/>
    <n v="6635"/>
    <x v="0"/>
    <b v="0"/>
    <x v="3"/>
    <x v="9"/>
    <n v="2025"/>
    <n v="4"/>
    <n v="5"/>
    <n v="2025"/>
    <n v="4"/>
    <s v="No"/>
    <x v="1"/>
    <s v="Unknown"/>
    <x v="0"/>
    <s v="StayNest Tech Park"/>
    <x v="6"/>
    <s v="Business"/>
    <n v="140"/>
    <x v="3"/>
    <s v="App Push"/>
    <d v="2025-05-30T00:00:00"/>
    <s v="No"/>
    <s v="No"/>
    <s v="Peak"/>
    <x v="1"/>
    <n v="0"/>
    <s v="8–30 days"/>
  </r>
  <r>
    <s v="B000248"/>
    <s v="G00134"/>
    <s v="H003"/>
    <s v="CH04"/>
    <d v="2026-07-27T00:00:00"/>
    <d v="2026-08-03T00:00:00"/>
    <x v="1"/>
    <n v="8013"/>
    <x v="0"/>
    <b v="0"/>
    <x v="4"/>
    <x v="7"/>
    <n v="2026"/>
    <n v="0"/>
    <n v="7"/>
    <n v="2026"/>
    <n v="0"/>
    <s v="No"/>
    <x v="3"/>
    <s v="India"/>
    <x v="1"/>
    <s v="StayNest Hills"/>
    <x v="5"/>
    <s v="Resort"/>
    <n v="80"/>
    <x v="4"/>
    <s v="Partner"/>
    <d v="2026-08-03T00:00:00"/>
    <s v="No"/>
    <s v="No"/>
    <s v="Off-Peak"/>
    <x v="1"/>
    <n v="0"/>
    <s v="0–7 days"/>
  </r>
  <r>
    <s v="B000249"/>
    <s v="G00441"/>
    <s v="H006"/>
    <s v="CH06"/>
    <d v="2026-08-13T00:00:00"/>
    <d v="2026-08-16T00:00:00"/>
    <x v="1"/>
    <n v="6313"/>
    <x v="2"/>
    <b v="0"/>
    <x v="6"/>
    <x v="7"/>
    <n v="2026"/>
    <n v="6"/>
    <n v="8"/>
    <n v="2026"/>
    <n v="3"/>
    <s v="Yes"/>
    <x v="0"/>
    <s v="UAE"/>
    <x v="1"/>
    <s v="StayNest Beach"/>
    <x v="3"/>
    <s v="Resort"/>
    <n v="100"/>
    <x v="0"/>
    <s v="Retention"/>
    <d v="2026-08-16T00:00:00"/>
    <s v="Yes"/>
    <s v="No"/>
    <s v="Off-Peak"/>
    <x v="1"/>
    <n v="0"/>
    <s v="0–7 days"/>
  </r>
  <r>
    <s v="B000250"/>
    <s v="G00174"/>
    <s v="H006"/>
    <s v="CH05"/>
    <d v="2026-03-29T00:00:00"/>
    <d v="2026-04-28T00:00:00"/>
    <x v="1"/>
    <n v="7807"/>
    <x v="2"/>
    <b v="0"/>
    <x v="2"/>
    <x v="2"/>
    <n v="2026"/>
    <n v="1"/>
    <n v="3"/>
    <n v="2026"/>
    <n v="6"/>
    <s v="No"/>
    <x v="3"/>
    <s v="Unknown"/>
    <x v="0"/>
    <s v="StayNest Beach"/>
    <x v="3"/>
    <s v="Resort"/>
    <n v="100"/>
    <x v="2"/>
    <s v="Corporate Rate"/>
    <d v="2026-04-28T00:00:00"/>
    <s v="No"/>
    <s v="No"/>
    <s v="Peak"/>
    <x v="1"/>
    <n v="0"/>
    <s v="8–30 days"/>
  </r>
  <r>
    <s v="B000251"/>
    <s v="G00116"/>
    <s v="H012"/>
    <s v="CH01"/>
    <d v="2025-09-06T00:00:00"/>
    <d v="2026-02-03T00:00:00"/>
    <x v="0"/>
    <n v="4906"/>
    <x v="1"/>
    <b v="0"/>
    <x v="5"/>
    <x v="0"/>
    <n v="2026"/>
    <n v="1"/>
    <n v="9"/>
    <n v="2025"/>
    <n v="5"/>
    <s v="No"/>
    <x v="2"/>
    <s v="Germany"/>
    <x v="0"/>
    <s v="StayNest Valley"/>
    <x v="4"/>
    <s v="Resort"/>
    <n v="65"/>
    <x v="5"/>
    <s v="Direct"/>
    <d v="2026-02-03T00:00:00"/>
    <s v="No"/>
    <s v="No"/>
    <s v="Shoulder"/>
    <x v="1"/>
    <n v="1"/>
    <s v="91–180 days"/>
  </r>
  <r>
    <s v="B000252"/>
    <s v="G00215"/>
    <s v="H012"/>
    <s v="CH05"/>
    <d v="2025-08-05T00:00:00"/>
    <d v="2025-08-12T00:00:00"/>
    <x v="3"/>
    <n v="11974"/>
    <x v="0"/>
    <b v="0"/>
    <x v="4"/>
    <x v="7"/>
    <n v="2025"/>
    <n v="1"/>
    <n v="8"/>
    <n v="2025"/>
    <n v="1"/>
    <s v="No"/>
    <x v="0"/>
    <s v="India"/>
    <x v="0"/>
    <s v="StayNest Valley"/>
    <x v="4"/>
    <s v="Resort"/>
    <n v="65"/>
    <x v="2"/>
    <s v="Corporate Rate"/>
    <d v="2025-08-12T00:00:00"/>
    <s v="No"/>
    <s v="No"/>
    <s v="Off-Peak"/>
    <x v="1"/>
    <n v="0"/>
    <s v="0–7 days"/>
  </r>
  <r>
    <s v="B000253"/>
    <s v="G00262"/>
    <s v="H003"/>
    <s v="CH01"/>
    <d v="2025-10-18T00:00:00"/>
    <d v="2025-10-25T00:00:00"/>
    <x v="3"/>
    <n v="7045"/>
    <x v="2"/>
    <b v="0"/>
    <x v="4"/>
    <x v="11"/>
    <n v="2025"/>
    <n v="5"/>
    <n v="10"/>
    <n v="2025"/>
    <n v="5"/>
    <s v="Yes"/>
    <x v="3"/>
    <s v="India"/>
    <x v="0"/>
    <s v="StayNest Hills"/>
    <x v="5"/>
    <s v="Resort"/>
    <n v="80"/>
    <x v="5"/>
    <s v="Direct"/>
    <d v="2025-10-25T00:00:00"/>
    <s v="Yes"/>
    <s v="No"/>
    <s v="Shoulder"/>
    <x v="1"/>
    <n v="0"/>
    <s v="0–7 days"/>
  </r>
  <r>
    <s v="B000254"/>
    <s v="G00369"/>
    <s v="H002"/>
    <s v="CH01"/>
    <d v="2025-10-27T00:00:00"/>
    <d v="2026-02-04T00:00:00"/>
    <x v="1"/>
    <n v="8702"/>
    <x v="0"/>
    <b v="0"/>
    <x v="0"/>
    <x v="0"/>
    <n v="2026"/>
    <n v="2"/>
    <n v="10"/>
    <n v="2025"/>
    <n v="0"/>
    <s v="No"/>
    <x v="0"/>
    <s v="Singapore"/>
    <x v="0"/>
    <s v="StayNest Central"/>
    <x v="0"/>
    <s v="Business"/>
    <n v="150"/>
    <x v="5"/>
    <s v="Direct"/>
    <d v="2026-02-04T00:00:00"/>
    <s v="No"/>
    <s v="No"/>
    <s v="Shoulder"/>
    <x v="1"/>
    <n v="0"/>
    <s v="91–180 days"/>
  </r>
  <r>
    <s v="B000255"/>
    <s v="G00191"/>
    <s v="H004"/>
    <s v="CH05"/>
    <d v="2026-04-14T00:00:00"/>
    <d v="2026-05-14T00:00:00"/>
    <x v="2"/>
    <n v="2706"/>
    <x v="0"/>
    <b v="0"/>
    <x v="2"/>
    <x v="9"/>
    <n v="2026"/>
    <n v="3"/>
    <n v="4"/>
    <n v="2026"/>
    <n v="1"/>
    <s v="No"/>
    <x v="0"/>
    <s v="India"/>
    <x v="0"/>
    <s v="StayNest Lakeview"/>
    <x v="2"/>
    <s v="Resort"/>
    <n v="75"/>
    <x v="2"/>
    <s v="Corporate Rate"/>
    <d v="2026-05-14T00:00:00"/>
    <s v="No"/>
    <s v="No"/>
    <s v="Peak"/>
    <x v="1"/>
    <n v="0"/>
    <s v="8–30 days"/>
  </r>
  <r>
    <s v="B000256"/>
    <s v="G00361"/>
    <s v="H006"/>
    <s v="CH06"/>
    <d v="2025-11-06T00:00:00"/>
    <d v="2025-11-13T00:00:00"/>
    <x v="3"/>
    <n v="9671"/>
    <x v="3"/>
    <b v="0"/>
    <x v="4"/>
    <x v="4"/>
    <n v="2025"/>
    <n v="3"/>
    <n v="11"/>
    <n v="2025"/>
    <n v="3"/>
    <s v="No"/>
    <x v="3"/>
    <s v="Unknown"/>
    <x v="0"/>
    <s v="StayNest Beach"/>
    <x v="3"/>
    <s v="Resort"/>
    <n v="100"/>
    <x v="0"/>
    <s v="Retention"/>
    <d v="2025-11-13T00:00:00"/>
    <s v="No"/>
    <s v="No"/>
    <s v="Off-Peak"/>
    <x v="1"/>
    <n v="0"/>
    <s v="0–7 days"/>
  </r>
  <r>
    <s v="B000257"/>
    <s v="G00287"/>
    <s v="H004"/>
    <s v="CH02"/>
    <d v="2025-12-16T00:00:00"/>
    <d v="2026-03-26T00:00:00"/>
    <x v="0"/>
    <n v="5065"/>
    <x v="2"/>
    <b v="0"/>
    <x v="0"/>
    <x v="3"/>
    <n v="2026"/>
    <n v="3"/>
    <n v="12"/>
    <n v="2025"/>
    <n v="1"/>
    <s v="No"/>
    <x v="1"/>
    <s v="India"/>
    <x v="0"/>
    <s v="StayNest Lakeview"/>
    <x v="2"/>
    <s v="Resort"/>
    <n v="75"/>
    <x v="3"/>
    <s v="App Push"/>
    <d v="2026-03-26T00:00:00"/>
    <s v="No"/>
    <s v="No"/>
    <s v="Shoulder"/>
    <x v="1"/>
    <n v="0"/>
    <s v="91–180 days"/>
  </r>
  <r>
    <s v="B000258"/>
    <s v="G00428"/>
    <s v="H004"/>
    <s v="CH05"/>
    <d v="2025-06-06T00:00:00"/>
    <d v="2025-06-20T00:00:00"/>
    <x v="3"/>
    <n v="10941"/>
    <x v="0"/>
    <b v="0"/>
    <x v="3"/>
    <x v="1"/>
    <n v="2025"/>
    <n v="4"/>
    <n v="6"/>
    <n v="2025"/>
    <n v="4"/>
    <s v="No"/>
    <x v="1"/>
    <s v="India"/>
    <x v="0"/>
    <s v="StayNest Lakeview"/>
    <x v="2"/>
    <s v="Resort"/>
    <n v="75"/>
    <x v="2"/>
    <s v="Corporate Rate"/>
    <d v="2025-06-20T00:00:00"/>
    <s v="No"/>
    <s v="No"/>
    <s v="Shoulder"/>
    <x v="1"/>
    <n v="0"/>
    <s v="8–30 days"/>
  </r>
  <r>
    <s v="B000259"/>
    <s v="G00208"/>
    <s v="H003"/>
    <s v="CH03"/>
    <d v="2026-06-21T00:00:00"/>
    <d v="2026-09-29T00:00:00"/>
    <x v="1"/>
    <n v="6300"/>
    <x v="2"/>
    <b v="0"/>
    <x v="0"/>
    <x v="10"/>
    <n v="2026"/>
    <n v="1"/>
    <n v="6"/>
    <n v="2026"/>
    <n v="6"/>
    <s v="No"/>
    <x v="1"/>
    <s v="India"/>
    <x v="1"/>
    <s v="StayNest Hills"/>
    <x v="5"/>
    <s v="Resort"/>
    <n v="80"/>
    <x v="1"/>
    <s v="OTA Promo"/>
    <d v="2026-09-29T00:00:00"/>
    <s v="No"/>
    <s v="No"/>
    <s v="Shoulder"/>
    <x v="1"/>
    <n v="0"/>
    <s v="91–180 days"/>
  </r>
  <r>
    <s v="B000260"/>
    <s v="G00189"/>
    <s v="H006"/>
    <s v="CH02"/>
    <d v="2025-01-31T00:00:00"/>
    <d v="2025-04-01T00:00:00"/>
    <x v="1"/>
    <n v="8822"/>
    <x v="0"/>
    <b v="0"/>
    <x v="1"/>
    <x v="2"/>
    <n v="2025"/>
    <n v="1"/>
    <n v="1"/>
    <n v="2025"/>
    <n v="4"/>
    <s v="No"/>
    <x v="0"/>
    <s v="United Kingdom"/>
    <x v="1"/>
    <s v="StayNest Beach"/>
    <x v="3"/>
    <s v="Resort"/>
    <n v="100"/>
    <x v="3"/>
    <s v="App Push"/>
    <d v="2025-04-01T00:00:00"/>
    <s v="No"/>
    <s v="No"/>
    <s v="Peak"/>
    <x v="1"/>
    <n v="0"/>
    <s v="31–90 days"/>
  </r>
  <r>
    <s v="B000261"/>
    <s v="G00135"/>
    <s v="H003"/>
    <s v="CH01"/>
    <d v="2026-09-19T00:00:00"/>
    <d v="2026-10-19T00:00:00"/>
    <x v="0"/>
    <n v="4445"/>
    <x v="0"/>
    <b v="0"/>
    <x v="2"/>
    <x v="11"/>
    <n v="2026"/>
    <n v="0"/>
    <n v="9"/>
    <n v="2026"/>
    <n v="5"/>
    <s v="No"/>
    <x v="3"/>
    <s v="UAE"/>
    <x v="0"/>
    <s v="StayNest Hills"/>
    <x v="5"/>
    <s v="Resort"/>
    <n v="80"/>
    <x v="5"/>
    <s v="Direct"/>
    <d v="2026-10-19T00:00:00"/>
    <s v="No"/>
    <s v="No"/>
    <s v="Shoulder"/>
    <x v="1"/>
    <n v="0"/>
    <s v="8–30 days"/>
  </r>
  <r>
    <s v="B000262"/>
    <s v="G00620"/>
    <s v="H008"/>
    <s v="CH06"/>
    <d v="2026-10-28T00:00:00"/>
    <d v="2026-11-11T00:00:00"/>
    <x v="1"/>
    <n v="5791"/>
    <x v="3"/>
    <b v="0"/>
    <x v="3"/>
    <x v="4"/>
    <n v="2026"/>
    <n v="2"/>
    <n v="10"/>
    <n v="2026"/>
    <n v="2"/>
    <s v="No"/>
    <x v="1"/>
    <s v="Singapore"/>
    <x v="0"/>
    <s v="StayNest Palace"/>
    <x v="7"/>
    <s v="Heritage"/>
    <n v="85"/>
    <x v="0"/>
    <s v="Retention"/>
    <d v="2026-11-11T00:00:00"/>
    <s v="No"/>
    <s v="No"/>
    <s v="Off-Peak"/>
    <x v="1"/>
    <n v="0"/>
    <s v="8–30 days"/>
  </r>
  <r>
    <s v="B000263"/>
    <s v="G00277"/>
    <s v="H007"/>
    <s v="CH02"/>
    <d v="2026-11-19T00:00:00"/>
    <d v="2027-06-27T00:00:00"/>
    <x v="0"/>
    <n v="5299"/>
    <x v="2"/>
    <b v="0"/>
    <x v="8"/>
    <x v="1"/>
    <n v="2027"/>
    <n v="6"/>
    <n v="11"/>
    <n v="2026"/>
    <n v="3"/>
    <s v="Yes"/>
    <x v="3"/>
    <s v="Singapore"/>
    <x v="0"/>
    <s v="StayNest Tech Park"/>
    <x v="6"/>
    <s v="Business"/>
    <n v="140"/>
    <x v="3"/>
    <s v="App Push"/>
    <m/>
    <s v="Unknown"/>
    <s v="Unknown"/>
    <s v="Unknown"/>
    <x v="0"/>
    <n v="0"/>
    <s v="181+ days"/>
  </r>
  <r>
    <s v="B000264"/>
    <s v="G00438"/>
    <s v="H007"/>
    <s v="CH01"/>
    <d v="2026-09-15T00:00:00"/>
    <d v="2026-11-14T00:00:00"/>
    <x v="1"/>
    <n v="7196"/>
    <x v="2"/>
    <b v="0"/>
    <x v="1"/>
    <x v="4"/>
    <n v="2026"/>
    <n v="5"/>
    <n v="9"/>
    <n v="2026"/>
    <n v="1"/>
    <s v="Yes"/>
    <x v="1"/>
    <s v="Germany"/>
    <x v="0"/>
    <s v="StayNest Tech Park"/>
    <x v="6"/>
    <s v="Business"/>
    <n v="140"/>
    <x v="5"/>
    <s v="Direct"/>
    <d v="2026-11-14T00:00:00"/>
    <s v="Yes"/>
    <s v="No"/>
    <s v="Off-Peak"/>
    <x v="1"/>
    <n v="0"/>
    <s v="31–90 days"/>
  </r>
  <r>
    <s v="B000265"/>
    <s v="G00534"/>
    <s v="H002"/>
    <s v="CH04"/>
    <d v="2026-04-13T00:00:00"/>
    <d v="2026-07-22T00:00:00"/>
    <x v="2"/>
    <n v="3262"/>
    <x v="2"/>
    <b v="0"/>
    <x v="0"/>
    <x v="8"/>
    <n v="2026"/>
    <n v="2"/>
    <n v="4"/>
    <n v="2026"/>
    <n v="0"/>
    <s v="No"/>
    <x v="1"/>
    <s v="Germany"/>
    <x v="1"/>
    <s v="StayNest Central"/>
    <x v="0"/>
    <s v="Business"/>
    <n v="150"/>
    <x v="4"/>
    <s v="Partner"/>
    <d v="2026-07-22T00:00:00"/>
    <s v="No"/>
    <s v="No"/>
    <s v="Off-Peak"/>
    <x v="1"/>
    <n v="0"/>
    <s v="91–180 days"/>
  </r>
  <r>
    <s v="B000266"/>
    <s v="G00051"/>
    <s v="H004"/>
    <s v="CH03"/>
    <d v="2026-03-27T00:00:00"/>
    <d v="2026-04-10T00:00:00"/>
    <x v="3"/>
    <n v="9960"/>
    <x v="1"/>
    <b v="0"/>
    <x v="3"/>
    <x v="2"/>
    <n v="2026"/>
    <n v="4"/>
    <n v="3"/>
    <n v="2026"/>
    <n v="4"/>
    <s v="No"/>
    <x v="2"/>
    <s v="India"/>
    <x v="0"/>
    <s v="StayNest Lakeview"/>
    <x v="2"/>
    <s v="Resort"/>
    <n v="75"/>
    <x v="1"/>
    <s v="OTA Promo"/>
    <d v="2026-04-10T00:00:00"/>
    <s v="No"/>
    <s v="No"/>
    <s v="Peak"/>
    <x v="1"/>
    <n v="1"/>
    <s v="8–30 days"/>
  </r>
  <r>
    <s v="B000267"/>
    <s v="G00530"/>
    <s v="H003"/>
    <s v="CH04"/>
    <d v="2026-10-24T00:00:00"/>
    <d v="2026-11-07T00:00:00"/>
    <x v="2"/>
    <n v="3794"/>
    <x v="0"/>
    <b v="0"/>
    <x v="3"/>
    <x v="4"/>
    <n v="2026"/>
    <n v="5"/>
    <n v="10"/>
    <n v="2026"/>
    <n v="5"/>
    <s v="Yes"/>
    <x v="0"/>
    <s v="India"/>
    <x v="0"/>
    <s v="StayNest Hills"/>
    <x v="5"/>
    <s v="Resort"/>
    <n v="80"/>
    <x v="4"/>
    <s v="Partner"/>
    <d v="2026-11-07T00:00:00"/>
    <s v="Yes"/>
    <s v="No"/>
    <s v="Off-Peak"/>
    <x v="1"/>
    <n v="0"/>
    <s v="8–30 days"/>
  </r>
  <r>
    <s v="B000268"/>
    <s v="G00465"/>
    <s v="H010"/>
    <s v="CH06"/>
    <d v="2025-07-26T00:00:00"/>
    <d v="2025-11-03T00:00:00"/>
    <x v="2"/>
    <n v="2863"/>
    <x v="0"/>
    <b v="0"/>
    <x v="0"/>
    <x v="4"/>
    <n v="2025"/>
    <n v="0"/>
    <n v="7"/>
    <n v="2025"/>
    <n v="5"/>
    <s v="No"/>
    <x v="1"/>
    <s v="India"/>
    <x v="0"/>
    <s v="StayNest Garden"/>
    <x v="10"/>
    <s v="Boutique"/>
    <n v="70"/>
    <x v="0"/>
    <s v="Retention"/>
    <d v="2025-11-03T00:00:00"/>
    <s v="No"/>
    <s v="No"/>
    <s v="Off-Peak"/>
    <x v="1"/>
    <n v="0"/>
    <s v="91–180 days"/>
  </r>
  <r>
    <s v="B000269"/>
    <s v="G00537"/>
    <s v="H012"/>
    <s v="CH04"/>
    <d v="2026-06-08T00:00:00"/>
    <d v="2026-07-08T00:00:00"/>
    <x v="0"/>
    <n v="5058"/>
    <x v="2"/>
    <b v="0"/>
    <x v="2"/>
    <x v="8"/>
    <n v="2026"/>
    <n v="2"/>
    <n v="6"/>
    <n v="2026"/>
    <n v="0"/>
    <s v="No"/>
    <x v="1"/>
    <s v="India"/>
    <x v="0"/>
    <s v="StayNest Valley"/>
    <x v="4"/>
    <s v="Resort"/>
    <n v="65"/>
    <x v="4"/>
    <s v="Partner"/>
    <d v="2026-07-08T00:00:00"/>
    <s v="No"/>
    <s v="No"/>
    <s v="Off-Peak"/>
    <x v="1"/>
    <n v="0"/>
    <s v="8–30 days"/>
  </r>
  <r>
    <s v="B000270"/>
    <s v="G00154"/>
    <s v="H003"/>
    <s v="CH02"/>
    <d v="2025-07-03T00:00:00"/>
    <d v="2025-09-01T00:00:00"/>
    <x v="2"/>
    <n v="2830"/>
    <x v="1"/>
    <b v="0"/>
    <x v="1"/>
    <x v="10"/>
    <n v="2025"/>
    <n v="0"/>
    <n v="7"/>
    <n v="2025"/>
    <n v="3"/>
    <s v="No"/>
    <x v="1"/>
    <s v="India"/>
    <x v="0"/>
    <s v="StayNest Hills"/>
    <x v="5"/>
    <s v="Resort"/>
    <n v="80"/>
    <x v="3"/>
    <s v="App Push"/>
    <d v="2025-09-01T00:00:00"/>
    <s v="No"/>
    <s v="No"/>
    <s v="Shoulder"/>
    <x v="1"/>
    <n v="1"/>
    <s v="31–90 days"/>
  </r>
  <r>
    <s v="B000271"/>
    <s v="G00135"/>
    <s v="H004"/>
    <s v="CH01"/>
    <d v="2026-09-30T00:00:00"/>
    <d v="2026-11-29T00:00:00"/>
    <x v="2"/>
    <n v="18088"/>
    <x v="0"/>
    <b v="1"/>
    <x v="1"/>
    <x v="4"/>
    <n v="2026"/>
    <n v="6"/>
    <n v="9"/>
    <n v="2026"/>
    <n v="2"/>
    <s v="Yes"/>
    <x v="3"/>
    <s v="UAE"/>
    <x v="0"/>
    <s v="StayNest Lakeview"/>
    <x v="2"/>
    <s v="Resort"/>
    <n v="75"/>
    <x v="5"/>
    <s v="Direct"/>
    <d v="2026-11-29T00:00:00"/>
    <s v="Yes"/>
    <s v="No"/>
    <s v="Off-Peak"/>
    <x v="1"/>
    <n v="0"/>
    <s v="31–90 days"/>
  </r>
  <r>
    <s v="B000272"/>
    <s v="G00488"/>
    <s v="H008"/>
    <s v="CH04"/>
    <d v="2026-03-29T00:00:00"/>
    <d v="2026-03-30T00:00:00"/>
    <x v="2"/>
    <n v="4006"/>
    <x v="0"/>
    <b v="0"/>
    <x v="7"/>
    <x v="3"/>
    <n v="2026"/>
    <n v="0"/>
    <n v="3"/>
    <n v="2026"/>
    <n v="6"/>
    <s v="No"/>
    <x v="0"/>
    <s v="Singapore"/>
    <x v="0"/>
    <s v="StayNest Palace"/>
    <x v="7"/>
    <s v="Heritage"/>
    <n v="85"/>
    <x v="4"/>
    <s v="Partner"/>
    <d v="2026-03-30T00:00:00"/>
    <s v="No"/>
    <s v="No"/>
    <s v="Shoulder"/>
    <x v="1"/>
    <n v="0"/>
    <s v="0–7 days"/>
  </r>
  <r>
    <s v="B000273"/>
    <s v="G00190"/>
    <s v="H003"/>
    <s v="CH01"/>
    <d v="2026-10-31T00:00:00"/>
    <d v="2026-11-14T00:00:00"/>
    <x v="0"/>
    <n v="5867"/>
    <x v="1"/>
    <b v="0"/>
    <x v="3"/>
    <x v="4"/>
    <n v="2026"/>
    <n v="5"/>
    <n v="10"/>
    <n v="2026"/>
    <n v="5"/>
    <s v="Yes"/>
    <x v="2"/>
    <s v="India"/>
    <x v="0"/>
    <s v="StayNest Hills"/>
    <x v="5"/>
    <s v="Resort"/>
    <n v="80"/>
    <x v="5"/>
    <s v="Direct"/>
    <d v="2026-11-14T00:00:00"/>
    <s v="Yes"/>
    <s v="No"/>
    <s v="Off-Peak"/>
    <x v="1"/>
    <n v="1"/>
    <s v="8–30 days"/>
  </r>
  <r>
    <s v="B000274"/>
    <s v="G00112"/>
    <s v="H007"/>
    <s v="CH02"/>
    <d v="2025-06-15T00:00:00"/>
    <d v="2025-08-14T00:00:00"/>
    <x v="0"/>
    <n v="5871"/>
    <x v="0"/>
    <b v="0"/>
    <x v="1"/>
    <x v="7"/>
    <n v="2025"/>
    <n v="3"/>
    <n v="6"/>
    <n v="2025"/>
    <n v="6"/>
    <s v="No"/>
    <x v="1"/>
    <s v="Singapore"/>
    <x v="0"/>
    <s v="StayNest Tech Park"/>
    <x v="6"/>
    <s v="Business"/>
    <n v="140"/>
    <x v="3"/>
    <s v="App Push"/>
    <d v="2025-08-14T00:00:00"/>
    <s v="No"/>
    <s v="No"/>
    <s v="Off-Peak"/>
    <x v="1"/>
    <n v="0"/>
    <s v="31–90 days"/>
  </r>
  <r>
    <s v="B000275"/>
    <s v="G00389"/>
    <s v="H002"/>
    <s v="CH04"/>
    <d v="2026-07-18T00:00:00"/>
    <d v="2026-07-19T00:00:00"/>
    <x v="1"/>
    <n v="7158"/>
    <x v="0"/>
    <b v="0"/>
    <x v="7"/>
    <x v="8"/>
    <n v="2026"/>
    <n v="6"/>
    <n v="7"/>
    <n v="2026"/>
    <n v="5"/>
    <s v="Yes"/>
    <x v="0"/>
    <s v="India"/>
    <x v="0"/>
    <s v="StayNest Central"/>
    <x v="0"/>
    <s v="Business"/>
    <n v="150"/>
    <x v="4"/>
    <s v="Partner"/>
    <d v="2026-07-19T00:00:00"/>
    <s v="Yes"/>
    <s v="No"/>
    <s v="Off-Peak"/>
    <x v="1"/>
    <n v="0"/>
    <s v="0–7 days"/>
  </r>
  <r>
    <s v="B000277"/>
    <s v="G00639"/>
    <s v="H006"/>
    <s v="CH02"/>
    <d v="2026-09-22T00:00:00"/>
    <d v="2026-10-22T00:00:00"/>
    <x v="1"/>
    <n v="5953"/>
    <x v="0"/>
    <b v="0"/>
    <x v="2"/>
    <x v="11"/>
    <n v="2026"/>
    <n v="3"/>
    <n v="9"/>
    <n v="2026"/>
    <n v="1"/>
    <s v="No"/>
    <x v="3"/>
    <s v="India"/>
    <x v="1"/>
    <s v="StayNest Beach"/>
    <x v="3"/>
    <s v="Resort"/>
    <n v="100"/>
    <x v="3"/>
    <s v="App Push"/>
    <d v="2026-10-22T00:00:00"/>
    <s v="No"/>
    <s v="No"/>
    <s v="Shoulder"/>
    <x v="1"/>
    <n v="0"/>
    <s v="8–30 days"/>
  </r>
  <r>
    <s v="B000278"/>
    <s v="G00025"/>
    <s v="H008"/>
    <s v="CH06"/>
    <d v="2025-05-01T00:00:00"/>
    <d v="2025-06-30T00:00:00"/>
    <x v="0"/>
    <n v="5195"/>
    <x v="0"/>
    <b v="0"/>
    <x v="1"/>
    <x v="1"/>
    <n v="2025"/>
    <n v="0"/>
    <n v="5"/>
    <n v="2025"/>
    <n v="3"/>
    <s v="No"/>
    <x v="2"/>
    <s v="India"/>
    <x v="0"/>
    <s v="StayNest Palace"/>
    <x v="7"/>
    <s v="Heritage"/>
    <n v="85"/>
    <x v="0"/>
    <s v="Retention"/>
    <d v="2025-06-30T00:00:00"/>
    <s v="No"/>
    <s v="No"/>
    <s v="Shoulder"/>
    <x v="1"/>
    <n v="0"/>
    <s v="31–90 days"/>
  </r>
  <r>
    <s v="B000279"/>
    <s v="G00207"/>
    <s v="H012"/>
    <s v="CH03"/>
    <d v="2025-09-18T00:00:00"/>
    <d v="2025-11-17T00:00:00"/>
    <x v="3"/>
    <n v="39808"/>
    <x v="0"/>
    <b v="1"/>
    <x v="1"/>
    <x v="4"/>
    <n v="2025"/>
    <n v="0"/>
    <n v="9"/>
    <n v="2025"/>
    <n v="3"/>
    <s v="No"/>
    <x v="0"/>
    <s v="India"/>
    <x v="1"/>
    <s v="StayNest Valley"/>
    <x v="4"/>
    <s v="Resort"/>
    <n v="65"/>
    <x v="1"/>
    <s v="OTA Promo"/>
    <d v="2025-11-17T00:00:00"/>
    <s v="No"/>
    <s v="No"/>
    <s v="Off-Peak"/>
    <x v="1"/>
    <n v="0"/>
    <s v="31–90 days"/>
  </r>
  <r>
    <s v="B000280"/>
    <s v="G00583"/>
    <s v="H010"/>
    <s v="CH01"/>
    <d v="2025-06-29T00:00:00"/>
    <d v="2025-07-06T00:00:00"/>
    <x v="3"/>
    <n v="6791"/>
    <x v="0"/>
    <b v="0"/>
    <x v="4"/>
    <x v="8"/>
    <n v="2025"/>
    <n v="6"/>
    <n v="6"/>
    <n v="2025"/>
    <n v="6"/>
    <s v="Yes"/>
    <x v="0"/>
    <s v="India"/>
    <x v="1"/>
    <s v="StayNest Garden"/>
    <x v="10"/>
    <s v="Boutique"/>
    <n v="70"/>
    <x v="5"/>
    <s v="Direct"/>
    <d v="2025-07-06T00:00:00"/>
    <s v="Yes"/>
    <s v="No"/>
    <s v="Off-Peak"/>
    <x v="1"/>
    <n v="0"/>
    <s v="0–7 days"/>
  </r>
  <r>
    <s v="B000281"/>
    <s v="G00550"/>
    <s v="H006"/>
    <s v="CH04"/>
    <d v="2026-02-28T00:00:00"/>
    <d v="2026-07-28T00:00:00"/>
    <x v="2"/>
    <n v="2813"/>
    <x v="1"/>
    <b v="0"/>
    <x v="5"/>
    <x v="8"/>
    <n v="2026"/>
    <n v="1"/>
    <n v="2"/>
    <n v="2026"/>
    <n v="5"/>
    <s v="No"/>
    <x v="2"/>
    <s v="India"/>
    <x v="0"/>
    <s v="StayNest Beach"/>
    <x v="3"/>
    <s v="Resort"/>
    <n v="100"/>
    <x v="4"/>
    <s v="Partner"/>
    <d v="2026-07-28T00:00:00"/>
    <s v="No"/>
    <s v="No"/>
    <s v="Off-Peak"/>
    <x v="1"/>
    <n v="1"/>
    <s v="91–180 days"/>
  </r>
  <r>
    <s v="B000282"/>
    <s v="G00340"/>
    <s v="H006"/>
    <s v="CH01"/>
    <d v="2025-06-02T00:00:00"/>
    <d v="2025-06-09T00:00:00"/>
    <x v="2"/>
    <n v="2968"/>
    <x v="0"/>
    <b v="0"/>
    <x v="4"/>
    <x v="1"/>
    <n v="2025"/>
    <n v="0"/>
    <n v="6"/>
    <n v="2025"/>
    <n v="0"/>
    <s v="No"/>
    <x v="3"/>
    <s v="India"/>
    <x v="0"/>
    <s v="StayNest Beach"/>
    <x v="3"/>
    <s v="Resort"/>
    <n v="100"/>
    <x v="5"/>
    <s v="Direct"/>
    <d v="2025-06-09T00:00:00"/>
    <s v="No"/>
    <s v="No"/>
    <s v="Shoulder"/>
    <x v="1"/>
    <n v="0"/>
    <s v="0–7 days"/>
  </r>
  <r>
    <s v="B000283"/>
    <s v="G00316"/>
    <s v="H012"/>
    <s v="CH03"/>
    <d v="2025-02-02T00:00:00"/>
    <d v="2025-02-09T00:00:00"/>
    <x v="2"/>
    <n v="3996"/>
    <x v="0"/>
    <b v="0"/>
    <x v="4"/>
    <x v="0"/>
    <n v="2025"/>
    <n v="6"/>
    <n v="2"/>
    <n v="2025"/>
    <n v="6"/>
    <s v="Yes"/>
    <x v="1"/>
    <s v="Germany"/>
    <x v="1"/>
    <s v="StayNest Valley"/>
    <x v="4"/>
    <s v="Resort"/>
    <n v="65"/>
    <x v="1"/>
    <s v="OTA Promo"/>
    <d v="2025-02-09T00:00:00"/>
    <s v="Yes"/>
    <s v="No"/>
    <s v="Shoulder"/>
    <x v="1"/>
    <n v="0"/>
    <s v="0–7 days"/>
  </r>
  <r>
    <s v="B000284"/>
    <s v="G00180"/>
    <s v="H002"/>
    <s v="CH03"/>
    <d v="2025-02-08T00:00:00"/>
    <d v="2025-04-09T00:00:00"/>
    <x v="2"/>
    <n v="3236"/>
    <x v="1"/>
    <b v="0"/>
    <x v="1"/>
    <x v="2"/>
    <n v="2025"/>
    <n v="2"/>
    <n v="2"/>
    <n v="2025"/>
    <n v="5"/>
    <s v="No"/>
    <x v="3"/>
    <s v="United States"/>
    <x v="1"/>
    <s v="StayNest Central"/>
    <x v="0"/>
    <s v="Business"/>
    <n v="150"/>
    <x v="1"/>
    <s v="OTA Promo"/>
    <d v="2025-04-09T00:00:00"/>
    <s v="No"/>
    <s v="No"/>
    <s v="Peak"/>
    <x v="1"/>
    <n v="1"/>
    <s v="31–90 days"/>
  </r>
  <r>
    <s v="B000285"/>
    <s v="G00496"/>
    <s v="H012"/>
    <s v="CH05"/>
    <d v="2025-11-14T00:00:00"/>
    <d v="2026-01-13T00:00:00"/>
    <x v="0"/>
    <n v="5614"/>
    <x v="2"/>
    <b v="0"/>
    <x v="1"/>
    <x v="6"/>
    <n v="2026"/>
    <n v="1"/>
    <n v="11"/>
    <n v="2025"/>
    <n v="4"/>
    <s v="No"/>
    <x v="3"/>
    <s v="India"/>
    <x v="0"/>
    <s v="StayNest Valley"/>
    <x v="4"/>
    <s v="Resort"/>
    <n v="65"/>
    <x v="2"/>
    <s v="Corporate Rate"/>
    <d v="2026-01-13T00:00:00"/>
    <s v="No"/>
    <s v="No"/>
    <s v="Off-Peak"/>
    <x v="1"/>
    <n v="0"/>
    <s v="31–90 days"/>
  </r>
  <r>
    <s v="B000286"/>
    <s v="G00535"/>
    <s v="H002"/>
    <s v="CH01"/>
    <d v="2025-11-15T00:00:00"/>
    <d v="2026-04-14T00:00:00"/>
    <x v="2"/>
    <n v="3156"/>
    <x v="0"/>
    <b v="0"/>
    <x v="5"/>
    <x v="2"/>
    <n v="2026"/>
    <n v="1"/>
    <n v="11"/>
    <n v="2025"/>
    <n v="5"/>
    <s v="No"/>
    <x v="0"/>
    <s v="United States"/>
    <x v="0"/>
    <s v="StayNest Central"/>
    <x v="0"/>
    <s v="Business"/>
    <n v="150"/>
    <x v="5"/>
    <s v="Direct"/>
    <d v="2026-04-14T00:00:00"/>
    <s v="No"/>
    <s v="No"/>
    <s v="Peak"/>
    <x v="2"/>
    <n v="0"/>
    <s v="91–180 days"/>
  </r>
  <r>
    <s v="B000287"/>
    <s v="G00320"/>
    <s v="H011"/>
    <s v="CH02"/>
    <d v="2025-11-25T00:00:00"/>
    <d v="2025-12-02T00:00:00"/>
    <x v="3"/>
    <n v="10113"/>
    <x v="0"/>
    <b v="0"/>
    <x v="4"/>
    <x v="5"/>
    <n v="2025"/>
    <n v="1"/>
    <n v="11"/>
    <n v="2025"/>
    <n v="1"/>
    <s v="No"/>
    <x v="3"/>
    <s v="India"/>
    <x v="0"/>
    <s v="StayNest Grand"/>
    <x v="8"/>
    <s v="Business"/>
    <n v="110"/>
    <x v="3"/>
    <s v="App Push"/>
    <d v="2025-12-02T00:00:00"/>
    <s v="No"/>
    <s v="No"/>
    <s v="Peak"/>
    <x v="1"/>
    <n v="0"/>
    <s v="0–7 days"/>
  </r>
  <r>
    <s v="B000288"/>
    <s v="G00016"/>
    <s v="H010"/>
    <s v="CH05"/>
    <d v="2026-06-11T00:00:00"/>
    <d v="2026-06-14T00:00:00"/>
    <x v="3"/>
    <n v="7659"/>
    <x v="0"/>
    <b v="0"/>
    <x v="6"/>
    <x v="1"/>
    <n v="2026"/>
    <n v="6"/>
    <n v="6"/>
    <n v="2026"/>
    <n v="3"/>
    <s v="Yes"/>
    <x v="1"/>
    <s v="India"/>
    <x v="0"/>
    <s v="StayNest Garden"/>
    <x v="10"/>
    <s v="Boutique"/>
    <n v="70"/>
    <x v="2"/>
    <s v="Corporate Rate"/>
    <d v="2026-06-14T00:00:00"/>
    <s v="Yes"/>
    <s v="No"/>
    <s v="Shoulder"/>
    <x v="1"/>
    <n v="0"/>
    <s v="0–7 days"/>
  </r>
  <r>
    <s v="B000289"/>
    <s v="G00073"/>
    <s v="H005"/>
    <s v="CH05"/>
    <d v="2025-12-13T00:00:00"/>
    <d v="2026-01-12T00:00:00"/>
    <x v="2"/>
    <n v="2259"/>
    <x v="0"/>
    <b v="0"/>
    <x v="2"/>
    <x v="6"/>
    <n v="2026"/>
    <n v="0"/>
    <n v="12"/>
    <n v="2025"/>
    <n v="5"/>
    <s v="No"/>
    <x v="3"/>
    <s v="United States"/>
    <x v="1"/>
    <s v="StayNest Heritage"/>
    <x v="11"/>
    <s v="Heritage"/>
    <n v="90"/>
    <x v="2"/>
    <s v="Corporate Rate"/>
    <d v="2026-01-12T00:00:00"/>
    <s v="No"/>
    <s v="No"/>
    <s v="Off-Peak"/>
    <x v="1"/>
    <n v="0"/>
    <s v="8–30 days"/>
  </r>
  <r>
    <s v="B000290"/>
    <s v="G00611"/>
    <s v="H010"/>
    <s v="CH06"/>
    <d v="2026-04-02T00:00:00"/>
    <d v="2026-05-02T00:00:00"/>
    <x v="3"/>
    <n v="11995"/>
    <x v="2"/>
    <b v="0"/>
    <x v="2"/>
    <x v="9"/>
    <n v="2026"/>
    <n v="5"/>
    <n v="4"/>
    <n v="2026"/>
    <n v="3"/>
    <s v="Yes"/>
    <x v="3"/>
    <s v="India"/>
    <x v="0"/>
    <s v="StayNest Garden"/>
    <x v="10"/>
    <s v="Boutique"/>
    <n v="70"/>
    <x v="0"/>
    <s v="Retention"/>
    <d v="2026-05-02T00:00:00"/>
    <s v="Yes"/>
    <s v="No"/>
    <s v="Peak"/>
    <x v="1"/>
    <n v="0"/>
    <s v="8–30 days"/>
  </r>
  <r>
    <s v="B000291"/>
    <s v="G00477"/>
    <s v="H010"/>
    <s v="CH02"/>
    <d v="2025-04-06T00:00:00"/>
    <d v="2025-07-15T00:00:00"/>
    <x v="1"/>
    <n v="7909"/>
    <x v="3"/>
    <b v="0"/>
    <x v="0"/>
    <x v="8"/>
    <n v="2025"/>
    <n v="1"/>
    <n v="4"/>
    <n v="2025"/>
    <n v="6"/>
    <s v="No"/>
    <x v="1"/>
    <s v="India"/>
    <x v="0"/>
    <s v="StayNest Garden"/>
    <x v="10"/>
    <s v="Boutique"/>
    <n v="70"/>
    <x v="3"/>
    <s v="App Push"/>
    <d v="2025-07-15T00:00:00"/>
    <s v="No"/>
    <s v="No"/>
    <s v="Off-Peak"/>
    <x v="1"/>
    <n v="0"/>
    <s v="91–180 days"/>
  </r>
  <r>
    <s v="B000292"/>
    <s v="G00148"/>
    <s v="H010"/>
    <s v="CH03"/>
    <d v="2026-01-08T00:00:00"/>
    <d v="2026-01-22T00:00:00"/>
    <x v="3"/>
    <n v="6747"/>
    <x v="0"/>
    <b v="0"/>
    <x v="3"/>
    <x v="6"/>
    <n v="2026"/>
    <n v="3"/>
    <n v="1"/>
    <n v="2026"/>
    <n v="3"/>
    <s v="No"/>
    <x v="2"/>
    <s v="India"/>
    <x v="0"/>
    <s v="StayNest Garden"/>
    <x v="10"/>
    <s v="Boutique"/>
    <n v="70"/>
    <x v="1"/>
    <s v="OTA Promo"/>
    <d v="2026-01-22T00:00:00"/>
    <s v="No"/>
    <s v="No"/>
    <s v="Off-Peak"/>
    <x v="1"/>
    <n v="0"/>
    <s v="8–30 days"/>
  </r>
  <r>
    <s v="B000293"/>
    <s v="G00175"/>
    <s v="H005"/>
    <s v="CH03"/>
    <d v="2026-09-11T00:00:00"/>
    <d v="2026-10-11T00:00:00"/>
    <x v="2"/>
    <n v="3874"/>
    <x v="0"/>
    <b v="0"/>
    <x v="2"/>
    <x v="11"/>
    <n v="2026"/>
    <n v="6"/>
    <n v="9"/>
    <n v="2026"/>
    <n v="4"/>
    <s v="Yes"/>
    <x v="0"/>
    <s v="United Kingdom"/>
    <x v="0"/>
    <s v="StayNest Heritage"/>
    <x v="11"/>
    <s v="Heritage"/>
    <n v="90"/>
    <x v="1"/>
    <s v="OTA Promo"/>
    <d v="2026-10-11T00:00:00"/>
    <s v="Yes"/>
    <s v="No"/>
    <s v="Shoulder"/>
    <x v="1"/>
    <n v="0"/>
    <s v="8–30 days"/>
  </r>
  <r>
    <s v="B000294"/>
    <s v="G00411"/>
    <s v="H010"/>
    <s v="CH04"/>
    <d v="2025-09-02T00:00:00"/>
    <d v="2025-10-02T00:00:00"/>
    <x v="0"/>
    <n v="3770"/>
    <x v="2"/>
    <b v="0"/>
    <x v="2"/>
    <x v="11"/>
    <n v="2025"/>
    <n v="3"/>
    <n v="9"/>
    <n v="2025"/>
    <n v="1"/>
    <s v="No"/>
    <x v="3"/>
    <s v="India"/>
    <x v="0"/>
    <s v="StayNest Garden"/>
    <x v="10"/>
    <s v="Boutique"/>
    <n v="70"/>
    <x v="4"/>
    <s v="Partner"/>
    <d v="2025-10-02T00:00:00"/>
    <s v="No"/>
    <s v="Yes"/>
    <s v="Shoulder"/>
    <x v="2"/>
    <n v="0"/>
    <s v="8–30 days"/>
  </r>
  <r>
    <s v="B000295"/>
    <s v="G00446"/>
    <s v="H010"/>
    <s v="CH03"/>
    <d v="2026-07-12T00:00:00"/>
    <d v="2026-09-10T00:00:00"/>
    <x v="0"/>
    <n v="5851"/>
    <x v="0"/>
    <b v="0"/>
    <x v="1"/>
    <x v="10"/>
    <n v="2026"/>
    <n v="3"/>
    <n v="7"/>
    <n v="2026"/>
    <n v="6"/>
    <s v="No"/>
    <x v="1"/>
    <s v="India"/>
    <x v="0"/>
    <s v="StayNest Garden"/>
    <x v="10"/>
    <s v="Boutique"/>
    <n v="70"/>
    <x v="1"/>
    <s v="OTA Promo"/>
    <d v="2026-09-10T00:00:00"/>
    <s v="No"/>
    <s v="No"/>
    <s v="Shoulder"/>
    <x v="1"/>
    <n v="0"/>
    <s v="31–90 days"/>
  </r>
  <r>
    <s v="B000296"/>
    <s v="G00456"/>
    <s v="H003"/>
    <s v="CH03"/>
    <d v="2026-02-20T00:00:00"/>
    <d v="2026-02-21T00:00:00"/>
    <x v="2"/>
    <n v="3779"/>
    <x v="1"/>
    <b v="0"/>
    <x v="7"/>
    <x v="0"/>
    <n v="2026"/>
    <n v="5"/>
    <n v="2"/>
    <n v="2026"/>
    <n v="4"/>
    <s v="Yes"/>
    <x v="1"/>
    <s v="UAE"/>
    <x v="1"/>
    <s v="StayNest Hills"/>
    <x v="5"/>
    <s v="Resort"/>
    <n v="80"/>
    <x v="1"/>
    <s v="OTA Promo"/>
    <d v="2026-02-21T00:00:00"/>
    <s v="Yes"/>
    <s v="No"/>
    <s v="Shoulder"/>
    <x v="1"/>
    <n v="1"/>
    <s v="0–7 days"/>
  </r>
  <r>
    <s v="B000297"/>
    <s v="G00223"/>
    <s v="H003"/>
    <s v="CH05"/>
    <d v="2026-10-14T00:00:00"/>
    <d v="2026-12-13T00:00:00"/>
    <x v="0"/>
    <n v="5676"/>
    <x v="0"/>
    <b v="0"/>
    <x v="1"/>
    <x v="5"/>
    <n v="2026"/>
    <n v="6"/>
    <n v="10"/>
    <n v="2026"/>
    <n v="2"/>
    <s v="Yes"/>
    <x v="0"/>
    <s v="India"/>
    <x v="0"/>
    <s v="StayNest Hills"/>
    <x v="5"/>
    <s v="Resort"/>
    <n v="80"/>
    <x v="2"/>
    <s v="Corporate Rate"/>
    <d v="2026-12-13T00:00:00"/>
    <s v="Yes"/>
    <s v="No"/>
    <s v="Peak"/>
    <x v="1"/>
    <n v="0"/>
    <s v="31–90 days"/>
  </r>
  <r>
    <s v="B000298"/>
    <s v="G00325"/>
    <s v="H005"/>
    <s v="CH05"/>
    <d v="2026-11-27T00:00:00"/>
    <d v="2026-12-04T00:00:00"/>
    <x v="1"/>
    <n v="7504"/>
    <x v="0"/>
    <b v="0"/>
    <x v="4"/>
    <x v="5"/>
    <n v="2026"/>
    <n v="4"/>
    <n v="11"/>
    <n v="2026"/>
    <n v="4"/>
    <s v="No"/>
    <x v="0"/>
    <s v="UAE"/>
    <x v="0"/>
    <s v="StayNest Heritage"/>
    <x v="11"/>
    <s v="Heritage"/>
    <n v="90"/>
    <x v="2"/>
    <s v="Corporate Rate"/>
    <d v="2026-12-04T00:00:00"/>
    <s v="No"/>
    <s v="No"/>
    <s v="Peak"/>
    <x v="1"/>
    <n v="0"/>
    <s v="0–7 days"/>
  </r>
  <r>
    <s v="B000299"/>
    <s v="G00302"/>
    <s v="H001"/>
    <s v="CH03"/>
    <d v="2026-07-17T00:00:00"/>
    <d v="2026-12-14T00:00:00"/>
    <x v="2"/>
    <n v="3880"/>
    <x v="1"/>
    <b v="0"/>
    <x v="5"/>
    <x v="5"/>
    <n v="2026"/>
    <n v="0"/>
    <n v="7"/>
    <n v="2026"/>
    <n v="4"/>
    <s v="No"/>
    <x v="0"/>
    <s v="India"/>
    <x v="0"/>
    <s v="StayNest Marina"/>
    <x v="1"/>
    <s v="Business"/>
    <n v="120"/>
    <x v="1"/>
    <s v="OTA Promo"/>
    <d v="2026-12-14T00:00:00"/>
    <s v="No"/>
    <s v="No"/>
    <s v="Peak"/>
    <x v="1"/>
    <n v="1"/>
    <s v="91–180 days"/>
  </r>
  <r>
    <s v="B000300"/>
    <s v="G00443"/>
    <s v="H012"/>
    <s v="CH05"/>
    <d v="2026-02-08T00:00:00"/>
    <d v="2026-03-10T00:00:00"/>
    <x v="1"/>
    <n v="5865"/>
    <x v="0"/>
    <b v="0"/>
    <x v="2"/>
    <x v="3"/>
    <n v="2026"/>
    <n v="1"/>
    <n v="2"/>
    <n v="2026"/>
    <n v="6"/>
    <s v="No"/>
    <x v="1"/>
    <s v="India"/>
    <x v="0"/>
    <s v="StayNest Valley"/>
    <x v="4"/>
    <s v="Resort"/>
    <n v="65"/>
    <x v="2"/>
    <s v="Corporate Rate"/>
    <d v="2026-03-10T00:00:00"/>
    <s v="No"/>
    <s v="No"/>
    <s v="Shoulder"/>
    <x v="1"/>
    <n v="0"/>
    <s v="8–30 days"/>
  </r>
  <r>
    <s v="B000301"/>
    <s v="G00394"/>
    <s v="H006"/>
    <s v="CH04"/>
    <d v="2025-06-07T00:00:00"/>
    <d v="2025-06-14T00:00:00"/>
    <x v="0"/>
    <n v="3793"/>
    <x v="2"/>
    <b v="0"/>
    <x v="4"/>
    <x v="1"/>
    <n v="2025"/>
    <n v="5"/>
    <n v="6"/>
    <n v="2025"/>
    <n v="5"/>
    <s v="Yes"/>
    <x v="3"/>
    <s v="Singapore"/>
    <x v="0"/>
    <s v="StayNest Beach"/>
    <x v="3"/>
    <s v="Resort"/>
    <n v="100"/>
    <x v="4"/>
    <s v="Partner"/>
    <d v="2025-06-14T00:00:00"/>
    <s v="Yes"/>
    <s v="No"/>
    <s v="Shoulder"/>
    <x v="1"/>
    <n v="0"/>
    <s v="0–7 days"/>
  </r>
  <r>
    <s v="B000302"/>
    <s v="G00140"/>
    <s v="H002"/>
    <s v="CH02"/>
    <d v="2026-10-20T00:00:00"/>
    <d v="2026-12-19T00:00:00"/>
    <x v="1"/>
    <n v="5736"/>
    <x v="2"/>
    <b v="0"/>
    <x v="1"/>
    <x v="5"/>
    <n v="2026"/>
    <n v="5"/>
    <n v="10"/>
    <n v="2026"/>
    <n v="1"/>
    <s v="Yes"/>
    <x v="3"/>
    <s v="Singapore"/>
    <x v="1"/>
    <s v="StayNest Central"/>
    <x v="0"/>
    <s v="Business"/>
    <n v="150"/>
    <x v="3"/>
    <s v="App Push"/>
    <d v="2026-12-19T00:00:00"/>
    <s v="Yes"/>
    <s v="No"/>
    <s v="Peak"/>
    <x v="1"/>
    <n v="0"/>
    <s v="31–90 days"/>
  </r>
  <r>
    <s v="B000303"/>
    <s v="G00394"/>
    <s v="H006"/>
    <s v="CH02"/>
    <d v="2025-07-10T00:00:00"/>
    <d v="2025-07-24T00:00:00"/>
    <x v="2"/>
    <n v="3220"/>
    <x v="0"/>
    <b v="0"/>
    <x v="3"/>
    <x v="8"/>
    <n v="2025"/>
    <n v="3"/>
    <n v="7"/>
    <n v="2025"/>
    <n v="3"/>
    <s v="No"/>
    <x v="3"/>
    <s v="Singapore"/>
    <x v="0"/>
    <s v="StayNest Beach"/>
    <x v="3"/>
    <s v="Resort"/>
    <n v="100"/>
    <x v="3"/>
    <s v="App Push"/>
    <d v="2025-07-24T00:00:00"/>
    <s v="No"/>
    <s v="No"/>
    <s v="Off-Peak"/>
    <x v="1"/>
    <n v="0"/>
    <s v="8–30 days"/>
  </r>
  <r>
    <s v="B000304"/>
    <s v="G00039"/>
    <s v="H010"/>
    <s v="CH04"/>
    <d v="2026-01-13T00:00:00"/>
    <d v="2026-01-16T00:00:00"/>
    <x v="1"/>
    <n v="6904"/>
    <x v="0"/>
    <b v="0"/>
    <x v="6"/>
    <x v="6"/>
    <n v="2026"/>
    <n v="4"/>
    <n v="1"/>
    <n v="2026"/>
    <n v="1"/>
    <s v="No"/>
    <x v="2"/>
    <s v="Singapore"/>
    <x v="0"/>
    <s v="StayNest Garden"/>
    <x v="10"/>
    <s v="Boutique"/>
    <n v="70"/>
    <x v="4"/>
    <s v="Partner"/>
    <d v="2026-01-16T00:00:00"/>
    <s v="No"/>
    <s v="No"/>
    <s v="Off-Peak"/>
    <x v="1"/>
    <n v="0"/>
    <s v="0–7 days"/>
  </r>
  <r>
    <s v="B000305"/>
    <s v="G00252"/>
    <s v="H008"/>
    <s v="CH06"/>
    <d v="2026-11-11T00:00:00"/>
    <d v="2027-04-10T00:00:00"/>
    <x v="2"/>
    <n v="3834"/>
    <x v="2"/>
    <b v="0"/>
    <x v="5"/>
    <x v="2"/>
    <n v="2027"/>
    <n v="5"/>
    <n v="11"/>
    <n v="2026"/>
    <n v="2"/>
    <s v="Yes"/>
    <x v="3"/>
    <s v="Unknown"/>
    <x v="0"/>
    <s v="StayNest Palace"/>
    <x v="7"/>
    <s v="Heritage"/>
    <n v="85"/>
    <x v="0"/>
    <s v="Retention"/>
    <m/>
    <s v="Unknown"/>
    <s v="Unknown"/>
    <s v="Unknown"/>
    <x v="0"/>
    <n v="0"/>
    <s v="91–180 days"/>
  </r>
  <r>
    <s v="B000306"/>
    <s v="G00481"/>
    <s v="H008"/>
    <s v="CH05"/>
    <d v="2026-04-26T00:00:00"/>
    <d v="2026-05-26T00:00:00"/>
    <x v="3"/>
    <n v="8869"/>
    <x v="2"/>
    <b v="0"/>
    <x v="2"/>
    <x v="9"/>
    <n v="2026"/>
    <n v="1"/>
    <n v="4"/>
    <n v="2026"/>
    <n v="6"/>
    <s v="No"/>
    <x v="1"/>
    <s v="United Kingdom"/>
    <x v="0"/>
    <s v="StayNest Palace"/>
    <x v="7"/>
    <s v="Heritage"/>
    <n v="85"/>
    <x v="2"/>
    <s v="Corporate Rate"/>
    <d v="2026-05-26T00:00:00"/>
    <s v="No"/>
    <s v="No"/>
    <s v="Peak"/>
    <x v="1"/>
    <n v="0"/>
    <s v="8–30 days"/>
  </r>
  <r>
    <s v="B000307"/>
    <s v="G00578"/>
    <s v="H005"/>
    <s v="CH01"/>
    <d v="2026-10-07T00:00:00"/>
    <d v="2026-10-21T00:00:00"/>
    <x v="0"/>
    <n v="4695"/>
    <x v="0"/>
    <b v="0"/>
    <x v="3"/>
    <x v="11"/>
    <n v="2026"/>
    <n v="2"/>
    <n v="10"/>
    <n v="2026"/>
    <n v="2"/>
    <s v="No"/>
    <x v="3"/>
    <s v="Singapore"/>
    <x v="1"/>
    <s v="StayNest Heritage"/>
    <x v="11"/>
    <s v="Heritage"/>
    <n v="90"/>
    <x v="5"/>
    <s v="Direct"/>
    <d v="2026-10-21T00:00:00"/>
    <s v="No"/>
    <s v="No"/>
    <s v="Shoulder"/>
    <x v="1"/>
    <n v="0"/>
    <s v="8–30 days"/>
  </r>
  <r>
    <s v="B000308"/>
    <s v="G00285"/>
    <s v="H005"/>
    <s v="CH02"/>
    <d v="2026-09-23T00:00:00"/>
    <d v="2026-09-30T00:00:00"/>
    <x v="3"/>
    <n v="11446"/>
    <x v="2"/>
    <b v="0"/>
    <x v="4"/>
    <x v="10"/>
    <n v="2026"/>
    <n v="2"/>
    <n v="9"/>
    <n v="2026"/>
    <n v="2"/>
    <s v="No"/>
    <x v="1"/>
    <s v="India"/>
    <x v="0"/>
    <s v="StayNest Heritage"/>
    <x v="11"/>
    <s v="Heritage"/>
    <n v="90"/>
    <x v="3"/>
    <s v="App Push"/>
    <d v="2026-09-30T00:00:00"/>
    <s v="No"/>
    <s v="No"/>
    <s v="Shoulder"/>
    <x v="1"/>
    <n v="0"/>
    <s v="0–7 days"/>
  </r>
  <r>
    <s v="B000309"/>
    <s v="G00379"/>
    <s v="H003"/>
    <s v="CH03"/>
    <d v="2025-08-30T00:00:00"/>
    <d v="2025-09-13T00:00:00"/>
    <x v="2"/>
    <n v="2372"/>
    <x v="2"/>
    <b v="0"/>
    <x v="3"/>
    <x v="10"/>
    <n v="2025"/>
    <n v="5"/>
    <n v="8"/>
    <n v="2025"/>
    <n v="5"/>
    <s v="Yes"/>
    <x v="2"/>
    <s v="India"/>
    <x v="0"/>
    <s v="StayNest Hills"/>
    <x v="5"/>
    <s v="Resort"/>
    <n v="80"/>
    <x v="1"/>
    <s v="OTA Promo"/>
    <d v="2025-09-13T00:00:00"/>
    <s v="Yes"/>
    <s v="No"/>
    <s v="Shoulder"/>
    <x v="1"/>
    <n v="0"/>
    <s v="8–30 days"/>
  </r>
  <r>
    <s v="B000310"/>
    <s v="G00423"/>
    <s v="H007"/>
    <s v="CH02"/>
    <d v="2026-11-08T00:00:00"/>
    <d v="2026-11-22T00:00:00"/>
    <x v="0"/>
    <n v="4913"/>
    <x v="0"/>
    <b v="0"/>
    <x v="3"/>
    <x v="4"/>
    <n v="2026"/>
    <n v="6"/>
    <n v="11"/>
    <n v="2026"/>
    <n v="6"/>
    <s v="Yes"/>
    <x v="3"/>
    <s v="India"/>
    <x v="1"/>
    <s v="StayNest Tech Park"/>
    <x v="6"/>
    <s v="Business"/>
    <n v="140"/>
    <x v="3"/>
    <s v="App Push"/>
    <d v="2026-11-22T00:00:00"/>
    <s v="Yes"/>
    <s v="No"/>
    <s v="Off-Peak"/>
    <x v="1"/>
    <n v="0"/>
    <s v="8–30 days"/>
  </r>
  <r>
    <s v="B000311"/>
    <s v="G00476"/>
    <s v="H007"/>
    <s v="CH04"/>
    <d v="2025-11-05T00:00:00"/>
    <d v="2025-11-19T00:00:00"/>
    <x v="0"/>
    <n v="5097"/>
    <x v="0"/>
    <b v="0"/>
    <x v="3"/>
    <x v="4"/>
    <n v="2025"/>
    <n v="2"/>
    <n v="11"/>
    <n v="2025"/>
    <n v="2"/>
    <s v="No"/>
    <x v="3"/>
    <s v="India"/>
    <x v="0"/>
    <s v="StayNest Tech Park"/>
    <x v="6"/>
    <s v="Business"/>
    <n v="140"/>
    <x v="4"/>
    <s v="Partner"/>
    <d v="2025-11-19T00:00:00"/>
    <s v="No"/>
    <s v="No"/>
    <s v="Off-Peak"/>
    <x v="1"/>
    <n v="0"/>
    <s v="8–30 days"/>
  </r>
  <r>
    <s v="B000312"/>
    <s v="G00460"/>
    <s v="H007"/>
    <s v="CH06"/>
    <d v="2025-11-20T00:00:00"/>
    <d v="2026-04-19T00:00:00"/>
    <x v="2"/>
    <n v="4079"/>
    <x v="2"/>
    <b v="0"/>
    <x v="5"/>
    <x v="2"/>
    <n v="2026"/>
    <n v="6"/>
    <n v="11"/>
    <n v="2025"/>
    <n v="3"/>
    <s v="Yes"/>
    <x v="2"/>
    <s v="India"/>
    <x v="1"/>
    <s v="StayNest Tech Park"/>
    <x v="6"/>
    <s v="Business"/>
    <n v="140"/>
    <x v="0"/>
    <s v="Retention"/>
    <d v="2026-04-19T00:00:00"/>
    <s v="Yes"/>
    <s v="No"/>
    <s v="Peak"/>
    <x v="1"/>
    <n v="0"/>
    <s v="91–180 days"/>
  </r>
  <r>
    <s v="B000313"/>
    <s v="G00280"/>
    <s v="H006"/>
    <s v="CH03"/>
    <d v="2025-10-01T00:00:00"/>
    <d v="2025-11-30T00:00:00"/>
    <x v="3"/>
    <n v="8480"/>
    <x v="0"/>
    <b v="0"/>
    <x v="1"/>
    <x v="4"/>
    <n v="2025"/>
    <n v="6"/>
    <n v="10"/>
    <n v="2025"/>
    <n v="2"/>
    <s v="Yes"/>
    <x v="1"/>
    <s v="India"/>
    <x v="0"/>
    <s v="StayNest Beach"/>
    <x v="3"/>
    <s v="Resort"/>
    <n v="100"/>
    <x v="1"/>
    <s v="OTA Promo"/>
    <d v="2025-11-30T00:00:00"/>
    <s v="Yes"/>
    <s v="No"/>
    <s v="Off-Peak"/>
    <x v="1"/>
    <n v="0"/>
    <s v="31–90 days"/>
  </r>
  <r>
    <s v="B000314"/>
    <s v="G00185"/>
    <s v="H006"/>
    <s v="CH05"/>
    <d v="2025-01-11T00:00:00"/>
    <d v="2025-03-12T00:00:00"/>
    <x v="2"/>
    <n v="3042"/>
    <x v="2"/>
    <b v="0"/>
    <x v="1"/>
    <x v="3"/>
    <n v="2025"/>
    <n v="2"/>
    <n v="1"/>
    <n v="2025"/>
    <n v="5"/>
    <s v="No"/>
    <x v="1"/>
    <s v="United Kingdom"/>
    <x v="0"/>
    <s v="StayNest Beach"/>
    <x v="3"/>
    <s v="Resort"/>
    <n v="100"/>
    <x v="2"/>
    <s v="Corporate Rate"/>
    <d v="2025-03-12T00:00:00"/>
    <s v="No"/>
    <s v="No"/>
    <s v="Shoulder"/>
    <x v="1"/>
    <n v="0"/>
    <s v="31–90 days"/>
  </r>
  <r>
    <s v="B000315"/>
    <s v="G00258"/>
    <s v="H004"/>
    <s v="CH01"/>
    <d v="2025-01-25T00:00:00"/>
    <d v="2025-02-24T00:00:00"/>
    <x v="2"/>
    <n v="3544"/>
    <x v="0"/>
    <b v="0"/>
    <x v="2"/>
    <x v="0"/>
    <n v="2025"/>
    <n v="0"/>
    <n v="1"/>
    <n v="2025"/>
    <n v="5"/>
    <s v="No"/>
    <x v="1"/>
    <s v="India"/>
    <x v="0"/>
    <s v="StayNest Lakeview"/>
    <x v="2"/>
    <s v="Resort"/>
    <n v="75"/>
    <x v="5"/>
    <s v="Direct"/>
    <d v="2025-02-24T00:00:00"/>
    <s v="No"/>
    <s v="No"/>
    <s v="Shoulder"/>
    <x v="1"/>
    <n v="0"/>
    <s v="8–30 days"/>
  </r>
  <r>
    <s v="B000316"/>
    <s v="G00620"/>
    <s v="H003"/>
    <s v="CH04"/>
    <d v="2026-11-04T00:00:00"/>
    <d v="2027-01-03T00:00:00"/>
    <x v="0"/>
    <n v="4254"/>
    <x v="0"/>
    <b v="0"/>
    <x v="1"/>
    <x v="6"/>
    <n v="2027"/>
    <n v="6"/>
    <n v="11"/>
    <n v="2026"/>
    <n v="2"/>
    <s v="Yes"/>
    <x v="1"/>
    <s v="Singapore"/>
    <x v="0"/>
    <s v="StayNest Hills"/>
    <x v="5"/>
    <s v="Resort"/>
    <n v="80"/>
    <x v="4"/>
    <s v="Partner"/>
    <m/>
    <s v="Unknown"/>
    <s v="Unknown"/>
    <s v="Unknown"/>
    <x v="0"/>
    <n v="0"/>
    <s v="31–90 days"/>
  </r>
  <r>
    <s v="B000317"/>
    <s v="G00284"/>
    <s v="H007"/>
    <s v="CH06"/>
    <d v="2026-11-15T00:00:00"/>
    <d v="2027-01-14T00:00:00"/>
    <x v="3"/>
    <n v="8771"/>
    <x v="3"/>
    <b v="0"/>
    <x v="1"/>
    <x v="6"/>
    <n v="2027"/>
    <n v="3"/>
    <n v="11"/>
    <n v="2026"/>
    <n v="6"/>
    <s v="No"/>
    <x v="0"/>
    <s v="Singapore"/>
    <x v="1"/>
    <s v="StayNest Tech Park"/>
    <x v="6"/>
    <s v="Business"/>
    <n v="140"/>
    <x v="0"/>
    <s v="Retention"/>
    <m/>
    <s v="Unknown"/>
    <s v="Unknown"/>
    <s v="Unknown"/>
    <x v="0"/>
    <n v="0"/>
    <s v="31–90 days"/>
  </r>
  <r>
    <s v="B000318"/>
    <s v="G00265"/>
    <s v="H005"/>
    <s v="CH02"/>
    <d v="2026-03-28T00:00:00"/>
    <d v="2026-03-29T00:00:00"/>
    <x v="0"/>
    <n v="4230"/>
    <x v="0"/>
    <b v="0"/>
    <x v="7"/>
    <x v="3"/>
    <n v="2026"/>
    <n v="6"/>
    <n v="3"/>
    <n v="2026"/>
    <n v="5"/>
    <s v="Yes"/>
    <x v="2"/>
    <s v="Singapore"/>
    <x v="0"/>
    <s v="StayNest Heritage"/>
    <x v="11"/>
    <s v="Heritage"/>
    <n v="90"/>
    <x v="3"/>
    <s v="App Push"/>
    <d v="2026-03-29T00:00:00"/>
    <s v="Yes"/>
    <s v="No"/>
    <s v="Shoulder"/>
    <x v="1"/>
    <n v="0"/>
    <s v="0–7 days"/>
  </r>
  <r>
    <s v="B000319"/>
    <s v="G00629"/>
    <s v="H011"/>
    <s v="CH01"/>
    <d v="2026-03-29T00:00:00"/>
    <d v="2026-05-28T00:00:00"/>
    <x v="2"/>
    <n v="2349"/>
    <x v="2"/>
    <b v="0"/>
    <x v="1"/>
    <x v="9"/>
    <n v="2026"/>
    <n v="3"/>
    <n v="3"/>
    <n v="2026"/>
    <n v="6"/>
    <s v="No"/>
    <x v="1"/>
    <s v="India"/>
    <x v="0"/>
    <s v="StayNest Grand"/>
    <x v="8"/>
    <s v="Business"/>
    <n v="110"/>
    <x v="5"/>
    <s v="Direct"/>
    <d v="2026-05-28T00:00:00"/>
    <s v="No"/>
    <s v="No"/>
    <s v="Peak"/>
    <x v="1"/>
    <n v="0"/>
    <s v="31–90 days"/>
  </r>
  <r>
    <s v="B000320"/>
    <s v="G00153"/>
    <s v="H011"/>
    <s v="CH06"/>
    <d v="2025-01-01T00:00:00"/>
    <d v="2025-05-31T00:00:00"/>
    <x v="1"/>
    <n v="39475"/>
    <x v="0"/>
    <b v="1"/>
    <x v="5"/>
    <x v="9"/>
    <n v="2025"/>
    <n v="5"/>
    <n v="1"/>
    <n v="2025"/>
    <n v="2"/>
    <s v="Yes"/>
    <x v="0"/>
    <s v="India"/>
    <x v="0"/>
    <s v="StayNest Grand"/>
    <x v="8"/>
    <s v="Business"/>
    <n v="110"/>
    <x v="0"/>
    <s v="Retention"/>
    <d v="2025-05-31T00:00:00"/>
    <s v="Yes"/>
    <s v="No"/>
    <s v="Peak"/>
    <x v="1"/>
    <n v="0"/>
    <s v="91–180 days"/>
  </r>
  <r>
    <s v="B000321"/>
    <s v="G00447"/>
    <s v="H007"/>
    <s v="CH06"/>
    <d v="2025-03-13T00:00:00"/>
    <d v="2025-04-12T00:00:00"/>
    <x v="2"/>
    <n v="4154"/>
    <x v="0"/>
    <b v="0"/>
    <x v="2"/>
    <x v="2"/>
    <n v="2025"/>
    <n v="5"/>
    <n v="3"/>
    <n v="2025"/>
    <n v="3"/>
    <s v="Yes"/>
    <x v="0"/>
    <s v="Unknown"/>
    <x v="0"/>
    <s v="StayNest Tech Park"/>
    <x v="6"/>
    <s v="Business"/>
    <n v="140"/>
    <x v="0"/>
    <s v="Retention"/>
    <d v="2025-04-12T00:00:00"/>
    <s v="Yes"/>
    <s v="No"/>
    <s v="Peak"/>
    <x v="1"/>
    <n v="0"/>
    <s v="8–30 days"/>
  </r>
  <r>
    <s v="B000322"/>
    <s v="G00311"/>
    <s v="H007"/>
    <s v="CH01"/>
    <d v="2026-10-10T00:00:00"/>
    <d v="2027-05-18T00:00:00"/>
    <x v="2"/>
    <n v="3294"/>
    <x v="0"/>
    <b v="0"/>
    <x v="8"/>
    <x v="9"/>
    <n v="2027"/>
    <n v="1"/>
    <n v="10"/>
    <n v="2026"/>
    <n v="5"/>
    <s v="No"/>
    <x v="1"/>
    <s v="United States"/>
    <x v="1"/>
    <s v="StayNest Tech Park"/>
    <x v="6"/>
    <s v="Business"/>
    <n v="140"/>
    <x v="5"/>
    <s v="Direct"/>
    <m/>
    <s v="Unknown"/>
    <s v="Unknown"/>
    <s v="Unknown"/>
    <x v="0"/>
    <n v="0"/>
    <s v="181+ days"/>
  </r>
  <r>
    <s v="B000323"/>
    <s v="G00181"/>
    <s v="H009"/>
    <s v="CH01"/>
    <d v="2026-01-29T00:00:00"/>
    <d v="2026-02-28T00:00:00"/>
    <x v="3"/>
    <n v="11666"/>
    <x v="0"/>
    <b v="0"/>
    <x v="2"/>
    <x v="0"/>
    <n v="2026"/>
    <n v="5"/>
    <n v="1"/>
    <n v="2026"/>
    <n v="3"/>
    <s v="Yes"/>
    <x v="0"/>
    <s v="Germany"/>
    <x v="1"/>
    <s v="StayNest Airport"/>
    <x v="9"/>
    <s v="Business"/>
    <n v="160"/>
    <x v="5"/>
    <s v="Direct"/>
    <d v="2026-02-28T00:00:00"/>
    <s v="Yes"/>
    <s v="No"/>
    <s v="Shoulder"/>
    <x v="1"/>
    <n v="0"/>
    <s v="8–30 days"/>
  </r>
  <r>
    <s v="B000324"/>
    <s v="G00195"/>
    <s v="H003"/>
    <s v="CH01"/>
    <d v="2025-07-17T00:00:00"/>
    <d v="2025-07-18T00:00:00"/>
    <x v="0"/>
    <n v="3758"/>
    <x v="2"/>
    <b v="0"/>
    <x v="7"/>
    <x v="8"/>
    <n v="2025"/>
    <n v="4"/>
    <n v="7"/>
    <n v="2025"/>
    <n v="3"/>
    <s v="No"/>
    <x v="0"/>
    <s v="India"/>
    <x v="0"/>
    <s v="StayNest Hills"/>
    <x v="5"/>
    <s v="Resort"/>
    <n v="80"/>
    <x v="5"/>
    <s v="Direct"/>
    <d v="2025-07-18T00:00:00"/>
    <s v="No"/>
    <s v="No"/>
    <s v="Off-Peak"/>
    <x v="1"/>
    <n v="0"/>
    <s v="0–7 days"/>
  </r>
  <r>
    <s v="B000325"/>
    <s v="G00461"/>
    <s v="H001"/>
    <s v="CH01"/>
    <d v="2025-12-14T00:00:00"/>
    <d v="2025-12-15T00:00:00"/>
    <x v="2"/>
    <n v="2442"/>
    <x v="2"/>
    <b v="0"/>
    <x v="7"/>
    <x v="5"/>
    <n v="2025"/>
    <n v="0"/>
    <n v="12"/>
    <n v="2025"/>
    <n v="6"/>
    <s v="No"/>
    <x v="2"/>
    <s v="Singapore"/>
    <x v="0"/>
    <s v="StayNest Marina"/>
    <x v="1"/>
    <s v="Business"/>
    <n v="120"/>
    <x v="5"/>
    <s v="Direct"/>
    <d v="2025-12-15T00:00:00"/>
    <s v="No"/>
    <s v="No"/>
    <s v="Peak"/>
    <x v="1"/>
    <n v="0"/>
    <s v="0–7 days"/>
  </r>
  <r>
    <s v="B000326"/>
    <s v="G00550"/>
    <s v="H003"/>
    <s v="CH06"/>
    <d v="2026-08-17T00:00:00"/>
    <d v="2026-08-24T00:00:00"/>
    <x v="2"/>
    <n v="3706"/>
    <x v="0"/>
    <b v="0"/>
    <x v="4"/>
    <x v="7"/>
    <n v="2026"/>
    <n v="0"/>
    <n v="8"/>
    <n v="2026"/>
    <n v="0"/>
    <s v="No"/>
    <x v="2"/>
    <s v="India"/>
    <x v="0"/>
    <s v="StayNest Hills"/>
    <x v="5"/>
    <s v="Resort"/>
    <n v="80"/>
    <x v="0"/>
    <s v="Retention"/>
    <d v="2026-08-24T00:00:00"/>
    <s v="No"/>
    <s v="No"/>
    <s v="Off-Peak"/>
    <x v="1"/>
    <n v="0"/>
    <s v="0–7 days"/>
  </r>
  <r>
    <s v="B000327"/>
    <s v="G00249"/>
    <s v="H012"/>
    <s v="CH06"/>
    <d v="2025-05-14T00:00:00"/>
    <d v="2025-05-15T00:00:00"/>
    <x v="2"/>
    <n v="3880"/>
    <x v="2"/>
    <b v="0"/>
    <x v="7"/>
    <x v="9"/>
    <n v="2025"/>
    <n v="3"/>
    <n v="5"/>
    <n v="2025"/>
    <n v="2"/>
    <s v="No"/>
    <x v="1"/>
    <s v="Germany"/>
    <x v="0"/>
    <s v="StayNest Valley"/>
    <x v="4"/>
    <s v="Resort"/>
    <n v="65"/>
    <x v="0"/>
    <s v="Retention"/>
    <d v="2025-05-15T00:00:00"/>
    <s v="No"/>
    <s v="No"/>
    <s v="Peak"/>
    <x v="1"/>
    <n v="0"/>
    <s v="0–7 days"/>
  </r>
  <r>
    <s v="B000328"/>
    <s v="G00109"/>
    <s v="H002"/>
    <s v="CH04"/>
    <d v="2026-09-02T00:00:00"/>
    <d v="2026-11-01T00:00:00"/>
    <x v="0"/>
    <n v="4330"/>
    <x v="2"/>
    <b v="0"/>
    <x v="1"/>
    <x v="4"/>
    <n v="2026"/>
    <n v="6"/>
    <n v="9"/>
    <n v="2026"/>
    <n v="2"/>
    <s v="Yes"/>
    <x v="1"/>
    <s v="United States"/>
    <x v="0"/>
    <s v="StayNest Central"/>
    <x v="0"/>
    <s v="Business"/>
    <n v="150"/>
    <x v="4"/>
    <s v="Partner"/>
    <d v="2026-11-01T00:00:00"/>
    <s v="Yes"/>
    <s v="No"/>
    <s v="Off-Peak"/>
    <x v="1"/>
    <n v="0"/>
    <s v="31–90 days"/>
  </r>
  <r>
    <s v="B000329"/>
    <s v="G00333"/>
    <s v="H002"/>
    <s v="CH06"/>
    <d v="2026-08-13T00:00:00"/>
    <d v="2026-09-12T00:00:00"/>
    <x v="3"/>
    <n v="11358"/>
    <x v="0"/>
    <b v="0"/>
    <x v="2"/>
    <x v="10"/>
    <n v="2026"/>
    <n v="5"/>
    <n v="8"/>
    <n v="2026"/>
    <n v="3"/>
    <s v="Yes"/>
    <x v="1"/>
    <s v="India"/>
    <x v="0"/>
    <s v="StayNest Central"/>
    <x v="0"/>
    <s v="Business"/>
    <n v="150"/>
    <x v="0"/>
    <s v="Retention"/>
    <d v="2026-09-12T00:00:00"/>
    <s v="Yes"/>
    <s v="No"/>
    <s v="Shoulder"/>
    <x v="1"/>
    <n v="0"/>
    <s v="8–30 days"/>
  </r>
  <r>
    <s v="B000330"/>
    <s v="G00426"/>
    <s v="H003"/>
    <s v="CH06"/>
    <d v="2026-01-14T00:00:00"/>
    <d v="2026-02-13T00:00:00"/>
    <x v="1"/>
    <n v="5546"/>
    <x v="0"/>
    <b v="0"/>
    <x v="2"/>
    <x v="0"/>
    <n v="2026"/>
    <n v="4"/>
    <n v="1"/>
    <n v="2026"/>
    <n v="2"/>
    <s v="No"/>
    <x v="3"/>
    <s v="India"/>
    <x v="0"/>
    <s v="StayNest Hills"/>
    <x v="5"/>
    <s v="Resort"/>
    <n v="80"/>
    <x v="0"/>
    <s v="Retention"/>
    <d v="2026-02-13T00:00:00"/>
    <s v="No"/>
    <s v="No"/>
    <s v="Shoulder"/>
    <x v="1"/>
    <n v="0"/>
    <s v="8–30 days"/>
  </r>
  <r>
    <s v="B000331"/>
    <s v="G00162"/>
    <s v="H001"/>
    <s v="CH04"/>
    <d v="2025-03-24T00:00:00"/>
    <d v="2025-03-25T00:00:00"/>
    <x v="0"/>
    <n v="5931"/>
    <x v="0"/>
    <b v="0"/>
    <x v="7"/>
    <x v="3"/>
    <n v="2025"/>
    <n v="1"/>
    <n v="3"/>
    <n v="2025"/>
    <n v="0"/>
    <s v="No"/>
    <x v="0"/>
    <s v="Singapore"/>
    <x v="0"/>
    <s v="StayNest Marina"/>
    <x v="1"/>
    <s v="Business"/>
    <n v="120"/>
    <x v="4"/>
    <s v="Partner"/>
    <d v="2025-03-25T00:00:00"/>
    <s v="No"/>
    <s v="No"/>
    <s v="Shoulder"/>
    <x v="1"/>
    <n v="0"/>
    <s v="0–7 days"/>
  </r>
  <r>
    <s v="B000332"/>
    <s v="G00130"/>
    <s v="H004"/>
    <s v="CH02"/>
    <d v="2026-10-18T00:00:00"/>
    <d v="2026-10-25T00:00:00"/>
    <x v="1"/>
    <n v="7833"/>
    <x v="0"/>
    <b v="0"/>
    <x v="4"/>
    <x v="11"/>
    <n v="2026"/>
    <n v="6"/>
    <n v="10"/>
    <n v="2026"/>
    <n v="6"/>
    <s v="Yes"/>
    <x v="3"/>
    <s v="Germany"/>
    <x v="0"/>
    <s v="StayNest Lakeview"/>
    <x v="2"/>
    <s v="Resort"/>
    <n v="75"/>
    <x v="3"/>
    <s v="App Push"/>
    <d v="2026-10-25T00:00:00"/>
    <s v="Yes"/>
    <s v="No"/>
    <s v="Shoulder"/>
    <x v="1"/>
    <n v="0"/>
    <s v="0–7 days"/>
  </r>
  <r>
    <s v="B000333"/>
    <s v="G00091"/>
    <s v="H011"/>
    <s v="CH03"/>
    <d v="2025-12-23T00:00:00"/>
    <d v="2026-01-06T00:00:00"/>
    <x v="0"/>
    <n v="5671"/>
    <x v="0"/>
    <b v="0"/>
    <x v="3"/>
    <x v="6"/>
    <n v="2026"/>
    <n v="1"/>
    <n v="12"/>
    <n v="2025"/>
    <n v="1"/>
    <s v="No"/>
    <x v="0"/>
    <s v="India"/>
    <x v="0"/>
    <s v="StayNest Grand"/>
    <x v="8"/>
    <s v="Business"/>
    <n v="110"/>
    <x v="1"/>
    <s v="OTA Promo"/>
    <d v="2026-01-06T00:00:00"/>
    <s v="No"/>
    <s v="No"/>
    <s v="Off-Peak"/>
    <x v="1"/>
    <n v="0"/>
    <s v="8–30 days"/>
  </r>
  <r>
    <s v="B000334"/>
    <s v="G00225"/>
    <s v="H008"/>
    <s v="CH06"/>
    <d v="2026-11-07T00:00:00"/>
    <d v="2026-11-14T00:00:00"/>
    <x v="2"/>
    <n v="2430"/>
    <x v="0"/>
    <b v="0"/>
    <x v="4"/>
    <x v="4"/>
    <n v="2026"/>
    <n v="5"/>
    <n v="11"/>
    <n v="2026"/>
    <n v="5"/>
    <s v="Yes"/>
    <x v="2"/>
    <s v="India"/>
    <x v="0"/>
    <s v="StayNest Palace"/>
    <x v="7"/>
    <s v="Heritage"/>
    <n v="85"/>
    <x v="0"/>
    <s v="Retention"/>
    <d v="2026-11-14T00:00:00"/>
    <s v="Yes"/>
    <s v="No"/>
    <s v="Off-Peak"/>
    <x v="1"/>
    <n v="0"/>
    <s v="0–7 days"/>
  </r>
  <r>
    <s v="B000335"/>
    <s v="G00373"/>
    <s v="H005"/>
    <s v="CH02"/>
    <d v="2026-03-22T00:00:00"/>
    <d v="2026-03-29T00:00:00"/>
    <x v="1"/>
    <n v="5720"/>
    <x v="1"/>
    <b v="0"/>
    <x v="4"/>
    <x v="3"/>
    <n v="2026"/>
    <n v="6"/>
    <n v="3"/>
    <n v="2026"/>
    <n v="6"/>
    <s v="Yes"/>
    <x v="1"/>
    <s v="United Kingdom"/>
    <x v="0"/>
    <s v="StayNest Heritage"/>
    <x v="11"/>
    <s v="Heritage"/>
    <n v="90"/>
    <x v="3"/>
    <s v="App Push"/>
    <d v="2026-03-29T00:00:00"/>
    <s v="Yes"/>
    <s v="No"/>
    <s v="Shoulder"/>
    <x v="1"/>
    <n v="1"/>
    <s v="0–7 days"/>
  </r>
  <r>
    <s v="B000336"/>
    <s v="G00528"/>
    <s v="H002"/>
    <s v="CH01"/>
    <d v="2025-08-29T00:00:00"/>
    <d v="2025-10-28T00:00:00"/>
    <x v="3"/>
    <n v="8384"/>
    <x v="0"/>
    <b v="0"/>
    <x v="1"/>
    <x v="11"/>
    <n v="2025"/>
    <n v="1"/>
    <n v="8"/>
    <n v="2025"/>
    <n v="4"/>
    <s v="No"/>
    <x v="2"/>
    <s v="India"/>
    <x v="1"/>
    <s v="StayNest Central"/>
    <x v="0"/>
    <s v="Business"/>
    <n v="150"/>
    <x v="5"/>
    <s v="Direct"/>
    <d v="2025-10-28T00:00:00"/>
    <s v="No"/>
    <s v="No"/>
    <s v="Shoulder"/>
    <x v="1"/>
    <n v="0"/>
    <s v="31–90 days"/>
  </r>
  <r>
    <s v="B000337"/>
    <s v="G00423"/>
    <s v="H004"/>
    <s v="CH04"/>
    <d v="2025-08-14T00:00:00"/>
    <d v="2025-08-15T00:00:00"/>
    <x v="1"/>
    <n v="5885"/>
    <x v="0"/>
    <b v="0"/>
    <x v="7"/>
    <x v="7"/>
    <n v="2025"/>
    <n v="4"/>
    <n v="8"/>
    <n v="2025"/>
    <n v="3"/>
    <s v="No"/>
    <x v="3"/>
    <s v="India"/>
    <x v="1"/>
    <s v="StayNest Lakeview"/>
    <x v="2"/>
    <s v="Resort"/>
    <n v="75"/>
    <x v="4"/>
    <s v="Partner"/>
    <d v="2025-08-15T00:00:00"/>
    <s v="No"/>
    <s v="Yes"/>
    <s v="Off-Peak"/>
    <x v="2"/>
    <n v="0"/>
    <s v="0–7 days"/>
  </r>
  <r>
    <s v="B000338"/>
    <s v="G00140"/>
    <s v="H008"/>
    <s v="CH06"/>
    <d v="2025-07-18T00:00:00"/>
    <d v="2025-08-17T00:00:00"/>
    <x v="3"/>
    <n v="6762"/>
    <x v="0"/>
    <b v="0"/>
    <x v="2"/>
    <x v="7"/>
    <n v="2025"/>
    <n v="6"/>
    <n v="7"/>
    <n v="2025"/>
    <n v="4"/>
    <s v="Yes"/>
    <x v="3"/>
    <s v="Singapore"/>
    <x v="1"/>
    <s v="StayNest Palace"/>
    <x v="7"/>
    <s v="Heritage"/>
    <n v="85"/>
    <x v="0"/>
    <s v="Retention"/>
    <d v="2025-08-17T00:00:00"/>
    <s v="Yes"/>
    <s v="No"/>
    <s v="Off-Peak"/>
    <x v="1"/>
    <n v="0"/>
    <s v="8–30 days"/>
  </r>
  <r>
    <s v="B000339"/>
    <s v="G00477"/>
    <s v="H008"/>
    <s v="CH04"/>
    <d v="2025-06-25T00:00:00"/>
    <d v="2025-08-24T00:00:00"/>
    <x v="0"/>
    <n v="4142"/>
    <x v="3"/>
    <b v="0"/>
    <x v="1"/>
    <x v="7"/>
    <n v="2025"/>
    <n v="6"/>
    <n v="6"/>
    <n v="2025"/>
    <n v="2"/>
    <s v="Yes"/>
    <x v="1"/>
    <s v="India"/>
    <x v="0"/>
    <s v="StayNest Palace"/>
    <x v="7"/>
    <s v="Heritage"/>
    <n v="85"/>
    <x v="4"/>
    <s v="Partner"/>
    <d v="2025-08-24T00:00:00"/>
    <s v="Yes"/>
    <s v="No"/>
    <s v="Off-Peak"/>
    <x v="1"/>
    <n v="0"/>
    <s v="31–90 days"/>
  </r>
  <r>
    <s v="B000340"/>
    <s v="G00236"/>
    <s v="H002"/>
    <s v="CH04"/>
    <d v="2026-06-19T00:00:00"/>
    <d v="2026-07-03T00:00:00"/>
    <x v="0"/>
    <n v="5395"/>
    <x v="0"/>
    <b v="0"/>
    <x v="3"/>
    <x v="8"/>
    <n v="2026"/>
    <n v="4"/>
    <n v="6"/>
    <n v="2026"/>
    <n v="4"/>
    <s v="No"/>
    <x v="1"/>
    <s v="United States"/>
    <x v="0"/>
    <s v="StayNest Central"/>
    <x v="0"/>
    <s v="Business"/>
    <n v="150"/>
    <x v="4"/>
    <s v="Partner"/>
    <d v="2026-07-03T00:00:00"/>
    <s v="No"/>
    <s v="No"/>
    <s v="Off-Peak"/>
    <x v="1"/>
    <n v="0"/>
    <s v="8–30 days"/>
  </r>
  <r>
    <s v="B000341"/>
    <s v="G00336"/>
    <s v="H007"/>
    <s v="CH05"/>
    <d v="2025-08-16T00:00:00"/>
    <d v="2025-11-24T00:00:00"/>
    <x v="0"/>
    <n v="3520"/>
    <x v="2"/>
    <b v="0"/>
    <x v="0"/>
    <x v="4"/>
    <n v="2025"/>
    <n v="0"/>
    <n v="8"/>
    <n v="2025"/>
    <n v="5"/>
    <s v="No"/>
    <x v="3"/>
    <s v="India"/>
    <x v="1"/>
    <s v="StayNest Tech Park"/>
    <x v="6"/>
    <s v="Business"/>
    <n v="140"/>
    <x v="2"/>
    <s v="Corporate Rate"/>
    <d v="2025-11-24T00:00:00"/>
    <s v="No"/>
    <s v="No"/>
    <s v="Off-Peak"/>
    <x v="1"/>
    <n v="0"/>
    <s v="91–180 days"/>
  </r>
  <r>
    <s v="B000342"/>
    <s v="G00035"/>
    <s v="H007"/>
    <s v="CH05"/>
    <d v="2026-02-08T00:00:00"/>
    <d v="2026-02-22T00:00:00"/>
    <x v="2"/>
    <n v="3214"/>
    <x v="0"/>
    <b v="0"/>
    <x v="3"/>
    <x v="0"/>
    <n v="2026"/>
    <n v="6"/>
    <n v="2"/>
    <n v="2026"/>
    <n v="6"/>
    <s v="Yes"/>
    <x v="0"/>
    <s v="India"/>
    <x v="1"/>
    <s v="StayNest Tech Park"/>
    <x v="6"/>
    <s v="Business"/>
    <n v="140"/>
    <x v="2"/>
    <s v="Corporate Rate"/>
    <d v="2026-02-22T00:00:00"/>
    <s v="Yes"/>
    <s v="No"/>
    <s v="Shoulder"/>
    <x v="1"/>
    <n v="0"/>
    <s v="8–30 days"/>
  </r>
  <r>
    <s v="B000343"/>
    <s v="G00224"/>
    <s v="H003"/>
    <s v="CH03"/>
    <d v="2025-10-30T00:00:00"/>
    <d v="2025-11-06T00:00:00"/>
    <x v="2"/>
    <n v="3182"/>
    <x v="0"/>
    <b v="0"/>
    <x v="4"/>
    <x v="4"/>
    <n v="2025"/>
    <n v="3"/>
    <n v="10"/>
    <n v="2025"/>
    <n v="3"/>
    <s v="No"/>
    <x v="3"/>
    <s v="India"/>
    <x v="0"/>
    <s v="StayNest Hills"/>
    <x v="5"/>
    <s v="Resort"/>
    <n v="80"/>
    <x v="1"/>
    <s v="OTA Promo"/>
    <d v="2025-11-06T00:00:00"/>
    <s v="No"/>
    <s v="No"/>
    <s v="Off-Peak"/>
    <x v="1"/>
    <n v="0"/>
    <s v="0–7 days"/>
  </r>
  <r>
    <s v="B000344"/>
    <s v="G00466"/>
    <s v="H008"/>
    <s v="CH02"/>
    <d v="2026-02-20T00:00:00"/>
    <d v="2026-02-27T00:00:00"/>
    <x v="3"/>
    <n v="11638"/>
    <x v="0"/>
    <b v="0"/>
    <x v="4"/>
    <x v="0"/>
    <n v="2026"/>
    <n v="4"/>
    <n v="2"/>
    <n v="2026"/>
    <n v="4"/>
    <s v="No"/>
    <x v="3"/>
    <s v="United States"/>
    <x v="0"/>
    <s v="StayNest Palace"/>
    <x v="7"/>
    <s v="Heritage"/>
    <n v="85"/>
    <x v="3"/>
    <s v="App Push"/>
    <d v="2026-02-27T00:00:00"/>
    <s v="No"/>
    <s v="No"/>
    <s v="Shoulder"/>
    <x v="1"/>
    <n v="0"/>
    <s v="0–7 days"/>
  </r>
  <r>
    <s v="B000345"/>
    <s v="G00304"/>
    <s v="H007"/>
    <s v="CH03"/>
    <d v="2026-09-20T00:00:00"/>
    <d v="2026-10-20T00:00:00"/>
    <x v="0"/>
    <n v="4875"/>
    <x v="2"/>
    <b v="0"/>
    <x v="2"/>
    <x v="11"/>
    <n v="2026"/>
    <n v="1"/>
    <n v="9"/>
    <n v="2026"/>
    <n v="6"/>
    <s v="No"/>
    <x v="3"/>
    <s v="India"/>
    <x v="0"/>
    <s v="StayNest Tech Park"/>
    <x v="6"/>
    <s v="Business"/>
    <n v="140"/>
    <x v="1"/>
    <s v="OTA Promo"/>
    <d v="2026-10-20T00:00:00"/>
    <s v="No"/>
    <s v="No"/>
    <s v="Shoulder"/>
    <x v="1"/>
    <n v="0"/>
    <s v="8–30 days"/>
  </r>
  <r>
    <s v="B000346"/>
    <s v="G00114"/>
    <s v="H007"/>
    <s v="CH03"/>
    <d v="2026-04-22T00:00:00"/>
    <d v="2026-05-22T00:00:00"/>
    <x v="3"/>
    <n v="7048"/>
    <x v="1"/>
    <b v="0"/>
    <x v="2"/>
    <x v="9"/>
    <n v="2026"/>
    <n v="4"/>
    <n v="4"/>
    <n v="2026"/>
    <n v="2"/>
    <s v="No"/>
    <x v="1"/>
    <s v="United Kingdom"/>
    <x v="1"/>
    <s v="StayNest Tech Park"/>
    <x v="6"/>
    <s v="Business"/>
    <n v="140"/>
    <x v="1"/>
    <s v="OTA Promo"/>
    <d v="2026-05-22T00:00:00"/>
    <s v="No"/>
    <s v="No"/>
    <s v="Peak"/>
    <x v="1"/>
    <n v="1"/>
    <s v="8–30 days"/>
  </r>
  <r>
    <s v="B000347"/>
    <s v="G00343"/>
    <s v="H004"/>
    <s v="CH05"/>
    <d v="2025-04-27T00:00:00"/>
    <d v="2025-05-27T00:00:00"/>
    <x v="0"/>
    <n v="4944"/>
    <x v="0"/>
    <b v="0"/>
    <x v="2"/>
    <x v="9"/>
    <n v="2025"/>
    <n v="1"/>
    <n v="4"/>
    <n v="2025"/>
    <n v="6"/>
    <s v="No"/>
    <x v="1"/>
    <s v="Singapore"/>
    <x v="1"/>
    <s v="StayNest Lakeview"/>
    <x v="2"/>
    <s v="Resort"/>
    <n v="75"/>
    <x v="2"/>
    <s v="Corporate Rate"/>
    <d v="2025-05-27T00:00:00"/>
    <s v="No"/>
    <s v="No"/>
    <s v="Peak"/>
    <x v="1"/>
    <n v="0"/>
    <s v="8–30 days"/>
  </r>
  <r>
    <s v="B000348"/>
    <s v="G00354"/>
    <s v="H008"/>
    <s v="CH04"/>
    <d v="2026-05-29T00:00:00"/>
    <d v="2026-06-28T00:00:00"/>
    <x v="2"/>
    <n v="3653"/>
    <x v="2"/>
    <b v="0"/>
    <x v="2"/>
    <x v="1"/>
    <n v="2026"/>
    <n v="6"/>
    <n v="5"/>
    <n v="2026"/>
    <n v="4"/>
    <s v="Yes"/>
    <x v="3"/>
    <s v="UAE"/>
    <x v="1"/>
    <s v="StayNest Palace"/>
    <x v="7"/>
    <s v="Heritage"/>
    <n v="85"/>
    <x v="4"/>
    <s v="Partner"/>
    <d v="2026-06-28T00:00:00"/>
    <s v="Yes"/>
    <s v="No"/>
    <s v="Shoulder"/>
    <x v="1"/>
    <n v="0"/>
    <s v="8–30 days"/>
  </r>
  <r>
    <s v="B000349"/>
    <s v="G00068"/>
    <s v="H004"/>
    <s v="CH04"/>
    <d v="2025-03-31T00:00:00"/>
    <d v="2025-04-03T00:00:00"/>
    <x v="0"/>
    <n v="3815"/>
    <x v="0"/>
    <b v="0"/>
    <x v="6"/>
    <x v="2"/>
    <n v="2025"/>
    <n v="3"/>
    <n v="3"/>
    <n v="2025"/>
    <n v="0"/>
    <s v="No"/>
    <x v="2"/>
    <s v="Singapore"/>
    <x v="1"/>
    <s v="StayNest Lakeview"/>
    <x v="2"/>
    <s v="Resort"/>
    <n v="75"/>
    <x v="4"/>
    <s v="Partner"/>
    <d v="2025-04-03T00:00:00"/>
    <s v="No"/>
    <s v="No"/>
    <s v="Peak"/>
    <x v="1"/>
    <n v="0"/>
    <s v="0–7 days"/>
  </r>
  <r>
    <s v="B000350"/>
    <s v="G00210"/>
    <s v="H009"/>
    <s v="CH06"/>
    <d v="2025-01-24T00:00:00"/>
    <d v="2025-01-31T00:00:00"/>
    <x v="0"/>
    <n v="5220"/>
    <x v="0"/>
    <b v="0"/>
    <x v="4"/>
    <x v="6"/>
    <n v="2025"/>
    <n v="4"/>
    <n v="1"/>
    <n v="2025"/>
    <n v="4"/>
    <s v="No"/>
    <x v="1"/>
    <s v="India"/>
    <x v="0"/>
    <s v="StayNest Airport"/>
    <x v="9"/>
    <s v="Business"/>
    <n v="160"/>
    <x v="0"/>
    <s v="Retention"/>
    <d v="2025-01-31T00:00:00"/>
    <s v="No"/>
    <s v="No"/>
    <s v="Off-Peak"/>
    <x v="1"/>
    <n v="0"/>
    <s v="0–7 days"/>
  </r>
  <r>
    <s v="B000351"/>
    <s v="G00238"/>
    <s v="H009"/>
    <s v="CH06"/>
    <d v="2025-12-10T00:00:00"/>
    <d v="2025-12-24T00:00:00"/>
    <x v="3"/>
    <n v="11954"/>
    <x v="0"/>
    <b v="0"/>
    <x v="3"/>
    <x v="5"/>
    <n v="2025"/>
    <n v="2"/>
    <n v="12"/>
    <n v="2025"/>
    <n v="2"/>
    <s v="No"/>
    <x v="0"/>
    <s v="Germany"/>
    <x v="0"/>
    <s v="StayNest Airport"/>
    <x v="9"/>
    <s v="Business"/>
    <n v="160"/>
    <x v="0"/>
    <s v="Retention"/>
    <d v="2025-12-24T00:00:00"/>
    <s v="No"/>
    <s v="No"/>
    <s v="Peak"/>
    <x v="1"/>
    <n v="0"/>
    <s v="8–30 days"/>
  </r>
  <r>
    <s v="B000352"/>
    <s v="G00581"/>
    <s v="H003"/>
    <s v="CH03"/>
    <d v="2025-06-25T00:00:00"/>
    <d v="2025-08-24T00:00:00"/>
    <x v="0"/>
    <n v="4680"/>
    <x v="0"/>
    <b v="0"/>
    <x v="1"/>
    <x v="7"/>
    <n v="2025"/>
    <n v="6"/>
    <n v="6"/>
    <n v="2025"/>
    <n v="2"/>
    <s v="Yes"/>
    <x v="1"/>
    <s v="United States"/>
    <x v="0"/>
    <s v="StayNest Hills"/>
    <x v="5"/>
    <s v="Resort"/>
    <n v="80"/>
    <x v="1"/>
    <s v="OTA Promo"/>
    <d v="2025-08-24T00:00:00"/>
    <s v="Yes"/>
    <s v="No"/>
    <s v="Off-Peak"/>
    <x v="1"/>
    <n v="0"/>
    <s v="31–90 days"/>
  </r>
  <r>
    <s v="B000353"/>
    <s v="G00165"/>
    <s v="H012"/>
    <s v="CH05"/>
    <d v="2025-10-20T00:00:00"/>
    <d v="2025-10-27T00:00:00"/>
    <x v="0"/>
    <n v="4474"/>
    <x v="0"/>
    <b v="0"/>
    <x v="4"/>
    <x v="11"/>
    <n v="2025"/>
    <n v="0"/>
    <n v="10"/>
    <n v="2025"/>
    <n v="0"/>
    <s v="No"/>
    <x v="3"/>
    <s v="India"/>
    <x v="0"/>
    <s v="StayNest Valley"/>
    <x v="4"/>
    <s v="Resort"/>
    <n v="65"/>
    <x v="2"/>
    <s v="Corporate Rate"/>
    <d v="2025-10-27T00:00:00"/>
    <s v="No"/>
    <s v="No"/>
    <s v="Shoulder"/>
    <x v="1"/>
    <n v="0"/>
    <s v="0–7 days"/>
  </r>
  <r>
    <s v="B000354"/>
    <s v="G00379"/>
    <s v="H003"/>
    <s v="CH02"/>
    <d v="2026-07-30T00:00:00"/>
    <d v="2026-09-28T00:00:00"/>
    <x v="3"/>
    <n v="10173"/>
    <x v="0"/>
    <b v="0"/>
    <x v="1"/>
    <x v="10"/>
    <n v="2026"/>
    <n v="0"/>
    <n v="7"/>
    <n v="2026"/>
    <n v="3"/>
    <s v="No"/>
    <x v="2"/>
    <s v="India"/>
    <x v="0"/>
    <s v="StayNest Hills"/>
    <x v="5"/>
    <s v="Resort"/>
    <n v="80"/>
    <x v="3"/>
    <s v="App Push"/>
    <d v="2026-09-28T00:00:00"/>
    <s v="No"/>
    <s v="No"/>
    <s v="Shoulder"/>
    <x v="1"/>
    <n v="0"/>
    <s v="31–90 days"/>
  </r>
  <r>
    <s v="B000355"/>
    <s v="G00026"/>
    <s v="H007"/>
    <s v="CH04"/>
    <d v="2025-05-29T00:00:00"/>
    <d v="2025-10-26T00:00:00"/>
    <x v="3"/>
    <n v="10656"/>
    <x v="1"/>
    <b v="0"/>
    <x v="5"/>
    <x v="11"/>
    <n v="2025"/>
    <n v="6"/>
    <n v="5"/>
    <n v="2025"/>
    <n v="3"/>
    <s v="Yes"/>
    <x v="3"/>
    <s v="UAE"/>
    <x v="0"/>
    <s v="StayNest Tech Park"/>
    <x v="6"/>
    <s v="Business"/>
    <n v="140"/>
    <x v="4"/>
    <s v="Partner"/>
    <d v="2025-10-26T00:00:00"/>
    <s v="Yes"/>
    <s v="No"/>
    <s v="Shoulder"/>
    <x v="1"/>
    <n v="1"/>
    <s v="91–180 days"/>
  </r>
  <r>
    <s v="B000356"/>
    <s v="G00297"/>
    <s v="H010"/>
    <s v="CH06"/>
    <d v="2025-05-31T00:00:00"/>
    <d v="2025-07-30T00:00:00"/>
    <x v="1"/>
    <n v="8687"/>
    <x v="0"/>
    <b v="0"/>
    <x v="1"/>
    <x v="8"/>
    <n v="2025"/>
    <n v="2"/>
    <n v="5"/>
    <n v="2025"/>
    <n v="5"/>
    <s v="No"/>
    <x v="1"/>
    <s v="Unknown"/>
    <x v="0"/>
    <s v="StayNest Garden"/>
    <x v="10"/>
    <s v="Boutique"/>
    <n v="70"/>
    <x v="0"/>
    <s v="Retention"/>
    <d v="2025-07-30T00:00:00"/>
    <s v="No"/>
    <s v="No"/>
    <s v="Off-Peak"/>
    <x v="1"/>
    <n v="0"/>
    <s v="31–90 days"/>
  </r>
  <r>
    <s v="B000357"/>
    <s v="G00026"/>
    <s v="H007"/>
    <s v="CH05"/>
    <d v="2025-08-14T00:00:00"/>
    <d v="2025-08-28T00:00:00"/>
    <x v="2"/>
    <n v="2312"/>
    <x v="2"/>
    <b v="0"/>
    <x v="3"/>
    <x v="7"/>
    <n v="2025"/>
    <n v="3"/>
    <n v="8"/>
    <n v="2025"/>
    <n v="3"/>
    <s v="No"/>
    <x v="3"/>
    <s v="UAE"/>
    <x v="0"/>
    <s v="StayNest Tech Park"/>
    <x v="6"/>
    <s v="Business"/>
    <n v="140"/>
    <x v="2"/>
    <s v="Corporate Rate"/>
    <d v="2025-08-28T00:00:00"/>
    <s v="No"/>
    <s v="No"/>
    <s v="Off-Peak"/>
    <x v="1"/>
    <n v="0"/>
    <s v="8–30 days"/>
  </r>
  <r>
    <s v="B000358"/>
    <s v="G00285"/>
    <s v="H004"/>
    <s v="CH01"/>
    <d v="2025-03-27T00:00:00"/>
    <d v="2025-04-26T00:00:00"/>
    <x v="1"/>
    <n v="5796"/>
    <x v="0"/>
    <b v="0"/>
    <x v="2"/>
    <x v="2"/>
    <n v="2025"/>
    <n v="5"/>
    <n v="3"/>
    <n v="2025"/>
    <n v="3"/>
    <s v="Yes"/>
    <x v="1"/>
    <s v="India"/>
    <x v="0"/>
    <s v="StayNest Lakeview"/>
    <x v="2"/>
    <s v="Resort"/>
    <n v="75"/>
    <x v="5"/>
    <s v="Direct"/>
    <d v="2025-04-26T00:00:00"/>
    <s v="Yes"/>
    <s v="No"/>
    <s v="Peak"/>
    <x v="1"/>
    <n v="0"/>
    <s v="8–30 days"/>
  </r>
  <r>
    <s v="B000359"/>
    <s v="G00058"/>
    <s v="H011"/>
    <s v="CH03"/>
    <d v="2026-02-12T00:00:00"/>
    <d v="2026-02-15T00:00:00"/>
    <x v="1"/>
    <n v="6165"/>
    <x v="1"/>
    <b v="0"/>
    <x v="6"/>
    <x v="0"/>
    <n v="2026"/>
    <n v="6"/>
    <n v="2"/>
    <n v="2026"/>
    <n v="3"/>
    <s v="Yes"/>
    <x v="3"/>
    <s v="India"/>
    <x v="0"/>
    <s v="StayNest Grand"/>
    <x v="8"/>
    <s v="Business"/>
    <n v="110"/>
    <x v="1"/>
    <s v="OTA Promo"/>
    <d v="2026-02-15T00:00:00"/>
    <s v="Yes"/>
    <s v="No"/>
    <s v="Shoulder"/>
    <x v="1"/>
    <n v="1"/>
    <s v="0–7 days"/>
  </r>
  <r>
    <s v="B000360"/>
    <s v="G00457"/>
    <s v="H009"/>
    <s v="CH01"/>
    <d v="2025-08-09T00:00:00"/>
    <d v="2025-10-08T00:00:00"/>
    <x v="1"/>
    <n v="5670"/>
    <x v="0"/>
    <b v="0"/>
    <x v="1"/>
    <x v="11"/>
    <n v="2025"/>
    <n v="2"/>
    <n v="8"/>
    <n v="2025"/>
    <n v="5"/>
    <s v="No"/>
    <x v="3"/>
    <s v="Germany"/>
    <x v="1"/>
    <s v="StayNest Airport"/>
    <x v="9"/>
    <s v="Business"/>
    <n v="160"/>
    <x v="5"/>
    <s v="Direct"/>
    <d v="2025-10-08T00:00:00"/>
    <s v="No"/>
    <s v="No"/>
    <s v="Shoulder"/>
    <x v="1"/>
    <n v="0"/>
    <s v="31–90 days"/>
  </r>
  <r>
    <s v="B000361"/>
    <s v="G00425"/>
    <s v="H003"/>
    <s v="CH05"/>
    <d v="2026-09-05T00:00:00"/>
    <d v="2026-09-08T00:00:00"/>
    <x v="0"/>
    <n v="5651"/>
    <x v="0"/>
    <b v="0"/>
    <x v="6"/>
    <x v="10"/>
    <n v="2026"/>
    <n v="1"/>
    <n v="9"/>
    <n v="2026"/>
    <n v="5"/>
    <s v="No"/>
    <x v="1"/>
    <s v="India"/>
    <x v="0"/>
    <s v="StayNest Hills"/>
    <x v="5"/>
    <s v="Resort"/>
    <n v="80"/>
    <x v="2"/>
    <s v="Corporate Rate"/>
    <d v="2026-09-08T00:00:00"/>
    <s v="No"/>
    <s v="No"/>
    <s v="Shoulder"/>
    <x v="1"/>
    <n v="0"/>
    <s v="0–7 days"/>
  </r>
  <r>
    <s v="B000362"/>
    <s v="G00007"/>
    <s v="H007"/>
    <s v="CH06"/>
    <d v="2025-10-07T00:00:00"/>
    <d v="2025-10-21T00:00:00"/>
    <x v="1"/>
    <n v="5761"/>
    <x v="0"/>
    <b v="0"/>
    <x v="3"/>
    <x v="11"/>
    <n v="2025"/>
    <n v="1"/>
    <n v="10"/>
    <n v="2025"/>
    <n v="1"/>
    <s v="No"/>
    <x v="0"/>
    <s v="India"/>
    <x v="0"/>
    <s v="StayNest Tech Park"/>
    <x v="6"/>
    <s v="Business"/>
    <n v="140"/>
    <x v="0"/>
    <s v="Retention"/>
    <d v="2025-10-21T00:00:00"/>
    <s v="No"/>
    <s v="No"/>
    <s v="Shoulder"/>
    <x v="1"/>
    <n v="0"/>
    <s v="8–30 days"/>
  </r>
  <r>
    <s v="B000363"/>
    <s v="G00310"/>
    <s v="H010"/>
    <s v="CH03"/>
    <d v="2026-05-21T00:00:00"/>
    <d v="2026-06-20T00:00:00"/>
    <x v="1"/>
    <n v="6075"/>
    <x v="0"/>
    <b v="0"/>
    <x v="2"/>
    <x v="1"/>
    <n v="2026"/>
    <n v="5"/>
    <n v="5"/>
    <n v="2026"/>
    <n v="3"/>
    <s v="Yes"/>
    <x v="3"/>
    <s v="United States"/>
    <x v="1"/>
    <s v="StayNest Garden"/>
    <x v="10"/>
    <s v="Boutique"/>
    <n v="70"/>
    <x v="1"/>
    <s v="OTA Promo"/>
    <d v="2026-06-20T00:00:00"/>
    <s v="Yes"/>
    <s v="No"/>
    <s v="Shoulder"/>
    <x v="1"/>
    <n v="0"/>
    <s v="8–30 days"/>
  </r>
  <r>
    <s v="B000364"/>
    <s v="G00128"/>
    <s v="H011"/>
    <s v="CH06"/>
    <d v="2025-10-22T00:00:00"/>
    <d v="2025-11-05T00:00:00"/>
    <x v="1"/>
    <n v="7019"/>
    <x v="1"/>
    <b v="0"/>
    <x v="3"/>
    <x v="4"/>
    <n v="2025"/>
    <n v="2"/>
    <n v="10"/>
    <n v="2025"/>
    <n v="2"/>
    <s v="No"/>
    <x v="1"/>
    <s v="India"/>
    <x v="0"/>
    <s v="StayNest Grand"/>
    <x v="8"/>
    <s v="Business"/>
    <n v="110"/>
    <x v="0"/>
    <s v="Retention"/>
    <d v="2025-11-05T00:00:00"/>
    <s v="No"/>
    <s v="No"/>
    <s v="Off-Peak"/>
    <x v="1"/>
    <n v="1"/>
    <s v="8–30 days"/>
  </r>
  <r>
    <s v="B000365"/>
    <s v="G00371"/>
    <s v="H010"/>
    <s v="CH04"/>
    <d v="2026-08-03T00:00:00"/>
    <d v="2026-08-17T00:00:00"/>
    <x v="3"/>
    <n v="9557"/>
    <x v="1"/>
    <b v="0"/>
    <x v="3"/>
    <x v="7"/>
    <n v="2026"/>
    <n v="0"/>
    <n v="8"/>
    <n v="2026"/>
    <n v="0"/>
    <s v="No"/>
    <x v="3"/>
    <s v="India"/>
    <x v="0"/>
    <s v="StayNest Garden"/>
    <x v="10"/>
    <s v="Boutique"/>
    <n v="70"/>
    <x v="4"/>
    <s v="Partner"/>
    <d v="2026-08-17T00:00:00"/>
    <s v="No"/>
    <s v="No"/>
    <s v="Off-Peak"/>
    <x v="1"/>
    <n v="1"/>
    <s v="8–30 days"/>
  </r>
  <r>
    <s v="B000366"/>
    <s v="G00266"/>
    <s v="H003"/>
    <s v="CH05"/>
    <d v="2025-03-01T00:00:00"/>
    <d v="2025-03-04T00:00:00"/>
    <x v="1"/>
    <n v="6116"/>
    <x v="3"/>
    <b v="0"/>
    <x v="6"/>
    <x v="3"/>
    <n v="2025"/>
    <n v="1"/>
    <n v="3"/>
    <n v="2025"/>
    <n v="5"/>
    <s v="No"/>
    <x v="0"/>
    <s v="India"/>
    <x v="0"/>
    <s v="StayNest Hills"/>
    <x v="5"/>
    <s v="Resort"/>
    <n v="80"/>
    <x v="2"/>
    <s v="Corporate Rate"/>
    <d v="2025-03-04T00:00:00"/>
    <s v="No"/>
    <s v="No"/>
    <s v="Shoulder"/>
    <x v="1"/>
    <n v="0"/>
    <s v="0–7 days"/>
  </r>
  <r>
    <s v="B000367"/>
    <s v="G00050"/>
    <s v="H005"/>
    <s v="CH03"/>
    <d v="2026-06-27T00:00:00"/>
    <d v="2026-07-27T00:00:00"/>
    <x v="2"/>
    <n v="2596"/>
    <x v="2"/>
    <b v="0"/>
    <x v="2"/>
    <x v="8"/>
    <n v="2026"/>
    <n v="0"/>
    <n v="6"/>
    <n v="2026"/>
    <n v="5"/>
    <s v="No"/>
    <x v="0"/>
    <s v="India"/>
    <x v="0"/>
    <s v="StayNest Heritage"/>
    <x v="11"/>
    <s v="Heritage"/>
    <n v="90"/>
    <x v="1"/>
    <s v="OTA Promo"/>
    <d v="2026-07-27T00:00:00"/>
    <s v="No"/>
    <s v="No"/>
    <s v="Off-Peak"/>
    <x v="1"/>
    <n v="0"/>
    <s v="8–30 days"/>
  </r>
  <r>
    <s v="B000368"/>
    <s v="G00309"/>
    <s v="H005"/>
    <s v="CH06"/>
    <d v="2026-01-07T00:00:00"/>
    <d v="2026-01-10T00:00:00"/>
    <x v="3"/>
    <n v="10744"/>
    <x v="0"/>
    <b v="0"/>
    <x v="6"/>
    <x v="6"/>
    <n v="2026"/>
    <n v="5"/>
    <n v="1"/>
    <n v="2026"/>
    <n v="2"/>
    <s v="Yes"/>
    <x v="0"/>
    <s v="India"/>
    <x v="0"/>
    <s v="StayNest Heritage"/>
    <x v="11"/>
    <s v="Heritage"/>
    <n v="90"/>
    <x v="0"/>
    <s v="Retention"/>
    <d v="2026-01-10T00:00:00"/>
    <s v="Yes"/>
    <s v="No"/>
    <s v="Off-Peak"/>
    <x v="1"/>
    <n v="0"/>
    <s v="0–7 days"/>
  </r>
  <r>
    <s v="B000369"/>
    <s v="G00167"/>
    <s v="H002"/>
    <s v="CH02"/>
    <d v="2025-06-08T00:00:00"/>
    <d v="2025-07-08T00:00:00"/>
    <x v="0"/>
    <n v="5653"/>
    <x v="0"/>
    <b v="0"/>
    <x v="2"/>
    <x v="8"/>
    <n v="2025"/>
    <n v="1"/>
    <n v="6"/>
    <n v="2025"/>
    <n v="6"/>
    <s v="No"/>
    <x v="3"/>
    <s v="India"/>
    <x v="0"/>
    <s v="StayNest Central"/>
    <x v="0"/>
    <s v="Business"/>
    <n v="150"/>
    <x v="3"/>
    <s v="App Push"/>
    <d v="2025-07-08T00:00:00"/>
    <s v="No"/>
    <s v="No"/>
    <s v="Off-Peak"/>
    <x v="1"/>
    <n v="0"/>
    <s v="8–30 days"/>
  </r>
  <r>
    <s v="B000370"/>
    <s v="G00472"/>
    <s v="H002"/>
    <s v="CH01"/>
    <d v="2025-05-15T00:00:00"/>
    <d v="2025-10-12T00:00:00"/>
    <x v="1"/>
    <n v="8346"/>
    <x v="0"/>
    <b v="0"/>
    <x v="5"/>
    <x v="11"/>
    <n v="2025"/>
    <n v="6"/>
    <n v="5"/>
    <n v="2025"/>
    <n v="3"/>
    <s v="Yes"/>
    <x v="3"/>
    <s v="India"/>
    <x v="0"/>
    <s v="StayNest Central"/>
    <x v="0"/>
    <s v="Business"/>
    <n v="150"/>
    <x v="5"/>
    <s v="Direct"/>
    <d v="2025-10-12T00:00:00"/>
    <s v="Yes"/>
    <s v="No"/>
    <s v="Shoulder"/>
    <x v="1"/>
    <n v="0"/>
    <s v="91–180 days"/>
  </r>
  <r>
    <s v="B000371"/>
    <s v="G00351"/>
    <s v="H003"/>
    <s v="CH06"/>
    <d v="2025-11-08T00:00:00"/>
    <d v="2025-11-09T00:00:00"/>
    <x v="2"/>
    <n v="2463"/>
    <x v="0"/>
    <b v="0"/>
    <x v="7"/>
    <x v="4"/>
    <n v="2025"/>
    <n v="6"/>
    <n v="11"/>
    <n v="2025"/>
    <n v="5"/>
    <s v="Yes"/>
    <x v="0"/>
    <s v="Singapore"/>
    <x v="0"/>
    <s v="StayNest Hills"/>
    <x v="5"/>
    <s v="Resort"/>
    <n v="80"/>
    <x v="0"/>
    <s v="Retention"/>
    <d v="2025-11-09T00:00:00"/>
    <s v="Yes"/>
    <s v="No"/>
    <s v="Off-Peak"/>
    <x v="1"/>
    <n v="0"/>
    <s v="0–7 days"/>
  </r>
  <r>
    <s v="B000372"/>
    <s v="G00115"/>
    <s v="H002"/>
    <s v="CH01"/>
    <d v="2026-05-11T00:00:00"/>
    <d v="2026-07-10T00:00:00"/>
    <x v="2"/>
    <n v="2420"/>
    <x v="2"/>
    <b v="0"/>
    <x v="1"/>
    <x v="8"/>
    <n v="2026"/>
    <n v="4"/>
    <n v="5"/>
    <n v="2026"/>
    <n v="0"/>
    <s v="No"/>
    <x v="1"/>
    <s v="India"/>
    <x v="0"/>
    <s v="StayNest Central"/>
    <x v="0"/>
    <s v="Business"/>
    <n v="150"/>
    <x v="5"/>
    <s v="Direct"/>
    <d v="2026-07-10T00:00:00"/>
    <s v="No"/>
    <s v="No"/>
    <s v="Off-Peak"/>
    <x v="1"/>
    <n v="0"/>
    <s v="31–90 days"/>
  </r>
  <r>
    <s v="B000373"/>
    <s v="G00045"/>
    <s v="H002"/>
    <s v="CH03"/>
    <d v="2026-11-15T00:00:00"/>
    <d v="2026-11-16T00:00:00"/>
    <x v="2"/>
    <n v="4084"/>
    <x v="1"/>
    <b v="0"/>
    <x v="7"/>
    <x v="4"/>
    <n v="2026"/>
    <n v="0"/>
    <n v="11"/>
    <n v="2026"/>
    <n v="6"/>
    <s v="No"/>
    <x v="2"/>
    <s v="Germany"/>
    <x v="1"/>
    <s v="StayNest Central"/>
    <x v="0"/>
    <s v="Business"/>
    <n v="150"/>
    <x v="1"/>
    <s v="OTA Promo"/>
    <d v="2026-11-16T00:00:00"/>
    <s v="No"/>
    <s v="No"/>
    <s v="Off-Peak"/>
    <x v="1"/>
    <n v="1"/>
    <s v="0–7 days"/>
  </r>
  <r>
    <s v="B000374"/>
    <s v="G00360"/>
    <s v="H001"/>
    <s v="CH01"/>
    <d v="2025-05-30T00:00:00"/>
    <d v="2025-09-07T00:00:00"/>
    <x v="3"/>
    <n v="7815"/>
    <x v="0"/>
    <b v="0"/>
    <x v="0"/>
    <x v="10"/>
    <n v="2025"/>
    <n v="6"/>
    <n v="5"/>
    <n v="2025"/>
    <n v="4"/>
    <s v="Yes"/>
    <x v="0"/>
    <s v="United States"/>
    <x v="1"/>
    <s v="StayNest Marina"/>
    <x v="1"/>
    <s v="Business"/>
    <n v="120"/>
    <x v="5"/>
    <s v="Direct"/>
    <d v="2025-09-07T00:00:00"/>
    <s v="Yes"/>
    <s v="No"/>
    <s v="Shoulder"/>
    <x v="1"/>
    <n v="0"/>
    <s v="91–180 days"/>
  </r>
  <r>
    <s v="B000375"/>
    <s v="G00584"/>
    <s v="H002"/>
    <s v="CH01"/>
    <d v="2026-08-16T00:00:00"/>
    <d v="2026-10-15T00:00:00"/>
    <x v="0"/>
    <n v="4654"/>
    <x v="1"/>
    <b v="0"/>
    <x v="1"/>
    <x v="11"/>
    <n v="2026"/>
    <n v="3"/>
    <n v="8"/>
    <n v="2026"/>
    <n v="6"/>
    <s v="No"/>
    <x v="1"/>
    <s v="India"/>
    <x v="0"/>
    <s v="StayNest Central"/>
    <x v="0"/>
    <s v="Business"/>
    <n v="150"/>
    <x v="5"/>
    <s v="Direct"/>
    <d v="2026-10-15T00:00:00"/>
    <s v="No"/>
    <s v="No"/>
    <s v="Shoulder"/>
    <x v="1"/>
    <n v="1"/>
    <s v="31–90 days"/>
  </r>
  <r>
    <s v="B000376"/>
    <s v="G00102"/>
    <s v="H004"/>
    <s v="CH05"/>
    <d v="2026-05-02T00:00:00"/>
    <d v="2026-05-16T00:00:00"/>
    <x v="0"/>
    <n v="3939"/>
    <x v="0"/>
    <b v="0"/>
    <x v="3"/>
    <x v="9"/>
    <n v="2026"/>
    <n v="5"/>
    <n v="5"/>
    <n v="2026"/>
    <n v="5"/>
    <s v="Yes"/>
    <x v="3"/>
    <s v="India"/>
    <x v="1"/>
    <s v="StayNest Lakeview"/>
    <x v="2"/>
    <s v="Resort"/>
    <n v="75"/>
    <x v="2"/>
    <s v="Corporate Rate"/>
    <d v="2026-05-16T00:00:00"/>
    <s v="Yes"/>
    <s v="No"/>
    <s v="Peak"/>
    <x v="1"/>
    <n v="0"/>
    <s v="8–30 days"/>
  </r>
  <r>
    <s v="B000377"/>
    <s v="G00234"/>
    <s v="H007"/>
    <s v="CH01"/>
    <d v="2025-11-18T00:00:00"/>
    <d v="2025-11-21T00:00:00"/>
    <x v="2"/>
    <n v="2478"/>
    <x v="0"/>
    <b v="0"/>
    <x v="6"/>
    <x v="4"/>
    <n v="2025"/>
    <n v="4"/>
    <n v="11"/>
    <n v="2025"/>
    <n v="1"/>
    <s v="No"/>
    <x v="3"/>
    <s v="India"/>
    <x v="0"/>
    <s v="StayNest Tech Park"/>
    <x v="6"/>
    <s v="Business"/>
    <n v="140"/>
    <x v="5"/>
    <s v="Direct"/>
    <d v="2025-11-21T00:00:00"/>
    <s v="No"/>
    <s v="No"/>
    <s v="Off-Peak"/>
    <x v="1"/>
    <n v="0"/>
    <s v="0–7 days"/>
  </r>
  <r>
    <s v="B000378"/>
    <s v="G00506"/>
    <s v="H002"/>
    <s v="CH04"/>
    <d v="2025-10-18T00:00:00"/>
    <d v="2025-11-01T00:00:00"/>
    <x v="3"/>
    <n v="9836"/>
    <x v="2"/>
    <b v="0"/>
    <x v="3"/>
    <x v="4"/>
    <n v="2025"/>
    <n v="5"/>
    <n v="10"/>
    <n v="2025"/>
    <n v="5"/>
    <s v="Yes"/>
    <x v="0"/>
    <s v="India"/>
    <x v="0"/>
    <s v="StayNest Central"/>
    <x v="0"/>
    <s v="Business"/>
    <n v="150"/>
    <x v="4"/>
    <s v="Partner"/>
    <d v="2025-11-01T00:00:00"/>
    <s v="Yes"/>
    <s v="No"/>
    <s v="Off-Peak"/>
    <x v="1"/>
    <n v="0"/>
    <s v="8–30 days"/>
  </r>
  <r>
    <s v="B000379"/>
    <s v="G00488"/>
    <s v="H011"/>
    <s v="CH03"/>
    <d v="2025-07-03T00:00:00"/>
    <d v="2025-07-04T00:00:00"/>
    <x v="1"/>
    <n v="7697"/>
    <x v="1"/>
    <b v="0"/>
    <x v="7"/>
    <x v="8"/>
    <n v="2025"/>
    <n v="4"/>
    <n v="7"/>
    <n v="2025"/>
    <n v="3"/>
    <s v="No"/>
    <x v="0"/>
    <s v="Singapore"/>
    <x v="0"/>
    <s v="StayNest Grand"/>
    <x v="8"/>
    <s v="Business"/>
    <n v="110"/>
    <x v="1"/>
    <s v="OTA Promo"/>
    <d v="2025-07-04T00:00:00"/>
    <s v="No"/>
    <s v="No"/>
    <s v="Off-Peak"/>
    <x v="1"/>
    <n v="1"/>
    <s v="0–7 days"/>
  </r>
  <r>
    <s v="B000380"/>
    <s v="G00405"/>
    <s v="H007"/>
    <s v="CH06"/>
    <d v="2026-08-28T00:00:00"/>
    <d v="2027-04-05T00:00:00"/>
    <x v="0"/>
    <n v="4315"/>
    <x v="0"/>
    <b v="0"/>
    <x v="8"/>
    <x v="2"/>
    <n v="2027"/>
    <n v="0"/>
    <n v="8"/>
    <n v="2026"/>
    <n v="4"/>
    <s v="No"/>
    <x v="2"/>
    <s v="India"/>
    <x v="0"/>
    <s v="StayNest Tech Park"/>
    <x v="6"/>
    <s v="Business"/>
    <n v="140"/>
    <x v="0"/>
    <s v="Retention"/>
    <m/>
    <s v="Unknown"/>
    <s v="Unknown"/>
    <s v="Unknown"/>
    <x v="0"/>
    <n v="0"/>
    <s v="181+ days"/>
  </r>
  <r>
    <s v="B000381"/>
    <s v="G00435"/>
    <s v="H012"/>
    <s v="CH04"/>
    <d v="2025-10-13T00:00:00"/>
    <d v="2025-12-12T00:00:00"/>
    <x v="3"/>
    <n v="11961"/>
    <x v="0"/>
    <b v="0"/>
    <x v="1"/>
    <x v="5"/>
    <n v="2025"/>
    <n v="4"/>
    <n v="10"/>
    <n v="2025"/>
    <n v="0"/>
    <s v="No"/>
    <x v="0"/>
    <s v="United States"/>
    <x v="0"/>
    <s v="StayNest Valley"/>
    <x v="4"/>
    <s v="Resort"/>
    <n v="65"/>
    <x v="4"/>
    <s v="Partner"/>
    <d v="2025-12-12T00:00:00"/>
    <s v="No"/>
    <s v="No"/>
    <s v="Peak"/>
    <x v="1"/>
    <n v="0"/>
    <s v="31–90 days"/>
  </r>
  <r>
    <s v="B000382"/>
    <s v="G00151"/>
    <s v="H008"/>
    <s v="CH01"/>
    <d v="2025-05-06T00:00:00"/>
    <d v="2025-05-13T00:00:00"/>
    <x v="1"/>
    <n v="5407"/>
    <x v="0"/>
    <b v="0"/>
    <x v="4"/>
    <x v="9"/>
    <n v="2025"/>
    <n v="1"/>
    <n v="5"/>
    <n v="2025"/>
    <n v="1"/>
    <s v="No"/>
    <x v="2"/>
    <s v="United States"/>
    <x v="0"/>
    <s v="StayNest Palace"/>
    <x v="7"/>
    <s v="Heritage"/>
    <n v="85"/>
    <x v="5"/>
    <s v="Direct"/>
    <d v="2025-05-13T00:00:00"/>
    <s v="No"/>
    <s v="No"/>
    <s v="Peak"/>
    <x v="1"/>
    <n v="0"/>
    <s v="0–7 days"/>
  </r>
  <r>
    <s v="B000384"/>
    <s v="G00207"/>
    <s v="H005"/>
    <s v="CH06"/>
    <d v="2026-05-25T00:00:00"/>
    <d v="2026-06-24T00:00:00"/>
    <x v="3"/>
    <n v="10977"/>
    <x v="1"/>
    <b v="0"/>
    <x v="2"/>
    <x v="1"/>
    <n v="2026"/>
    <n v="2"/>
    <n v="5"/>
    <n v="2026"/>
    <n v="0"/>
    <s v="No"/>
    <x v="0"/>
    <s v="India"/>
    <x v="1"/>
    <s v="StayNest Heritage"/>
    <x v="11"/>
    <s v="Heritage"/>
    <n v="90"/>
    <x v="0"/>
    <s v="Retention"/>
    <d v="2026-06-24T00:00:00"/>
    <s v="No"/>
    <s v="No"/>
    <s v="Shoulder"/>
    <x v="1"/>
    <n v="1"/>
    <s v="8–30 days"/>
  </r>
  <r>
    <s v="B000385"/>
    <s v="G00441"/>
    <s v="H002"/>
    <s v="CH04"/>
    <d v="2026-04-06T00:00:00"/>
    <d v="2026-04-13T00:00:00"/>
    <x v="1"/>
    <n v="5724"/>
    <x v="0"/>
    <b v="0"/>
    <x v="4"/>
    <x v="2"/>
    <n v="2026"/>
    <n v="0"/>
    <n v="4"/>
    <n v="2026"/>
    <n v="0"/>
    <s v="No"/>
    <x v="0"/>
    <s v="UAE"/>
    <x v="1"/>
    <s v="StayNest Central"/>
    <x v="0"/>
    <s v="Business"/>
    <n v="150"/>
    <x v="4"/>
    <s v="Partner"/>
    <d v="2026-04-13T00:00:00"/>
    <s v="No"/>
    <s v="No"/>
    <s v="Peak"/>
    <x v="1"/>
    <n v="0"/>
    <s v="0–7 days"/>
  </r>
  <r>
    <s v="B000386"/>
    <s v="G00169"/>
    <s v="H008"/>
    <s v="CH04"/>
    <d v="2025-05-18T00:00:00"/>
    <d v="2025-05-25T00:00:00"/>
    <x v="1"/>
    <n v="7764"/>
    <x v="0"/>
    <b v="0"/>
    <x v="4"/>
    <x v="9"/>
    <n v="2025"/>
    <n v="6"/>
    <n v="5"/>
    <n v="2025"/>
    <n v="6"/>
    <s v="Yes"/>
    <x v="1"/>
    <s v="India"/>
    <x v="1"/>
    <s v="StayNest Palace"/>
    <x v="7"/>
    <s v="Heritage"/>
    <n v="85"/>
    <x v="4"/>
    <s v="Partner"/>
    <d v="2025-05-25T00:00:00"/>
    <s v="Yes"/>
    <s v="No"/>
    <s v="Peak"/>
    <x v="1"/>
    <n v="0"/>
    <s v="0–7 days"/>
  </r>
  <r>
    <s v="B000387"/>
    <s v="G00482"/>
    <s v="H008"/>
    <s v="CH05"/>
    <d v="2025-06-10T00:00:00"/>
    <d v="2025-07-10T00:00:00"/>
    <x v="1"/>
    <n v="7526"/>
    <x v="0"/>
    <b v="0"/>
    <x v="2"/>
    <x v="8"/>
    <n v="2025"/>
    <n v="3"/>
    <n v="6"/>
    <n v="2025"/>
    <n v="1"/>
    <s v="No"/>
    <x v="0"/>
    <s v="India"/>
    <x v="0"/>
    <s v="StayNest Palace"/>
    <x v="7"/>
    <s v="Heritage"/>
    <n v="85"/>
    <x v="2"/>
    <s v="Corporate Rate"/>
    <d v="2025-07-10T00:00:00"/>
    <s v="No"/>
    <s v="No"/>
    <s v="Off-Peak"/>
    <x v="1"/>
    <n v="0"/>
    <s v="8–30 days"/>
  </r>
  <r>
    <s v="B000388"/>
    <s v="G00063"/>
    <s v="H001"/>
    <s v="CH05"/>
    <d v="2025-02-16T00:00:00"/>
    <d v="2025-02-19T00:00:00"/>
    <x v="3"/>
    <n v="6720"/>
    <x v="0"/>
    <b v="0"/>
    <x v="6"/>
    <x v="0"/>
    <n v="2025"/>
    <n v="2"/>
    <n v="2"/>
    <n v="2025"/>
    <n v="6"/>
    <s v="No"/>
    <x v="2"/>
    <s v="India"/>
    <x v="1"/>
    <s v="StayNest Marina"/>
    <x v="1"/>
    <s v="Business"/>
    <n v="120"/>
    <x v="2"/>
    <s v="Corporate Rate"/>
    <d v="2025-02-19T00:00:00"/>
    <s v="No"/>
    <s v="No"/>
    <s v="Shoulder"/>
    <x v="1"/>
    <n v="0"/>
    <s v="0–7 days"/>
  </r>
  <r>
    <s v="B000389"/>
    <s v="G00354"/>
    <s v="H006"/>
    <s v="CH04"/>
    <d v="2025-12-26T00:00:00"/>
    <d v="2025-12-27T00:00:00"/>
    <x v="0"/>
    <n v="4778"/>
    <x v="0"/>
    <b v="0"/>
    <x v="7"/>
    <x v="5"/>
    <n v="2025"/>
    <n v="5"/>
    <n v="12"/>
    <n v="2025"/>
    <n v="4"/>
    <s v="Yes"/>
    <x v="3"/>
    <s v="UAE"/>
    <x v="1"/>
    <s v="StayNest Beach"/>
    <x v="3"/>
    <s v="Resort"/>
    <n v="100"/>
    <x v="4"/>
    <s v="Partner"/>
    <d v="2025-12-27T00:00:00"/>
    <s v="Yes"/>
    <s v="No"/>
    <s v="Peak"/>
    <x v="1"/>
    <n v="0"/>
    <s v="0–7 days"/>
  </r>
  <r>
    <s v="B000390"/>
    <s v="G00346"/>
    <s v="H003"/>
    <s v="CH01"/>
    <d v="2026-07-06T00:00:00"/>
    <d v="2026-07-20T00:00:00"/>
    <x v="1"/>
    <n v="6092"/>
    <x v="0"/>
    <b v="0"/>
    <x v="3"/>
    <x v="8"/>
    <n v="2026"/>
    <n v="0"/>
    <n v="7"/>
    <n v="2026"/>
    <n v="0"/>
    <s v="No"/>
    <x v="0"/>
    <s v="India"/>
    <x v="0"/>
    <s v="StayNest Hills"/>
    <x v="5"/>
    <s v="Resort"/>
    <n v="80"/>
    <x v="5"/>
    <s v="Direct"/>
    <d v="2026-07-20T00:00:00"/>
    <s v="No"/>
    <s v="No"/>
    <s v="Off-Peak"/>
    <x v="1"/>
    <n v="0"/>
    <s v="8–30 days"/>
  </r>
  <r>
    <s v="B000391"/>
    <s v="G00325"/>
    <s v="H007"/>
    <s v="CH05"/>
    <d v="2026-02-04T00:00:00"/>
    <d v="2026-02-18T00:00:00"/>
    <x v="2"/>
    <n v="2404"/>
    <x v="0"/>
    <b v="0"/>
    <x v="3"/>
    <x v="0"/>
    <n v="2026"/>
    <n v="2"/>
    <n v="2"/>
    <n v="2026"/>
    <n v="2"/>
    <s v="No"/>
    <x v="0"/>
    <s v="UAE"/>
    <x v="0"/>
    <s v="StayNest Tech Park"/>
    <x v="6"/>
    <s v="Business"/>
    <n v="140"/>
    <x v="2"/>
    <s v="Corporate Rate"/>
    <d v="2026-02-18T00:00:00"/>
    <s v="No"/>
    <s v="No"/>
    <s v="Shoulder"/>
    <x v="1"/>
    <n v="0"/>
    <s v="8–30 days"/>
  </r>
  <r>
    <s v="B000392"/>
    <s v="G00630"/>
    <s v="H005"/>
    <s v="CH03"/>
    <d v="2026-03-23T00:00:00"/>
    <d v="2026-03-30T00:00:00"/>
    <x v="2"/>
    <n v="2638"/>
    <x v="2"/>
    <b v="0"/>
    <x v="4"/>
    <x v="3"/>
    <n v="2026"/>
    <n v="0"/>
    <n v="3"/>
    <n v="2026"/>
    <n v="0"/>
    <s v="No"/>
    <x v="1"/>
    <s v="India"/>
    <x v="1"/>
    <s v="StayNest Heritage"/>
    <x v="11"/>
    <s v="Heritage"/>
    <n v="90"/>
    <x v="1"/>
    <s v="OTA Promo"/>
    <d v="2026-03-30T00:00:00"/>
    <s v="No"/>
    <s v="No"/>
    <s v="Shoulder"/>
    <x v="1"/>
    <n v="0"/>
    <s v="0–7 days"/>
  </r>
  <r>
    <s v="B000393"/>
    <s v="G00640"/>
    <s v="H012"/>
    <s v="CH01"/>
    <d v="2026-08-16T00:00:00"/>
    <d v="2026-08-19T00:00:00"/>
    <x v="3"/>
    <n v="10850"/>
    <x v="0"/>
    <b v="0"/>
    <x v="6"/>
    <x v="7"/>
    <n v="2026"/>
    <n v="2"/>
    <n v="8"/>
    <n v="2026"/>
    <n v="6"/>
    <s v="No"/>
    <x v="3"/>
    <s v="India"/>
    <x v="0"/>
    <s v="StayNest Valley"/>
    <x v="4"/>
    <s v="Resort"/>
    <n v="65"/>
    <x v="5"/>
    <s v="Direct"/>
    <d v="2026-08-19T00:00:00"/>
    <s v="No"/>
    <s v="No"/>
    <s v="Off-Peak"/>
    <x v="1"/>
    <n v="0"/>
    <s v="0–7 days"/>
  </r>
  <r>
    <s v="B000394"/>
    <s v="G00310"/>
    <s v="H009"/>
    <s v="CH03"/>
    <d v="2026-03-20T00:00:00"/>
    <d v="2026-04-19T00:00:00"/>
    <x v="3"/>
    <n v="8558"/>
    <x v="0"/>
    <b v="0"/>
    <x v="2"/>
    <x v="2"/>
    <n v="2026"/>
    <n v="6"/>
    <n v="3"/>
    <n v="2026"/>
    <n v="4"/>
    <s v="Yes"/>
    <x v="3"/>
    <s v="United States"/>
    <x v="1"/>
    <s v="StayNest Airport"/>
    <x v="9"/>
    <s v="Business"/>
    <n v="160"/>
    <x v="1"/>
    <s v="OTA Promo"/>
    <d v="2026-04-19T00:00:00"/>
    <s v="Yes"/>
    <s v="No"/>
    <s v="Peak"/>
    <x v="1"/>
    <n v="0"/>
    <s v="8–30 days"/>
  </r>
  <r>
    <s v="B000395"/>
    <s v="G00020"/>
    <s v="H011"/>
    <s v="CH06"/>
    <d v="2026-06-13T00:00:00"/>
    <d v="2026-09-21T00:00:00"/>
    <x v="1"/>
    <n v="8838"/>
    <x v="2"/>
    <b v="0"/>
    <x v="0"/>
    <x v="10"/>
    <n v="2026"/>
    <n v="0"/>
    <n v="6"/>
    <n v="2026"/>
    <n v="5"/>
    <s v="No"/>
    <x v="0"/>
    <s v="India"/>
    <x v="0"/>
    <s v="StayNest Grand"/>
    <x v="8"/>
    <s v="Business"/>
    <n v="110"/>
    <x v="0"/>
    <s v="Retention"/>
    <d v="2026-09-21T00:00:00"/>
    <s v="No"/>
    <s v="No"/>
    <s v="Shoulder"/>
    <x v="1"/>
    <n v="0"/>
    <s v="91–180 days"/>
  </r>
  <r>
    <s v="B000396"/>
    <s v="G00445"/>
    <s v="H010"/>
    <s v="CH06"/>
    <d v="2026-10-04T00:00:00"/>
    <d v="2026-10-05T00:00:00"/>
    <x v="0"/>
    <n v="4105"/>
    <x v="2"/>
    <b v="0"/>
    <x v="7"/>
    <x v="11"/>
    <n v="2026"/>
    <n v="0"/>
    <n v="10"/>
    <n v="2026"/>
    <n v="6"/>
    <s v="No"/>
    <x v="3"/>
    <s v="India"/>
    <x v="0"/>
    <s v="StayNest Garden"/>
    <x v="10"/>
    <s v="Boutique"/>
    <n v="70"/>
    <x v="0"/>
    <s v="Retention"/>
    <d v="2026-10-05T00:00:00"/>
    <s v="No"/>
    <s v="No"/>
    <s v="Shoulder"/>
    <x v="1"/>
    <n v="0"/>
    <s v="0–7 days"/>
  </r>
  <r>
    <s v="B000397"/>
    <s v="G00421"/>
    <s v="H006"/>
    <s v="CH01"/>
    <d v="2026-10-12T00:00:00"/>
    <d v="2026-10-19T00:00:00"/>
    <x v="1"/>
    <n v="5657"/>
    <x v="0"/>
    <b v="0"/>
    <x v="4"/>
    <x v="11"/>
    <n v="2026"/>
    <n v="0"/>
    <n v="10"/>
    <n v="2026"/>
    <n v="0"/>
    <s v="No"/>
    <x v="1"/>
    <s v="India"/>
    <x v="1"/>
    <s v="StayNest Beach"/>
    <x v="3"/>
    <s v="Resort"/>
    <n v="100"/>
    <x v="5"/>
    <s v="Direct"/>
    <d v="2026-10-19T00:00:00"/>
    <s v="No"/>
    <s v="No"/>
    <s v="Shoulder"/>
    <x v="1"/>
    <n v="0"/>
    <s v="0–7 days"/>
  </r>
  <r>
    <s v="B000398"/>
    <s v="G00117"/>
    <s v="H003"/>
    <s v="CH02"/>
    <d v="2025-01-29T00:00:00"/>
    <d v="2025-02-05T00:00:00"/>
    <x v="3"/>
    <n v="10072"/>
    <x v="1"/>
    <b v="0"/>
    <x v="4"/>
    <x v="0"/>
    <n v="2025"/>
    <n v="2"/>
    <n v="1"/>
    <n v="2025"/>
    <n v="2"/>
    <s v="No"/>
    <x v="0"/>
    <s v="India"/>
    <x v="0"/>
    <s v="StayNest Hills"/>
    <x v="5"/>
    <s v="Resort"/>
    <n v="80"/>
    <x v="3"/>
    <s v="App Push"/>
    <d v="2025-02-05T00:00:00"/>
    <s v="No"/>
    <s v="No"/>
    <s v="Shoulder"/>
    <x v="1"/>
    <n v="1"/>
    <s v="0–7 days"/>
  </r>
  <r>
    <s v="B000399"/>
    <s v="G00164"/>
    <s v="H005"/>
    <s v="CH02"/>
    <d v="2025-01-30T00:00:00"/>
    <d v="2025-02-06T00:00:00"/>
    <x v="3"/>
    <n v="10480"/>
    <x v="0"/>
    <b v="0"/>
    <x v="4"/>
    <x v="0"/>
    <n v="2025"/>
    <n v="3"/>
    <n v="1"/>
    <n v="2025"/>
    <n v="3"/>
    <s v="No"/>
    <x v="3"/>
    <s v="India"/>
    <x v="1"/>
    <s v="StayNest Heritage"/>
    <x v="11"/>
    <s v="Heritage"/>
    <n v="90"/>
    <x v="3"/>
    <s v="App Push"/>
    <d v="2025-02-06T00:00:00"/>
    <s v="No"/>
    <s v="No"/>
    <s v="Shoulder"/>
    <x v="1"/>
    <n v="0"/>
    <s v="0–7 days"/>
  </r>
  <r>
    <s v="B000400"/>
    <s v="G00617"/>
    <s v="H005"/>
    <s v="CH01"/>
    <d v="2026-02-21T00:00:00"/>
    <d v="2026-06-01T00:00:00"/>
    <x v="2"/>
    <n v="4131"/>
    <x v="0"/>
    <b v="0"/>
    <x v="0"/>
    <x v="1"/>
    <n v="2026"/>
    <n v="0"/>
    <n v="2"/>
    <n v="2026"/>
    <n v="5"/>
    <s v="No"/>
    <x v="1"/>
    <s v="India"/>
    <x v="0"/>
    <s v="StayNest Heritage"/>
    <x v="11"/>
    <s v="Heritage"/>
    <n v="90"/>
    <x v="5"/>
    <s v="Direct"/>
    <d v="2026-06-01T00:00:00"/>
    <s v="No"/>
    <s v="No"/>
    <s v="Shoulder"/>
    <x v="1"/>
    <n v="0"/>
    <s v="91–180 days"/>
  </r>
  <r>
    <s v="B000401"/>
    <s v="G00595"/>
    <s v="H009"/>
    <s v="CH03"/>
    <d v="2026-05-24T00:00:00"/>
    <d v="2026-09-01T00:00:00"/>
    <x v="0"/>
    <n v="4783"/>
    <x v="1"/>
    <b v="0"/>
    <x v="0"/>
    <x v="10"/>
    <n v="2026"/>
    <n v="1"/>
    <n v="5"/>
    <n v="2026"/>
    <n v="6"/>
    <s v="No"/>
    <x v="2"/>
    <s v="United Kingdom"/>
    <x v="0"/>
    <s v="StayNest Airport"/>
    <x v="9"/>
    <s v="Business"/>
    <n v="160"/>
    <x v="1"/>
    <s v="OTA Promo"/>
    <d v="2026-09-01T00:00:00"/>
    <s v="No"/>
    <s v="No"/>
    <s v="Shoulder"/>
    <x v="1"/>
    <n v="1"/>
    <s v="91–180 days"/>
  </r>
  <r>
    <s v="B000402"/>
    <s v="G00242"/>
    <s v="H007"/>
    <s v="CH02"/>
    <d v="2025-05-28T00:00:00"/>
    <d v="2025-05-31T00:00:00"/>
    <x v="0"/>
    <n v="5172"/>
    <x v="0"/>
    <b v="0"/>
    <x v="6"/>
    <x v="9"/>
    <n v="2025"/>
    <n v="5"/>
    <n v="5"/>
    <n v="2025"/>
    <n v="2"/>
    <s v="Yes"/>
    <x v="3"/>
    <s v="Germany"/>
    <x v="0"/>
    <s v="StayNest Tech Park"/>
    <x v="6"/>
    <s v="Business"/>
    <n v="140"/>
    <x v="3"/>
    <s v="App Push"/>
    <d v="2025-05-31T00:00:00"/>
    <s v="Yes"/>
    <s v="No"/>
    <s v="Peak"/>
    <x v="1"/>
    <n v="0"/>
    <s v="0–7 days"/>
  </r>
  <r>
    <s v="B000403"/>
    <s v="G00116"/>
    <s v="H006"/>
    <s v="CH05"/>
    <d v="2026-03-10T00:00:00"/>
    <d v="2026-03-24T00:00:00"/>
    <x v="0"/>
    <n v="4093"/>
    <x v="0"/>
    <b v="0"/>
    <x v="3"/>
    <x v="3"/>
    <n v="2026"/>
    <n v="1"/>
    <n v="3"/>
    <n v="2026"/>
    <n v="1"/>
    <s v="No"/>
    <x v="2"/>
    <s v="Germany"/>
    <x v="0"/>
    <s v="StayNest Beach"/>
    <x v="3"/>
    <s v="Resort"/>
    <n v="100"/>
    <x v="2"/>
    <s v="Corporate Rate"/>
    <d v="2026-03-24T00:00:00"/>
    <s v="No"/>
    <s v="No"/>
    <s v="Shoulder"/>
    <x v="1"/>
    <n v="0"/>
    <s v="8–30 days"/>
  </r>
  <r>
    <s v="B000404"/>
    <s v="G00621"/>
    <s v="H001"/>
    <s v="CH06"/>
    <d v="2026-11-10T00:00:00"/>
    <d v="2027-01-09T00:00:00"/>
    <x v="2"/>
    <n v="2718"/>
    <x v="2"/>
    <b v="0"/>
    <x v="1"/>
    <x v="6"/>
    <n v="2027"/>
    <n v="5"/>
    <n v="11"/>
    <n v="2026"/>
    <n v="1"/>
    <s v="Yes"/>
    <x v="0"/>
    <s v="India"/>
    <x v="1"/>
    <s v="StayNest Marina"/>
    <x v="1"/>
    <s v="Business"/>
    <n v="120"/>
    <x v="0"/>
    <s v="Retention"/>
    <m/>
    <s v="Unknown"/>
    <s v="Unknown"/>
    <s v="Unknown"/>
    <x v="0"/>
    <n v="0"/>
    <s v="31–90 days"/>
  </r>
  <r>
    <s v="B000405"/>
    <s v="G00125"/>
    <s v="H009"/>
    <s v="CH02"/>
    <d v="2026-03-30T00:00:00"/>
    <d v="2026-04-13T00:00:00"/>
    <x v="1"/>
    <n v="6218"/>
    <x v="2"/>
    <b v="0"/>
    <x v="3"/>
    <x v="2"/>
    <n v="2026"/>
    <n v="0"/>
    <n v="3"/>
    <n v="2026"/>
    <n v="0"/>
    <s v="No"/>
    <x v="0"/>
    <s v="India"/>
    <x v="0"/>
    <s v="StayNest Airport"/>
    <x v="9"/>
    <s v="Business"/>
    <n v="160"/>
    <x v="3"/>
    <s v="App Push"/>
    <d v="2026-04-13T00:00:00"/>
    <s v="No"/>
    <s v="No"/>
    <s v="Peak"/>
    <x v="1"/>
    <n v="0"/>
    <s v="8–30 days"/>
  </r>
  <r>
    <s v="B000406"/>
    <s v="G00647"/>
    <s v="H006"/>
    <s v="CH06"/>
    <d v="2026-02-21T00:00:00"/>
    <d v="2026-04-22T00:00:00"/>
    <x v="3"/>
    <n v="10359"/>
    <x v="2"/>
    <b v="0"/>
    <x v="1"/>
    <x v="2"/>
    <n v="2026"/>
    <n v="2"/>
    <n v="2"/>
    <n v="2026"/>
    <n v="5"/>
    <s v="No"/>
    <x v="2"/>
    <s v="India"/>
    <x v="0"/>
    <s v="StayNest Beach"/>
    <x v="3"/>
    <s v="Resort"/>
    <n v="100"/>
    <x v="0"/>
    <s v="Retention"/>
    <d v="2026-04-22T00:00:00"/>
    <s v="No"/>
    <s v="No"/>
    <s v="Peak"/>
    <x v="1"/>
    <n v="0"/>
    <s v="31–90 days"/>
  </r>
  <r>
    <s v="B000407"/>
    <s v="G00103"/>
    <s v="H003"/>
    <s v="CH06"/>
    <d v="2025-09-25T00:00:00"/>
    <d v="2025-10-25T00:00:00"/>
    <x v="3"/>
    <n v="9176"/>
    <x v="0"/>
    <b v="0"/>
    <x v="2"/>
    <x v="11"/>
    <n v="2025"/>
    <n v="5"/>
    <n v="9"/>
    <n v="2025"/>
    <n v="3"/>
    <s v="Yes"/>
    <x v="1"/>
    <s v="UAE"/>
    <x v="0"/>
    <s v="StayNest Hills"/>
    <x v="5"/>
    <s v="Resort"/>
    <n v="80"/>
    <x v="0"/>
    <s v="Retention"/>
    <d v="2025-10-25T00:00:00"/>
    <s v="Yes"/>
    <s v="No"/>
    <s v="Shoulder"/>
    <x v="1"/>
    <n v="0"/>
    <s v="8–30 days"/>
  </r>
  <r>
    <s v="B000408"/>
    <s v="G00189"/>
    <s v="H011"/>
    <s v="CH04"/>
    <d v="2026-10-19T00:00:00"/>
    <d v="2026-10-22T00:00:00"/>
    <x v="1"/>
    <n v="7358"/>
    <x v="0"/>
    <b v="0"/>
    <x v="6"/>
    <x v="11"/>
    <n v="2026"/>
    <n v="3"/>
    <n v="10"/>
    <n v="2026"/>
    <n v="0"/>
    <s v="No"/>
    <x v="0"/>
    <s v="United Kingdom"/>
    <x v="1"/>
    <s v="StayNest Grand"/>
    <x v="8"/>
    <s v="Business"/>
    <n v="110"/>
    <x v="4"/>
    <s v="Partner"/>
    <d v="2026-10-22T00:00:00"/>
    <s v="No"/>
    <s v="No"/>
    <s v="Shoulder"/>
    <x v="1"/>
    <n v="0"/>
    <s v="0–7 days"/>
  </r>
  <r>
    <s v="B000409"/>
    <s v="G00134"/>
    <s v="H010"/>
    <s v="CH06"/>
    <d v="2026-02-25T00:00:00"/>
    <d v="2026-04-26T00:00:00"/>
    <x v="3"/>
    <n v="8635"/>
    <x v="2"/>
    <b v="0"/>
    <x v="1"/>
    <x v="2"/>
    <n v="2026"/>
    <n v="6"/>
    <n v="2"/>
    <n v="2026"/>
    <n v="2"/>
    <s v="Yes"/>
    <x v="3"/>
    <s v="India"/>
    <x v="1"/>
    <s v="StayNest Garden"/>
    <x v="10"/>
    <s v="Boutique"/>
    <n v="70"/>
    <x v="0"/>
    <s v="Retention"/>
    <d v="2026-04-26T00:00:00"/>
    <s v="Yes"/>
    <s v="No"/>
    <s v="Peak"/>
    <x v="1"/>
    <n v="0"/>
    <s v="31–90 days"/>
  </r>
  <r>
    <s v="B000410"/>
    <s v="G00204"/>
    <s v="H002"/>
    <s v="CH04"/>
    <d v="2026-01-12T00:00:00"/>
    <d v="2026-01-19T00:00:00"/>
    <x v="1"/>
    <n v="8781"/>
    <x v="0"/>
    <b v="0"/>
    <x v="4"/>
    <x v="6"/>
    <n v="2026"/>
    <n v="0"/>
    <n v="1"/>
    <n v="2026"/>
    <n v="0"/>
    <s v="No"/>
    <x v="1"/>
    <s v="United States"/>
    <x v="0"/>
    <s v="StayNest Central"/>
    <x v="0"/>
    <s v="Business"/>
    <n v="150"/>
    <x v="4"/>
    <s v="Partner"/>
    <d v="2026-01-19T00:00:00"/>
    <s v="No"/>
    <s v="No"/>
    <s v="Off-Peak"/>
    <x v="1"/>
    <n v="0"/>
    <s v="0–7 days"/>
  </r>
  <r>
    <s v="B000411"/>
    <s v="G00092"/>
    <s v="H008"/>
    <s v="CH02"/>
    <d v="2025-09-26T00:00:00"/>
    <d v="2025-11-25T00:00:00"/>
    <x v="0"/>
    <n v="5256"/>
    <x v="0"/>
    <b v="0"/>
    <x v="1"/>
    <x v="4"/>
    <n v="2025"/>
    <n v="1"/>
    <n v="9"/>
    <n v="2025"/>
    <n v="4"/>
    <s v="No"/>
    <x v="2"/>
    <s v="India"/>
    <x v="1"/>
    <s v="StayNest Palace"/>
    <x v="7"/>
    <s v="Heritage"/>
    <n v="85"/>
    <x v="3"/>
    <s v="App Push"/>
    <d v="2025-11-25T00:00:00"/>
    <s v="No"/>
    <s v="No"/>
    <s v="Off-Peak"/>
    <x v="1"/>
    <n v="0"/>
    <s v="31–90 days"/>
  </r>
  <r>
    <s v="B000412"/>
    <s v="G00581"/>
    <s v="H002"/>
    <s v="CH01"/>
    <d v="2026-06-23T00:00:00"/>
    <d v="2026-07-07T00:00:00"/>
    <x v="1"/>
    <n v="5780"/>
    <x v="0"/>
    <b v="0"/>
    <x v="3"/>
    <x v="8"/>
    <n v="2026"/>
    <n v="1"/>
    <n v="6"/>
    <n v="2026"/>
    <n v="1"/>
    <s v="No"/>
    <x v="1"/>
    <s v="United States"/>
    <x v="0"/>
    <s v="StayNest Central"/>
    <x v="0"/>
    <s v="Business"/>
    <n v="150"/>
    <x v="5"/>
    <s v="Direct"/>
    <d v="2026-07-07T00:00:00"/>
    <s v="No"/>
    <s v="No"/>
    <s v="Off-Peak"/>
    <x v="1"/>
    <n v="0"/>
    <s v="8–30 days"/>
  </r>
  <r>
    <s v="B000413"/>
    <s v="G00507"/>
    <s v="H007"/>
    <s v="CH02"/>
    <d v="2026-03-18T00:00:00"/>
    <d v="2026-06-26T00:00:00"/>
    <x v="0"/>
    <n v="4275"/>
    <x v="1"/>
    <b v="0"/>
    <x v="0"/>
    <x v="1"/>
    <n v="2026"/>
    <n v="4"/>
    <n v="3"/>
    <n v="2026"/>
    <n v="2"/>
    <s v="No"/>
    <x v="3"/>
    <s v="India"/>
    <x v="1"/>
    <s v="StayNest Tech Park"/>
    <x v="6"/>
    <s v="Business"/>
    <n v="140"/>
    <x v="3"/>
    <s v="App Push"/>
    <d v="2026-06-26T00:00:00"/>
    <s v="No"/>
    <s v="No"/>
    <s v="Shoulder"/>
    <x v="1"/>
    <n v="1"/>
    <s v="91–180 days"/>
  </r>
  <r>
    <s v="B000414"/>
    <s v="G00298"/>
    <s v="H005"/>
    <s v="CH02"/>
    <d v="2026-09-25T00:00:00"/>
    <d v="2026-10-09T00:00:00"/>
    <x v="0"/>
    <n v="5376"/>
    <x v="3"/>
    <b v="0"/>
    <x v="3"/>
    <x v="11"/>
    <n v="2026"/>
    <n v="4"/>
    <n v="9"/>
    <n v="2026"/>
    <n v="4"/>
    <s v="No"/>
    <x v="3"/>
    <s v="India"/>
    <x v="0"/>
    <s v="StayNest Heritage"/>
    <x v="11"/>
    <s v="Heritage"/>
    <n v="90"/>
    <x v="3"/>
    <s v="App Push"/>
    <d v="2026-10-09T00:00:00"/>
    <s v="No"/>
    <s v="No"/>
    <s v="Shoulder"/>
    <x v="1"/>
    <n v="0"/>
    <s v="8–30 days"/>
  </r>
  <r>
    <s v="B000415"/>
    <s v="G00408"/>
    <s v="H011"/>
    <s v="CH02"/>
    <d v="2026-01-28T00:00:00"/>
    <d v="2026-03-29T00:00:00"/>
    <x v="3"/>
    <n v="6981"/>
    <x v="2"/>
    <b v="0"/>
    <x v="1"/>
    <x v="3"/>
    <n v="2026"/>
    <n v="6"/>
    <n v="1"/>
    <n v="2026"/>
    <n v="2"/>
    <s v="Yes"/>
    <x v="0"/>
    <s v="India"/>
    <x v="1"/>
    <s v="StayNest Grand"/>
    <x v="8"/>
    <s v="Business"/>
    <n v="110"/>
    <x v="3"/>
    <s v="App Push"/>
    <d v="2026-03-29T00:00:00"/>
    <s v="Yes"/>
    <s v="No"/>
    <s v="Shoulder"/>
    <x v="1"/>
    <n v="0"/>
    <s v="31–90 days"/>
  </r>
  <r>
    <s v="B000416"/>
    <s v="G00621"/>
    <s v="H011"/>
    <s v="CH05"/>
    <d v="2025-02-16T00:00:00"/>
    <d v="2025-02-17T00:00:00"/>
    <x v="1"/>
    <n v="8965"/>
    <x v="0"/>
    <b v="0"/>
    <x v="7"/>
    <x v="0"/>
    <n v="2025"/>
    <n v="0"/>
    <n v="2"/>
    <n v="2025"/>
    <n v="6"/>
    <s v="No"/>
    <x v="0"/>
    <s v="India"/>
    <x v="1"/>
    <s v="StayNest Grand"/>
    <x v="8"/>
    <s v="Business"/>
    <n v="110"/>
    <x v="2"/>
    <s v="Corporate Rate"/>
    <d v="2025-02-17T00:00:00"/>
    <s v="No"/>
    <s v="No"/>
    <s v="Shoulder"/>
    <x v="1"/>
    <n v="0"/>
    <s v="0–7 days"/>
  </r>
  <r>
    <s v="B000417"/>
    <s v="G00174"/>
    <s v="H009"/>
    <s v="CH04"/>
    <d v="2025-12-14T00:00:00"/>
    <d v="2026-03-24T00:00:00"/>
    <x v="0"/>
    <n v="5672"/>
    <x v="3"/>
    <b v="0"/>
    <x v="0"/>
    <x v="3"/>
    <n v="2026"/>
    <n v="1"/>
    <n v="12"/>
    <n v="2025"/>
    <n v="6"/>
    <s v="No"/>
    <x v="3"/>
    <s v="Unknown"/>
    <x v="0"/>
    <s v="StayNest Airport"/>
    <x v="9"/>
    <s v="Business"/>
    <n v="160"/>
    <x v="4"/>
    <s v="Partner"/>
    <d v="2026-03-24T00:00:00"/>
    <s v="No"/>
    <s v="No"/>
    <s v="Shoulder"/>
    <x v="1"/>
    <n v="0"/>
    <s v="91–180 days"/>
  </r>
  <r>
    <s v="B000418"/>
    <s v="G00512"/>
    <s v="H005"/>
    <s v="CH06"/>
    <d v="2026-01-05T00:00:00"/>
    <d v="2026-06-04T00:00:00"/>
    <x v="3"/>
    <n v="10735"/>
    <x v="1"/>
    <b v="0"/>
    <x v="5"/>
    <x v="1"/>
    <n v="2026"/>
    <n v="3"/>
    <n v="1"/>
    <n v="2026"/>
    <n v="0"/>
    <s v="No"/>
    <x v="1"/>
    <s v="Singapore"/>
    <x v="0"/>
    <s v="StayNest Heritage"/>
    <x v="11"/>
    <s v="Heritage"/>
    <n v="90"/>
    <x v="0"/>
    <s v="Retention"/>
    <d v="2026-06-04T00:00:00"/>
    <s v="No"/>
    <s v="No"/>
    <s v="Shoulder"/>
    <x v="1"/>
    <n v="1"/>
    <s v="91–180 days"/>
  </r>
  <r>
    <s v="B000419"/>
    <s v="G00504"/>
    <s v="H003"/>
    <s v="CH05"/>
    <d v="2026-11-05T00:00:00"/>
    <d v="2026-12-05T00:00:00"/>
    <x v="1"/>
    <n v="5941"/>
    <x v="0"/>
    <b v="0"/>
    <x v="2"/>
    <x v="5"/>
    <n v="2026"/>
    <n v="5"/>
    <n v="11"/>
    <n v="2026"/>
    <n v="3"/>
    <s v="Yes"/>
    <x v="3"/>
    <s v="India"/>
    <x v="0"/>
    <s v="StayNest Hills"/>
    <x v="5"/>
    <s v="Resort"/>
    <n v="80"/>
    <x v="2"/>
    <s v="Corporate Rate"/>
    <d v="2026-12-05T00:00:00"/>
    <s v="Yes"/>
    <s v="No"/>
    <s v="Peak"/>
    <x v="1"/>
    <n v="0"/>
    <s v="8–30 days"/>
  </r>
  <r>
    <s v="B000420"/>
    <s v="G00479"/>
    <s v="H007"/>
    <s v="CH01"/>
    <d v="2026-05-22T00:00:00"/>
    <d v="2026-05-23T00:00:00"/>
    <x v="3"/>
    <n v="10538"/>
    <x v="0"/>
    <b v="0"/>
    <x v="7"/>
    <x v="9"/>
    <n v="2026"/>
    <n v="5"/>
    <n v="5"/>
    <n v="2026"/>
    <n v="4"/>
    <s v="Yes"/>
    <x v="0"/>
    <s v="Unknown"/>
    <x v="0"/>
    <s v="StayNest Tech Park"/>
    <x v="6"/>
    <s v="Business"/>
    <n v="140"/>
    <x v="5"/>
    <s v="Direct"/>
    <d v="2026-05-23T00:00:00"/>
    <s v="Yes"/>
    <s v="No"/>
    <s v="Peak"/>
    <x v="1"/>
    <n v="0"/>
    <s v="0–7 days"/>
  </r>
  <r>
    <s v="B000421"/>
    <s v="G00096"/>
    <s v="H004"/>
    <s v="CH03"/>
    <d v="2025-07-04T00:00:00"/>
    <d v="2025-10-12T00:00:00"/>
    <x v="3"/>
    <n v="8239"/>
    <x v="1"/>
    <b v="0"/>
    <x v="0"/>
    <x v="11"/>
    <n v="2025"/>
    <n v="6"/>
    <n v="7"/>
    <n v="2025"/>
    <n v="4"/>
    <s v="Yes"/>
    <x v="2"/>
    <s v="Singapore"/>
    <x v="1"/>
    <s v="StayNest Lakeview"/>
    <x v="2"/>
    <s v="Resort"/>
    <n v="75"/>
    <x v="1"/>
    <s v="OTA Promo"/>
    <d v="2025-10-12T00:00:00"/>
    <s v="Yes"/>
    <s v="No"/>
    <s v="Shoulder"/>
    <x v="1"/>
    <n v="1"/>
    <s v="91–180 days"/>
  </r>
  <r>
    <s v="B000422"/>
    <s v="G00585"/>
    <s v="H003"/>
    <s v="CH04"/>
    <d v="2025-03-20T00:00:00"/>
    <d v="2025-03-27T00:00:00"/>
    <x v="1"/>
    <n v="6164"/>
    <x v="0"/>
    <b v="0"/>
    <x v="4"/>
    <x v="3"/>
    <n v="2025"/>
    <n v="3"/>
    <n v="3"/>
    <n v="2025"/>
    <n v="3"/>
    <s v="No"/>
    <x v="3"/>
    <s v="India"/>
    <x v="1"/>
    <s v="StayNest Hills"/>
    <x v="5"/>
    <s v="Resort"/>
    <n v="80"/>
    <x v="4"/>
    <s v="Partner"/>
    <d v="2025-03-27T00:00:00"/>
    <s v="No"/>
    <s v="No"/>
    <s v="Shoulder"/>
    <x v="1"/>
    <n v="0"/>
    <s v="0–7 days"/>
  </r>
  <r>
    <s v="B000423"/>
    <s v="G00605"/>
    <s v="H002"/>
    <s v="CH03"/>
    <d v="2025-06-07T00:00:00"/>
    <d v="2025-06-08T00:00:00"/>
    <x v="1"/>
    <n v="38475"/>
    <x v="3"/>
    <b v="0"/>
    <x v="7"/>
    <x v="1"/>
    <n v="2025"/>
    <n v="6"/>
    <n v="6"/>
    <n v="2025"/>
    <n v="5"/>
    <s v="Yes"/>
    <x v="2"/>
    <s v="India"/>
    <x v="1"/>
    <s v="StayNest Central"/>
    <x v="0"/>
    <s v="Business"/>
    <n v="150"/>
    <x v="1"/>
    <s v="OTA Promo"/>
    <d v="2025-06-08T00:00:00"/>
    <s v="Yes"/>
    <s v="No"/>
    <s v="Shoulder"/>
    <x v="1"/>
    <n v="0"/>
    <s v="0–7 days"/>
  </r>
  <r>
    <s v="B000424"/>
    <s v="G00333"/>
    <s v="H012"/>
    <s v="CH06"/>
    <d v="2026-08-06T00:00:00"/>
    <d v="2026-08-09T00:00:00"/>
    <x v="2"/>
    <n v="2861"/>
    <x v="0"/>
    <b v="0"/>
    <x v="6"/>
    <x v="7"/>
    <n v="2026"/>
    <n v="6"/>
    <n v="8"/>
    <n v="2026"/>
    <n v="3"/>
    <s v="Yes"/>
    <x v="1"/>
    <s v="India"/>
    <x v="0"/>
    <s v="StayNest Valley"/>
    <x v="4"/>
    <s v="Resort"/>
    <n v="65"/>
    <x v="0"/>
    <s v="Retention"/>
    <d v="2026-08-09T00:00:00"/>
    <s v="Yes"/>
    <s v="No"/>
    <s v="Off-Peak"/>
    <x v="1"/>
    <n v="0"/>
    <s v="0–7 days"/>
  </r>
  <r>
    <s v="B000425"/>
    <s v="G00183"/>
    <s v="H004"/>
    <s v="CH04"/>
    <d v="2025-04-02T00:00:00"/>
    <d v="2025-04-03T00:00:00"/>
    <x v="0"/>
    <n v="5148"/>
    <x v="0"/>
    <b v="0"/>
    <x v="7"/>
    <x v="2"/>
    <n v="2025"/>
    <n v="3"/>
    <n v="4"/>
    <n v="2025"/>
    <n v="2"/>
    <s v="No"/>
    <x v="2"/>
    <s v="India"/>
    <x v="0"/>
    <s v="StayNest Lakeview"/>
    <x v="2"/>
    <s v="Resort"/>
    <n v="75"/>
    <x v="4"/>
    <s v="Partner"/>
    <d v="2025-04-03T00:00:00"/>
    <s v="No"/>
    <s v="No"/>
    <s v="Peak"/>
    <x v="1"/>
    <n v="0"/>
    <s v="0–7 days"/>
  </r>
  <r>
    <s v="B000426"/>
    <s v="G00503"/>
    <s v="H007"/>
    <s v="CH06"/>
    <d v="2025-11-14T00:00:00"/>
    <d v="2026-02-22T00:00:00"/>
    <x v="0"/>
    <n v="3893"/>
    <x v="0"/>
    <b v="0"/>
    <x v="0"/>
    <x v="0"/>
    <n v="2026"/>
    <n v="6"/>
    <n v="11"/>
    <n v="2025"/>
    <n v="4"/>
    <s v="Yes"/>
    <x v="1"/>
    <s v="United Kingdom"/>
    <x v="0"/>
    <s v="StayNest Tech Park"/>
    <x v="6"/>
    <s v="Business"/>
    <n v="140"/>
    <x v="0"/>
    <s v="Retention"/>
    <d v="2026-02-22T00:00:00"/>
    <s v="Yes"/>
    <s v="No"/>
    <s v="Shoulder"/>
    <x v="1"/>
    <n v="0"/>
    <s v="91–180 days"/>
  </r>
  <r>
    <s v="B000427"/>
    <s v="G00275"/>
    <s v="H010"/>
    <s v="CH05"/>
    <d v="2026-03-10T00:00:00"/>
    <d v="2026-03-13T00:00:00"/>
    <x v="1"/>
    <n v="7583"/>
    <x v="1"/>
    <b v="0"/>
    <x v="6"/>
    <x v="3"/>
    <n v="2026"/>
    <n v="4"/>
    <n v="3"/>
    <n v="2026"/>
    <n v="1"/>
    <s v="No"/>
    <x v="0"/>
    <s v="United Kingdom"/>
    <x v="0"/>
    <s v="StayNest Garden"/>
    <x v="10"/>
    <s v="Boutique"/>
    <n v="70"/>
    <x v="2"/>
    <s v="Corporate Rate"/>
    <d v="2026-03-13T00:00:00"/>
    <s v="No"/>
    <s v="No"/>
    <s v="Shoulder"/>
    <x v="1"/>
    <n v="1"/>
    <s v="0–7 days"/>
  </r>
  <r>
    <s v="B000428"/>
    <s v="G00350"/>
    <s v="H008"/>
    <s v="CH06"/>
    <d v="2025-08-18T00:00:00"/>
    <d v="2025-09-17T00:00:00"/>
    <x v="0"/>
    <n v="5649"/>
    <x v="2"/>
    <b v="0"/>
    <x v="2"/>
    <x v="10"/>
    <n v="2025"/>
    <n v="2"/>
    <n v="8"/>
    <n v="2025"/>
    <n v="0"/>
    <s v="No"/>
    <x v="3"/>
    <s v="Germany"/>
    <x v="1"/>
    <s v="StayNest Palace"/>
    <x v="7"/>
    <s v="Heritage"/>
    <n v="85"/>
    <x v="0"/>
    <s v="Retention"/>
    <d v="2025-09-17T00:00:00"/>
    <s v="No"/>
    <s v="No"/>
    <s v="Shoulder"/>
    <x v="1"/>
    <n v="0"/>
    <s v="8–30 days"/>
  </r>
  <r>
    <s v="B000429"/>
    <s v="G00308"/>
    <s v="H003"/>
    <s v="CH02"/>
    <d v="2026-12-02T00:00:00"/>
    <d v="2027-03-12T00:00:00"/>
    <x v="0"/>
    <n v="4710"/>
    <x v="0"/>
    <b v="0"/>
    <x v="0"/>
    <x v="3"/>
    <n v="2027"/>
    <n v="4"/>
    <n v="12"/>
    <n v="2026"/>
    <n v="2"/>
    <s v="No"/>
    <x v="0"/>
    <s v="India"/>
    <x v="0"/>
    <s v="StayNest Hills"/>
    <x v="5"/>
    <s v="Resort"/>
    <n v="80"/>
    <x v="3"/>
    <s v="App Push"/>
    <m/>
    <s v="Unknown"/>
    <s v="Unknown"/>
    <s v="Unknown"/>
    <x v="0"/>
    <n v="0"/>
    <s v="91–180 days"/>
  </r>
  <r>
    <s v="B000430"/>
    <s v="G00523"/>
    <s v="H007"/>
    <s v="CH04"/>
    <d v="2025-04-07T00:00:00"/>
    <d v="2025-04-21T00:00:00"/>
    <x v="3"/>
    <n v="7169"/>
    <x v="1"/>
    <b v="0"/>
    <x v="3"/>
    <x v="2"/>
    <n v="2025"/>
    <n v="0"/>
    <n v="4"/>
    <n v="2025"/>
    <n v="0"/>
    <s v="No"/>
    <x v="3"/>
    <s v="United Kingdom"/>
    <x v="0"/>
    <s v="StayNest Tech Park"/>
    <x v="6"/>
    <s v="Business"/>
    <n v="140"/>
    <x v="4"/>
    <s v="Partner"/>
    <d v="2025-04-21T00:00:00"/>
    <s v="No"/>
    <s v="No"/>
    <s v="Peak"/>
    <x v="1"/>
    <n v="1"/>
    <s v="8–30 days"/>
  </r>
  <r>
    <s v="B000431"/>
    <s v="G00474"/>
    <s v="H003"/>
    <s v="CH02"/>
    <d v="2026-02-07T00:00:00"/>
    <d v="2026-02-08T00:00:00"/>
    <x v="1"/>
    <n v="8102"/>
    <x v="0"/>
    <b v="0"/>
    <x v="7"/>
    <x v="0"/>
    <n v="2026"/>
    <n v="6"/>
    <n v="2"/>
    <n v="2026"/>
    <n v="5"/>
    <s v="Yes"/>
    <x v="1"/>
    <s v="India"/>
    <x v="0"/>
    <s v="StayNest Hills"/>
    <x v="5"/>
    <s v="Resort"/>
    <n v="80"/>
    <x v="3"/>
    <s v="App Push"/>
    <d v="2026-02-08T00:00:00"/>
    <s v="Yes"/>
    <s v="No"/>
    <s v="Shoulder"/>
    <x v="1"/>
    <n v="0"/>
    <s v="0–7 days"/>
  </r>
  <r>
    <s v="B000432"/>
    <s v="G00192"/>
    <s v="H004"/>
    <s v="CH02"/>
    <d v="2025-03-22T00:00:00"/>
    <d v="2025-05-21T00:00:00"/>
    <x v="3"/>
    <n v="6646"/>
    <x v="1"/>
    <b v="0"/>
    <x v="1"/>
    <x v="9"/>
    <n v="2025"/>
    <n v="2"/>
    <n v="3"/>
    <n v="2025"/>
    <n v="5"/>
    <s v="No"/>
    <x v="2"/>
    <s v="India"/>
    <x v="0"/>
    <s v="StayNest Lakeview"/>
    <x v="2"/>
    <s v="Resort"/>
    <n v="75"/>
    <x v="3"/>
    <s v="App Push"/>
    <d v="2025-05-21T00:00:00"/>
    <s v="No"/>
    <s v="No"/>
    <s v="Peak"/>
    <x v="1"/>
    <n v="1"/>
    <s v="31–90 days"/>
  </r>
  <r>
    <s v="B000433"/>
    <s v="G00489"/>
    <s v="H008"/>
    <s v="CH06"/>
    <d v="2026-02-19T00:00:00"/>
    <d v="2026-05-30T00:00:00"/>
    <x v="1"/>
    <n v="8295"/>
    <x v="1"/>
    <b v="0"/>
    <x v="0"/>
    <x v="9"/>
    <n v="2026"/>
    <n v="5"/>
    <n v="2"/>
    <n v="2026"/>
    <n v="3"/>
    <s v="Yes"/>
    <x v="1"/>
    <s v="India"/>
    <x v="0"/>
    <s v="StayNest Palace"/>
    <x v="7"/>
    <s v="Heritage"/>
    <n v="85"/>
    <x v="0"/>
    <s v="Retention"/>
    <d v="2026-05-30T00:00:00"/>
    <s v="Yes"/>
    <s v="No"/>
    <s v="Peak"/>
    <x v="1"/>
    <n v="1"/>
    <s v="91–180 days"/>
  </r>
  <r>
    <s v="B000434"/>
    <s v="G00015"/>
    <s v="H004"/>
    <s v="CH01"/>
    <d v="2025-01-17T00:00:00"/>
    <d v="2025-03-18T00:00:00"/>
    <x v="0"/>
    <n v="5470"/>
    <x v="0"/>
    <b v="0"/>
    <x v="1"/>
    <x v="3"/>
    <n v="2025"/>
    <n v="1"/>
    <n v="1"/>
    <n v="2025"/>
    <n v="4"/>
    <s v="No"/>
    <x v="1"/>
    <s v="India"/>
    <x v="1"/>
    <s v="StayNest Lakeview"/>
    <x v="2"/>
    <s v="Resort"/>
    <n v="75"/>
    <x v="5"/>
    <s v="Direct"/>
    <d v="2025-03-18T00:00:00"/>
    <s v="No"/>
    <s v="No"/>
    <s v="Shoulder"/>
    <x v="1"/>
    <n v="0"/>
    <s v="31–90 days"/>
  </r>
  <r>
    <s v="B000435"/>
    <s v="G00552"/>
    <s v="H004"/>
    <s v="CH01"/>
    <d v="2025-11-05T00:00:00"/>
    <d v="2026-01-04T00:00:00"/>
    <x v="0"/>
    <n v="3589"/>
    <x v="0"/>
    <b v="0"/>
    <x v="1"/>
    <x v="6"/>
    <n v="2026"/>
    <n v="6"/>
    <n v="11"/>
    <n v="2025"/>
    <n v="2"/>
    <s v="Yes"/>
    <x v="3"/>
    <s v="India"/>
    <x v="0"/>
    <s v="StayNest Lakeview"/>
    <x v="2"/>
    <s v="Resort"/>
    <n v="75"/>
    <x v="5"/>
    <s v="Direct"/>
    <d v="2026-01-04T00:00:00"/>
    <s v="Yes"/>
    <s v="No"/>
    <s v="Off-Peak"/>
    <x v="1"/>
    <n v="0"/>
    <s v="31–90 days"/>
  </r>
  <r>
    <s v="B000436"/>
    <s v="G00497"/>
    <s v="H008"/>
    <s v="CH01"/>
    <d v="2026-04-06T00:00:00"/>
    <d v="2026-05-06T00:00:00"/>
    <x v="0"/>
    <n v="29892"/>
    <x v="0"/>
    <b v="1"/>
    <x v="2"/>
    <x v="9"/>
    <n v="2026"/>
    <n v="2"/>
    <n v="4"/>
    <n v="2026"/>
    <n v="0"/>
    <s v="No"/>
    <x v="1"/>
    <s v="India"/>
    <x v="0"/>
    <s v="StayNest Palace"/>
    <x v="7"/>
    <s v="Heritage"/>
    <n v="85"/>
    <x v="5"/>
    <s v="Direct"/>
    <d v="2026-05-06T00:00:00"/>
    <s v="No"/>
    <s v="No"/>
    <s v="Peak"/>
    <x v="1"/>
    <n v="0"/>
    <s v="8–30 days"/>
  </r>
  <r>
    <s v="B000437"/>
    <s v="G00426"/>
    <s v="H008"/>
    <s v="CH06"/>
    <d v="2026-08-16T00:00:00"/>
    <d v="2026-09-15T00:00:00"/>
    <x v="3"/>
    <n v="10482"/>
    <x v="2"/>
    <b v="0"/>
    <x v="2"/>
    <x v="10"/>
    <n v="2026"/>
    <n v="1"/>
    <n v="8"/>
    <n v="2026"/>
    <n v="6"/>
    <s v="No"/>
    <x v="3"/>
    <s v="India"/>
    <x v="0"/>
    <s v="StayNest Palace"/>
    <x v="7"/>
    <s v="Heritage"/>
    <n v="85"/>
    <x v="0"/>
    <s v="Retention"/>
    <d v="2026-09-15T00:00:00"/>
    <s v="No"/>
    <s v="No"/>
    <s v="Shoulder"/>
    <x v="1"/>
    <n v="0"/>
    <s v="8–30 days"/>
  </r>
  <r>
    <s v="B000438"/>
    <s v="G00500"/>
    <s v="H004"/>
    <s v="CH06"/>
    <d v="2025-03-04T00:00:00"/>
    <d v="2025-04-03T00:00:00"/>
    <x v="1"/>
    <n v="6097"/>
    <x v="0"/>
    <b v="0"/>
    <x v="2"/>
    <x v="2"/>
    <n v="2025"/>
    <n v="3"/>
    <n v="3"/>
    <n v="2025"/>
    <n v="1"/>
    <s v="No"/>
    <x v="0"/>
    <s v="India"/>
    <x v="0"/>
    <s v="StayNest Lakeview"/>
    <x v="2"/>
    <s v="Resort"/>
    <n v="75"/>
    <x v="0"/>
    <s v="Retention"/>
    <d v="2025-04-03T00:00:00"/>
    <s v="No"/>
    <s v="No"/>
    <s v="Peak"/>
    <x v="1"/>
    <n v="0"/>
    <s v="8–30 days"/>
  </r>
  <r>
    <s v="B000439"/>
    <s v="G00507"/>
    <s v="H010"/>
    <s v="CH06"/>
    <d v="2025-12-22T00:00:00"/>
    <d v="2026-01-05T00:00:00"/>
    <x v="1"/>
    <n v="6922"/>
    <x v="0"/>
    <b v="0"/>
    <x v="3"/>
    <x v="6"/>
    <n v="2026"/>
    <n v="0"/>
    <n v="12"/>
    <n v="2025"/>
    <n v="0"/>
    <s v="No"/>
    <x v="3"/>
    <s v="India"/>
    <x v="1"/>
    <s v="StayNest Garden"/>
    <x v="10"/>
    <s v="Boutique"/>
    <n v="70"/>
    <x v="0"/>
    <s v="Retention"/>
    <d v="2026-01-05T00:00:00"/>
    <s v="No"/>
    <s v="No"/>
    <s v="Off-Peak"/>
    <x v="1"/>
    <n v="0"/>
    <s v="8–30 days"/>
  </r>
  <r>
    <s v="B000440"/>
    <s v="G00348"/>
    <s v="H010"/>
    <s v="CH06"/>
    <d v="2026-11-04T00:00:00"/>
    <d v="2026-11-18T00:00:00"/>
    <x v="3"/>
    <n v="11845"/>
    <x v="3"/>
    <b v="0"/>
    <x v="3"/>
    <x v="4"/>
    <n v="2026"/>
    <n v="2"/>
    <n v="11"/>
    <n v="2026"/>
    <n v="2"/>
    <s v="No"/>
    <x v="3"/>
    <s v="United States"/>
    <x v="0"/>
    <s v="StayNest Garden"/>
    <x v="10"/>
    <s v="Boutique"/>
    <n v="70"/>
    <x v="0"/>
    <s v="Retention"/>
    <d v="2026-11-18T00:00:00"/>
    <s v="No"/>
    <s v="No"/>
    <s v="Off-Peak"/>
    <x v="1"/>
    <n v="0"/>
    <s v="8–30 days"/>
  </r>
  <r>
    <s v="B000441"/>
    <s v="G00166"/>
    <s v="H010"/>
    <s v="CH02"/>
    <d v="2025-10-17T00:00:00"/>
    <d v="2025-12-16T00:00:00"/>
    <x v="2"/>
    <n v="2464"/>
    <x v="0"/>
    <b v="0"/>
    <x v="1"/>
    <x v="5"/>
    <n v="2025"/>
    <n v="1"/>
    <n v="10"/>
    <n v="2025"/>
    <n v="4"/>
    <s v="No"/>
    <x v="0"/>
    <s v="India"/>
    <x v="1"/>
    <s v="StayNest Garden"/>
    <x v="10"/>
    <s v="Boutique"/>
    <n v="70"/>
    <x v="3"/>
    <s v="App Push"/>
    <d v="2025-12-16T00:00:00"/>
    <s v="No"/>
    <s v="No"/>
    <s v="Peak"/>
    <x v="1"/>
    <n v="0"/>
    <s v="31–90 days"/>
  </r>
  <r>
    <s v="B000442"/>
    <s v="G00506"/>
    <s v="H005"/>
    <s v="CH02"/>
    <d v="2025-08-03T00:00:00"/>
    <d v="2025-09-02T00:00:00"/>
    <x v="2"/>
    <n v="4004"/>
    <x v="2"/>
    <b v="0"/>
    <x v="2"/>
    <x v="10"/>
    <n v="2025"/>
    <n v="1"/>
    <n v="8"/>
    <n v="2025"/>
    <n v="6"/>
    <s v="No"/>
    <x v="0"/>
    <s v="India"/>
    <x v="0"/>
    <s v="StayNest Heritage"/>
    <x v="11"/>
    <s v="Heritage"/>
    <n v="90"/>
    <x v="3"/>
    <s v="App Push"/>
    <d v="2025-09-02T00:00:00"/>
    <s v="No"/>
    <s v="No"/>
    <s v="Shoulder"/>
    <x v="1"/>
    <n v="0"/>
    <s v="8–30 days"/>
  </r>
  <r>
    <s v="B000443"/>
    <s v="G00033"/>
    <s v="H002"/>
    <s v="CH03"/>
    <d v="2026-03-17T00:00:00"/>
    <d v="2026-03-20T00:00:00"/>
    <x v="0"/>
    <n v="4417"/>
    <x v="2"/>
    <b v="0"/>
    <x v="6"/>
    <x v="3"/>
    <n v="2026"/>
    <n v="4"/>
    <n v="3"/>
    <n v="2026"/>
    <n v="1"/>
    <s v="No"/>
    <x v="2"/>
    <s v="India"/>
    <x v="0"/>
    <s v="StayNest Central"/>
    <x v="0"/>
    <s v="Business"/>
    <n v="150"/>
    <x v="1"/>
    <s v="OTA Promo"/>
    <d v="2026-03-20T00:00:00"/>
    <s v="No"/>
    <s v="No"/>
    <s v="Shoulder"/>
    <x v="1"/>
    <n v="0"/>
    <s v="0–7 days"/>
  </r>
  <r>
    <s v="B000444"/>
    <s v="G00571"/>
    <s v="H005"/>
    <s v="CH02"/>
    <d v="2026-06-12T00:00:00"/>
    <d v="2026-07-12T00:00:00"/>
    <x v="2"/>
    <n v="4097"/>
    <x v="1"/>
    <b v="0"/>
    <x v="2"/>
    <x v="8"/>
    <n v="2026"/>
    <n v="6"/>
    <n v="6"/>
    <n v="2026"/>
    <n v="4"/>
    <s v="Yes"/>
    <x v="3"/>
    <s v="United States"/>
    <x v="0"/>
    <s v="StayNest Heritage"/>
    <x v="11"/>
    <s v="Heritage"/>
    <n v="90"/>
    <x v="3"/>
    <s v="App Push"/>
    <d v="2026-07-12T00:00:00"/>
    <s v="Yes"/>
    <s v="No"/>
    <s v="Off-Peak"/>
    <x v="1"/>
    <n v="1"/>
    <s v="8–30 days"/>
  </r>
  <r>
    <s v="B000445"/>
    <s v="G00109"/>
    <s v="H010"/>
    <s v="CH05"/>
    <d v="2025-04-15T00:00:00"/>
    <d v="2025-07-24T00:00:00"/>
    <x v="2"/>
    <n v="2415"/>
    <x v="0"/>
    <b v="0"/>
    <x v="0"/>
    <x v="8"/>
    <n v="2025"/>
    <n v="3"/>
    <n v="4"/>
    <n v="2025"/>
    <n v="1"/>
    <s v="No"/>
    <x v="1"/>
    <s v="United States"/>
    <x v="0"/>
    <s v="StayNest Garden"/>
    <x v="10"/>
    <s v="Boutique"/>
    <n v="70"/>
    <x v="2"/>
    <s v="Corporate Rate"/>
    <d v="2025-07-24T00:00:00"/>
    <s v="No"/>
    <s v="No"/>
    <s v="Off-Peak"/>
    <x v="1"/>
    <n v="0"/>
    <s v="91–180 days"/>
  </r>
  <r>
    <s v="B000446"/>
    <s v="G00300"/>
    <s v="H012"/>
    <s v="CH04"/>
    <d v="2026-06-03T00:00:00"/>
    <d v="2026-07-03T00:00:00"/>
    <x v="2"/>
    <n v="3525"/>
    <x v="0"/>
    <b v="0"/>
    <x v="2"/>
    <x v="8"/>
    <n v="2026"/>
    <n v="4"/>
    <n v="6"/>
    <n v="2026"/>
    <n v="2"/>
    <s v="No"/>
    <x v="1"/>
    <s v="India"/>
    <x v="0"/>
    <s v="StayNest Valley"/>
    <x v="4"/>
    <s v="Resort"/>
    <n v="65"/>
    <x v="4"/>
    <s v="Partner"/>
    <d v="2026-07-03T00:00:00"/>
    <s v="No"/>
    <s v="No"/>
    <s v="Off-Peak"/>
    <x v="1"/>
    <n v="0"/>
    <s v="8–30 days"/>
  </r>
  <r>
    <s v="B000447"/>
    <s v="G00426"/>
    <s v="H001"/>
    <s v="CH02"/>
    <d v="2026-05-01T00:00:00"/>
    <d v="2026-05-15T00:00:00"/>
    <x v="0"/>
    <n v="5025"/>
    <x v="2"/>
    <b v="0"/>
    <x v="3"/>
    <x v="9"/>
    <n v="2026"/>
    <n v="4"/>
    <n v="5"/>
    <n v="2026"/>
    <n v="4"/>
    <s v="No"/>
    <x v="3"/>
    <s v="India"/>
    <x v="0"/>
    <s v="StayNest Marina"/>
    <x v="1"/>
    <s v="Business"/>
    <n v="120"/>
    <x v="3"/>
    <s v="App Push"/>
    <d v="2026-05-15T00:00:00"/>
    <s v="No"/>
    <s v="No"/>
    <s v="Peak"/>
    <x v="1"/>
    <n v="0"/>
    <s v="8–30 days"/>
  </r>
  <r>
    <s v="B000448"/>
    <s v="G00543"/>
    <s v="H007"/>
    <s v="CH02"/>
    <d v="2025-05-22T00:00:00"/>
    <d v="2025-07-21T00:00:00"/>
    <x v="1"/>
    <n v="8254"/>
    <x v="0"/>
    <b v="0"/>
    <x v="1"/>
    <x v="8"/>
    <n v="2025"/>
    <n v="0"/>
    <n v="5"/>
    <n v="2025"/>
    <n v="3"/>
    <s v="No"/>
    <x v="3"/>
    <s v="India"/>
    <x v="1"/>
    <s v="StayNest Tech Park"/>
    <x v="6"/>
    <s v="Business"/>
    <n v="140"/>
    <x v="3"/>
    <s v="App Push"/>
    <d v="2025-07-21T00:00:00"/>
    <s v="No"/>
    <s v="No"/>
    <s v="Off-Peak"/>
    <x v="1"/>
    <n v="0"/>
    <s v="31–90 days"/>
  </r>
  <r>
    <s v="B000449"/>
    <s v="G00011"/>
    <s v="H012"/>
    <s v="CH05"/>
    <d v="2025-03-13T00:00:00"/>
    <d v="2025-03-16T00:00:00"/>
    <x v="3"/>
    <n v="10055"/>
    <x v="1"/>
    <b v="0"/>
    <x v="6"/>
    <x v="3"/>
    <n v="2025"/>
    <n v="6"/>
    <n v="3"/>
    <n v="2025"/>
    <n v="3"/>
    <s v="Yes"/>
    <x v="0"/>
    <s v="United States"/>
    <x v="0"/>
    <s v="StayNest Valley"/>
    <x v="4"/>
    <s v="Resort"/>
    <n v="65"/>
    <x v="2"/>
    <s v="Corporate Rate"/>
    <d v="2025-03-16T00:00:00"/>
    <s v="Yes"/>
    <s v="No"/>
    <s v="Shoulder"/>
    <x v="1"/>
    <n v="1"/>
    <s v="0–7 days"/>
  </r>
  <r>
    <s v="B000450"/>
    <s v="G00155"/>
    <s v="H010"/>
    <s v="CH01"/>
    <d v="2026-10-09T00:00:00"/>
    <d v="2027-05-17T00:00:00"/>
    <x v="3"/>
    <n v="8993"/>
    <x v="0"/>
    <b v="0"/>
    <x v="8"/>
    <x v="9"/>
    <n v="2027"/>
    <n v="0"/>
    <n v="10"/>
    <n v="2026"/>
    <n v="4"/>
    <s v="No"/>
    <x v="1"/>
    <s v="India"/>
    <x v="0"/>
    <s v="StayNest Garden"/>
    <x v="10"/>
    <s v="Boutique"/>
    <n v="70"/>
    <x v="5"/>
    <s v="Direct"/>
    <m/>
    <s v="Unknown"/>
    <s v="Unknown"/>
    <s v="Unknown"/>
    <x v="0"/>
    <n v="0"/>
    <s v="181+ days"/>
  </r>
  <r>
    <s v="B000451"/>
    <s v="G00287"/>
    <s v="H009"/>
    <s v="CH05"/>
    <d v="2025-05-31T00:00:00"/>
    <d v="2025-07-30T00:00:00"/>
    <x v="1"/>
    <n v="8229"/>
    <x v="0"/>
    <b v="0"/>
    <x v="1"/>
    <x v="8"/>
    <n v="2025"/>
    <n v="2"/>
    <n v="5"/>
    <n v="2025"/>
    <n v="5"/>
    <s v="No"/>
    <x v="1"/>
    <s v="India"/>
    <x v="0"/>
    <s v="StayNest Airport"/>
    <x v="9"/>
    <s v="Business"/>
    <n v="160"/>
    <x v="2"/>
    <s v="Corporate Rate"/>
    <d v="2025-07-30T00:00:00"/>
    <s v="No"/>
    <s v="No"/>
    <s v="Off-Peak"/>
    <x v="1"/>
    <n v="0"/>
    <s v="31–90 days"/>
  </r>
  <r>
    <s v="B000452"/>
    <s v="G00415"/>
    <s v="H004"/>
    <s v="CH03"/>
    <d v="2025-03-28T00:00:00"/>
    <d v="2025-03-29T00:00:00"/>
    <x v="3"/>
    <n v="10763"/>
    <x v="1"/>
    <b v="0"/>
    <x v="7"/>
    <x v="3"/>
    <n v="2025"/>
    <n v="5"/>
    <n v="3"/>
    <n v="2025"/>
    <n v="4"/>
    <s v="Yes"/>
    <x v="1"/>
    <s v="India"/>
    <x v="1"/>
    <s v="StayNest Lakeview"/>
    <x v="2"/>
    <s v="Resort"/>
    <n v="75"/>
    <x v="1"/>
    <s v="OTA Promo"/>
    <d v="2025-03-29T00:00:00"/>
    <s v="Yes"/>
    <s v="No"/>
    <s v="Shoulder"/>
    <x v="1"/>
    <n v="1"/>
    <s v="0–7 days"/>
  </r>
  <r>
    <s v="B000453"/>
    <s v="G00566"/>
    <s v="H005"/>
    <s v="CH05"/>
    <d v="2025-12-15T00:00:00"/>
    <d v="2026-02-13T00:00:00"/>
    <x v="0"/>
    <n v="5711"/>
    <x v="2"/>
    <b v="0"/>
    <x v="1"/>
    <x v="0"/>
    <n v="2026"/>
    <n v="4"/>
    <n v="12"/>
    <n v="2025"/>
    <n v="0"/>
    <s v="No"/>
    <x v="1"/>
    <s v="India"/>
    <x v="0"/>
    <s v="StayNest Heritage"/>
    <x v="11"/>
    <s v="Heritage"/>
    <n v="90"/>
    <x v="2"/>
    <s v="Corporate Rate"/>
    <d v="2026-02-13T00:00:00"/>
    <s v="No"/>
    <s v="No"/>
    <s v="Shoulder"/>
    <x v="1"/>
    <n v="0"/>
    <s v="31–90 days"/>
  </r>
  <r>
    <s v="B000454"/>
    <s v="G00518"/>
    <s v="H002"/>
    <s v="CH06"/>
    <d v="2025-03-03T00:00:00"/>
    <d v="2025-06-11T00:00:00"/>
    <x v="3"/>
    <n v="6891"/>
    <x v="1"/>
    <b v="0"/>
    <x v="0"/>
    <x v="1"/>
    <n v="2025"/>
    <n v="2"/>
    <n v="3"/>
    <n v="2025"/>
    <n v="0"/>
    <s v="No"/>
    <x v="3"/>
    <s v="India"/>
    <x v="1"/>
    <s v="StayNest Central"/>
    <x v="0"/>
    <s v="Business"/>
    <n v="150"/>
    <x v="0"/>
    <s v="Retention"/>
    <d v="2025-06-11T00:00:00"/>
    <s v="No"/>
    <s v="No"/>
    <s v="Shoulder"/>
    <x v="1"/>
    <n v="1"/>
    <s v="91–180 days"/>
  </r>
  <r>
    <s v="B000455"/>
    <s v="G00306"/>
    <s v="H010"/>
    <s v="CH06"/>
    <d v="2025-01-06T00:00:00"/>
    <d v="2025-01-20T00:00:00"/>
    <x v="0"/>
    <n v="5684"/>
    <x v="2"/>
    <b v="0"/>
    <x v="3"/>
    <x v="6"/>
    <n v="2025"/>
    <n v="0"/>
    <n v="1"/>
    <n v="2025"/>
    <n v="0"/>
    <s v="No"/>
    <x v="1"/>
    <s v="India"/>
    <x v="0"/>
    <s v="StayNest Garden"/>
    <x v="10"/>
    <s v="Boutique"/>
    <n v="70"/>
    <x v="0"/>
    <s v="Retention"/>
    <d v="2025-01-20T00:00:00"/>
    <s v="No"/>
    <s v="No"/>
    <s v="Off-Peak"/>
    <x v="1"/>
    <n v="0"/>
    <s v="8–30 days"/>
  </r>
  <r>
    <s v="B000456"/>
    <s v="G00587"/>
    <s v="H011"/>
    <s v="CH02"/>
    <d v="2026-01-22T00:00:00"/>
    <d v="2026-02-21T00:00:00"/>
    <x v="0"/>
    <n v="5615"/>
    <x v="0"/>
    <b v="0"/>
    <x v="2"/>
    <x v="0"/>
    <n v="2026"/>
    <n v="5"/>
    <n v="1"/>
    <n v="2026"/>
    <n v="3"/>
    <s v="Yes"/>
    <x v="0"/>
    <s v="United States"/>
    <x v="0"/>
    <s v="StayNest Grand"/>
    <x v="8"/>
    <s v="Business"/>
    <n v="110"/>
    <x v="3"/>
    <s v="App Push"/>
    <d v="2026-02-21T00:00:00"/>
    <s v="Yes"/>
    <s v="No"/>
    <s v="Shoulder"/>
    <x v="1"/>
    <n v="0"/>
    <s v="8–30 days"/>
  </r>
  <r>
    <s v="B000457"/>
    <s v="G00436"/>
    <s v="H007"/>
    <s v="CH01"/>
    <d v="2025-04-05T00:00:00"/>
    <d v="2025-04-06T00:00:00"/>
    <x v="0"/>
    <n v="5327"/>
    <x v="0"/>
    <b v="0"/>
    <x v="7"/>
    <x v="2"/>
    <n v="2025"/>
    <n v="6"/>
    <n v="4"/>
    <n v="2025"/>
    <n v="5"/>
    <s v="Yes"/>
    <x v="3"/>
    <s v="India"/>
    <x v="0"/>
    <s v="StayNest Tech Park"/>
    <x v="6"/>
    <s v="Business"/>
    <n v="140"/>
    <x v="5"/>
    <s v="Direct"/>
    <d v="2025-04-06T00:00:00"/>
    <s v="Yes"/>
    <s v="No"/>
    <s v="Peak"/>
    <x v="1"/>
    <n v="0"/>
    <s v="0–7 days"/>
  </r>
  <r>
    <s v="B000458"/>
    <s v="G00405"/>
    <s v="H005"/>
    <s v="CH05"/>
    <d v="2026-05-26T00:00:00"/>
    <d v="2026-06-25T00:00:00"/>
    <x v="1"/>
    <n v="5591"/>
    <x v="0"/>
    <b v="0"/>
    <x v="2"/>
    <x v="1"/>
    <n v="2026"/>
    <n v="3"/>
    <n v="5"/>
    <n v="2026"/>
    <n v="1"/>
    <s v="No"/>
    <x v="2"/>
    <s v="India"/>
    <x v="0"/>
    <s v="StayNest Heritage"/>
    <x v="11"/>
    <s v="Heritage"/>
    <n v="90"/>
    <x v="2"/>
    <s v="Corporate Rate"/>
    <d v="2026-06-25T00:00:00"/>
    <s v="No"/>
    <s v="No"/>
    <s v="Shoulder"/>
    <x v="1"/>
    <n v="0"/>
    <s v="8–30 days"/>
  </r>
  <r>
    <s v="B000459"/>
    <s v="G00526"/>
    <s v="H009"/>
    <s v="CH01"/>
    <d v="2025-08-06T00:00:00"/>
    <d v="2025-08-20T00:00:00"/>
    <x v="2"/>
    <n v="4133"/>
    <x v="0"/>
    <b v="0"/>
    <x v="3"/>
    <x v="7"/>
    <n v="2025"/>
    <n v="2"/>
    <n v="8"/>
    <n v="2025"/>
    <n v="2"/>
    <s v="No"/>
    <x v="2"/>
    <s v="United Kingdom"/>
    <x v="0"/>
    <s v="StayNest Airport"/>
    <x v="9"/>
    <s v="Business"/>
    <n v="160"/>
    <x v="5"/>
    <s v="Direct"/>
    <d v="2025-08-20T00:00:00"/>
    <s v="No"/>
    <s v="No"/>
    <s v="Off-Peak"/>
    <x v="1"/>
    <n v="0"/>
    <s v="8–30 days"/>
  </r>
  <r>
    <s v="B000460"/>
    <s v="G00124"/>
    <s v="H006"/>
    <s v="CH05"/>
    <d v="2025-10-24T00:00:00"/>
    <d v="2025-10-25T00:00:00"/>
    <x v="0"/>
    <n v="4748"/>
    <x v="1"/>
    <b v="0"/>
    <x v="7"/>
    <x v="11"/>
    <n v="2025"/>
    <n v="5"/>
    <n v="10"/>
    <n v="2025"/>
    <n v="4"/>
    <s v="Yes"/>
    <x v="2"/>
    <s v="India"/>
    <x v="0"/>
    <s v="StayNest Beach"/>
    <x v="3"/>
    <s v="Resort"/>
    <n v="100"/>
    <x v="2"/>
    <s v="Corporate Rate"/>
    <d v="2025-10-25T00:00:00"/>
    <s v="Yes"/>
    <s v="No"/>
    <s v="Shoulder"/>
    <x v="1"/>
    <n v="1"/>
    <s v="0–7 days"/>
  </r>
  <r>
    <s v="B000461"/>
    <s v="G00147"/>
    <s v="H003"/>
    <s v="CH05"/>
    <d v="2026-03-08T00:00:00"/>
    <d v="2026-03-09T00:00:00"/>
    <x v="3"/>
    <n v="10504"/>
    <x v="2"/>
    <b v="0"/>
    <x v="7"/>
    <x v="3"/>
    <n v="2026"/>
    <n v="0"/>
    <n v="3"/>
    <n v="2026"/>
    <n v="6"/>
    <s v="No"/>
    <x v="3"/>
    <s v="United Kingdom"/>
    <x v="0"/>
    <s v="StayNest Hills"/>
    <x v="5"/>
    <s v="Resort"/>
    <n v="80"/>
    <x v="2"/>
    <s v="Corporate Rate"/>
    <d v="2026-03-09T00:00:00"/>
    <s v="No"/>
    <s v="No"/>
    <s v="Shoulder"/>
    <x v="1"/>
    <n v="0"/>
    <s v="0–7 days"/>
  </r>
  <r>
    <s v="B000462"/>
    <s v="G00428"/>
    <s v="H008"/>
    <s v="CH05"/>
    <d v="2025-11-14T00:00:00"/>
    <d v="2025-12-14T00:00:00"/>
    <x v="3"/>
    <n v="7587"/>
    <x v="2"/>
    <b v="0"/>
    <x v="2"/>
    <x v="5"/>
    <n v="2025"/>
    <n v="6"/>
    <n v="11"/>
    <n v="2025"/>
    <n v="4"/>
    <s v="Yes"/>
    <x v="1"/>
    <s v="India"/>
    <x v="0"/>
    <s v="StayNest Palace"/>
    <x v="7"/>
    <s v="Heritage"/>
    <n v="85"/>
    <x v="2"/>
    <s v="Corporate Rate"/>
    <d v="2025-12-14T00:00:00"/>
    <s v="Yes"/>
    <s v="No"/>
    <s v="Peak"/>
    <x v="1"/>
    <n v="0"/>
    <s v="8–30 days"/>
  </r>
  <r>
    <s v="B000463"/>
    <s v="G00460"/>
    <s v="H003"/>
    <s v="CH06"/>
    <d v="2025-11-30T00:00:00"/>
    <d v="2025-12-03T00:00:00"/>
    <x v="1"/>
    <n v="7215"/>
    <x v="0"/>
    <b v="0"/>
    <x v="6"/>
    <x v="5"/>
    <n v="2025"/>
    <n v="2"/>
    <n v="11"/>
    <n v="2025"/>
    <n v="6"/>
    <s v="No"/>
    <x v="2"/>
    <s v="India"/>
    <x v="1"/>
    <s v="StayNest Hills"/>
    <x v="5"/>
    <s v="Resort"/>
    <n v="80"/>
    <x v="0"/>
    <s v="Retention"/>
    <d v="2025-12-03T00:00:00"/>
    <s v="No"/>
    <s v="No"/>
    <s v="Peak"/>
    <x v="1"/>
    <n v="0"/>
    <s v="0–7 days"/>
  </r>
  <r>
    <s v="B000464"/>
    <s v="G00285"/>
    <s v="H011"/>
    <s v="CH01"/>
    <d v="2025-06-19T00:00:00"/>
    <d v="2025-08-18T00:00:00"/>
    <x v="3"/>
    <n v="11774"/>
    <x v="0"/>
    <b v="0"/>
    <x v="1"/>
    <x v="7"/>
    <n v="2025"/>
    <n v="0"/>
    <n v="6"/>
    <n v="2025"/>
    <n v="3"/>
    <s v="No"/>
    <x v="1"/>
    <s v="India"/>
    <x v="0"/>
    <s v="StayNest Grand"/>
    <x v="8"/>
    <s v="Business"/>
    <n v="110"/>
    <x v="5"/>
    <s v="Direct"/>
    <d v="2025-08-18T00:00:00"/>
    <s v="No"/>
    <s v="No"/>
    <s v="Off-Peak"/>
    <x v="1"/>
    <n v="0"/>
    <s v="31–90 days"/>
  </r>
  <r>
    <s v="B000465"/>
    <s v="G00055"/>
    <s v="H010"/>
    <s v="CH05"/>
    <d v="2025-07-13T00:00:00"/>
    <d v="2025-09-11T00:00:00"/>
    <x v="2"/>
    <n v="3548"/>
    <x v="0"/>
    <b v="0"/>
    <x v="1"/>
    <x v="10"/>
    <n v="2025"/>
    <n v="3"/>
    <n v="7"/>
    <n v="2025"/>
    <n v="6"/>
    <s v="No"/>
    <x v="1"/>
    <s v="UAE"/>
    <x v="0"/>
    <s v="StayNest Garden"/>
    <x v="10"/>
    <s v="Boutique"/>
    <n v="70"/>
    <x v="2"/>
    <s v="Corporate Rate"/>
    <d v="2025-09-11T00:00:00"/>
    <s v="No"/>
    <s v="No"/>
    <s v="Shoulder"/>
    <x v="1"/>
    <n v="0"/>
    <s v="31–90 days"/>
  </r>
  <r>
    <s v="B000466"/>
    <s v="G00594"/>
    <s v="H008"/>
    <s v="CH01"/>
    <d v="2026-07-01T00:00:00"/>
    <d v="2026-07-31T00:00:00"/>
    <x v="1"/>
    <n v="6392"/>
    <x v="2"/>
    <b v="0"/>
    <x v="2"/>
    <x v="8"/>
    <n v="2026"/>
    <n v="4"/>
    <n v="7"/>
    <n v="2026"/>
    <n v="2"/>
    <s v="No"/>
    <x v="1"/>
    <s v="Unknown"/>
    <x v="0"/>
    <s v="StayNest Palace"/>
    <x v="7"/>
    <s v="Heritage"/>
    <n v="85"/>
    <x v="5"/>
    <s v="Direct"/>
    <d v="2026-07-31T00:00:00"/>
    <s v="No"/>
    <s v="No"/>
    <s v="Off-Peak"/>
    <x v="1"/>
    <n v="0"/>
    <s v="8–30 days"/>
  </r>
  <r>
    <s v="B000467"/>
    <s v="G00325"/>
    <s v="H007"/>
    <s v="CH03"/>
    <d v="2025-04-04T00:00:00"/>
    <d v="2025-04-07T00:00:00"/>
    <x v="2"/>
    <n v="2544"/>
    <x v="1"/>
    <b v="0"/>
    <x v="6"/>
    <x v="2"/>
    <n v="2025"/>
    <n v="0"/>
    <n v="4"/>
    <n v="2025"/>
    <n v="4"/>
    <s v="No"/>
    <x v="0"/>
    <s v="UAE"/>
    <x v="0"/>
    <s v="StayNest Tech Park"/>
    <x v="6"/>
    <s v="Business"/>
    <n v="140"/>
    <x v="1"/>
    <s v="OTA Promo"/>
    <d v="2025-04-07T00:00:00"/>
    <s v="No"/>
    <s v="No"/>
    <s v="Peak"/>
    <x v="1"/>
    <n v="1"/>
    <s v="0–7 days"/>
  </r>
  <r>
    <s v="B000468"/>
    <s v="G00315"/>
    <s v="H007"/>
    <s v="CH06"/>
    <d v="2025-06-23T00:00:00"/>
    <d v="2025-06-24T00:00:00"/>
    <x v="3"/>
    <n v="8941"/>
    <x v="2"/>
    <b v="0"/>
    <x v="7"/>
    <x v="1"/>
    <n v="2025"/>
    <n v="1"/>
    <n v="6"/>
    <n v="2025"/>
    <n v="0"/>
    <s v="No"/>
    <x v="0"/>
    <s v="United States"/>
    <x v="0"/>
    <s v="StayNest Tech Park"/>
    <x v="6"/>
    <s v="Business"/>
    <n v="140"/>
    <x v="0"/>
    <s v="Retention"/>
    <d v="2025-06-24T00:00:00"/>
    <s v="No"/>
    <s v="No"/>
    <s v="Shoulder"/>
    <x v="1"/>
    <n v="0"/>
    <s v="0–7 days"/>
  </r>
  <r>
    <s v="B000469"/>
    <s v="G00265"/>
    <s v="H007"/>
    <s v="CH01"/>
    <d v="2025-02-23T00:00:00"/>
    <d v="2025-03-02T00:00:00"/>
    <x v="0"/>
    <n v="5566"/>
    <x v="1"/>
    <b v="0"/>
    <x v="4"/>
    <x v="3"/>
    <n v="2025"/>
    <n v="6"/>
    <n v="2"/>
    <n v="2025"/>
    <n v="6"/>
    <s v="Yes"/>
    <x v="2"/>
    <s v="Singapore"/>
    <x v="0"/>
    <s v="StayNest Tech Park"/>
    <x v="6"/>
    <s v="Business"/>
    <n v="140"/>
    <x v="5"/>
    <s v="Direct"/>
    <d v="2025-03-02T00:00:00"/>
    <s v="Yes"/>
    <s v="No"/>
    <s v="Shoulder"/>
    <x v="1"/>
    <n v="1"/>
    <s v="0–7 days"/>
  </r>
  <r>
    <s v="B000470"/>
    <s v="G00476"/>
    <s v="H009"/>
    <s v="CH04"/>
    <d v="2025-03-09T00:00:00"/>
    <d v="2025-03-23T00:00:00"/>
    <x v="1"/>
    <n v="7269"/>
    <x v="0"/>
    <b v="0"/>
    <x v="3"/>
    <x v="3"/>
    <n v="2025"/>
    <n v="6"/>
    <n v="3"/>
    <n v="2025"/>
    <n v="6"/>
    <s v="Yes"/>
    <x v="3"/>
    <s v="India"/>
    <x v="0"/>
    <s v="StayNest Airport"/>
    <x v="9"/>
    <s v="Business"/>
    <n v="160"/>
    <x v="4"/>
    <s v="Partner"/>
    <d v="2025-03-23T00:00:00"/>
    <s v="Yes"/>
    <s v="No"/>
    <s v="Shoulder"/>
    <x v="1"/>
    <n v="0"/>
    <s v="8–30 days"/>
  </r>
  <r>
    <s v="B000471"/>
    <s v="G00569"/>
    <s v="H011"/>
    <s v="CH02"/>
    <d v="2025-11-08T00:00:00"/>
    <d v="2025-12-08T00:00:00"/>
    <x v="1"/>
    <n v="8206"/>
    <x v="3"/>
    <b v="0"/>
    <x v="2"/>
    <x v="5"/>
    <n v="2025"/>
    <n v="0"/>
    <n v="11"/>
    <n v="2025"/>
    <n v="5"/>
    <s v="No"/>
    <x v="1"/>
    <s v="Unknown"/>
    <x v="0"/>
    <s v="StayNest Grand"/>
    <x v="8"/>
    <s v="Business"/>
    <n v="110"/>
    <x v="3"/>
    <s v="App Push"/>
    <d v="2025-12-08T00:00:00"/>
    <s v="No"/>
    <s v="No"/>
    <s v="Peak"/>
    <x v="1"/>
    <n v="0"/>
    <s v="8–30 days"/>
  </r>
  <r>
    <s v="B000472"/>
    <s v="G00252"/>
    <s v="H009"/>
    <s v="CH04"/>
    <d v="2026-07-23T00:00:00"/>
    <d v="2026-08-06T00:00:00"/>
    <x v="2"/>
    <n v="4168"/>
    <x v="1"/>
    <b v="0"/>
    <x v="3"/>
    <x v="7"/>
    <n v="2026"/>
    <n v="3"/>
    <n v="7"/>
    <n v="2026"/>
    <n v="3"/>
    <s v="No"/>
    <x v="3"/>
    <s v="Unknown"/>
    <x v="0"/>
    <s v="StayNest Airport"/>
    <x v="9"/>
    <s v="Business"/>
    <n v="160"/>
    <x v="4"/>
    <s v="Partner"/>
    <d v="2026-08-06T00:00:00"/>
    <s v="No"/>
    <s v="No"/>
    <s v="Off-Peak"/>
    <x v="1"/>
    <n v="1"/>
    <s v="8–30 days"/>
  </r>
  <r>
    <s v="B000473"/>
    <s v="G00494"/>
    <s v="H005"/>
    <s v="CH05"/>
    <d v="2025-09-14T00:00:00"/>
    <d v="2025-12-23T00:00:00"/>
    <x v="1"/>
    <n v="8443"/>
    <x v="1"/>
    <b v="0"/>
    <x v="0"/>
    <x v="5"/>
    <n v="2025"/>
    <n v="1"/>
    <n v="9"/>
    <n v="2025"/>
    <n v="6"/>
    <s v="No"/>
    <x v="0"/>
    <s v="India"/>
    <x v="0"/>
    <s v="StayNest Heritage"/>
    <x v="11"/>
    <s v="Heritage"/>
    <n v="90"/>
    <x v="2"/>
    <s v="Corporate Rate"/>
    <d v="2025-12-23T00:00:00"/>
    <s v="No"/>
    <s v="No"/>
    <s v="Peak"/>
    <x v="1"/>
    <n v="1"/>
    <s v="91–180 days"/>
  </r>
  <r>
    <s v="B000474"/>
    <s v="G00547"/>
    <s v="H010"/>
    <s v="CH01"/>
    <d v="2025-11-04T00:00:00"/>
    <d v="2025-11-07T00:00:00"/>
    <x v="2"/>
    <n v="3684"/>
    <x v="3"/>
    <b v="0"/>
    <x v="6"/>
    <x v="4"/>
    <n v="2025"/>
    <n v="4"/>
    <n v="11"/>
    <n v="2025"/>
    <n v="1"/>
    <s v="No"/>
    <x v="1"/>
    <s v="India"/>
    <x v="1"/>
    <s v="StayNest Garden"/>
    <x v="10"/>
    <s v="Boutique"/>
    <n v="70"/>
    <x v="5"/>
    <s v="Direct"/>
    <d v="2025-11-07T00:00:00"/>
    <s v="No"/>
    <s v="No"/>
    <s v="Off-Peak"/>
    <x v="1"/>
    <n v="0"/>
    <s v="0–7 days"/>
  </r>
  <r>
    <s v="B000475"/>
    <s v="G00326"/>
    <s v="H011"/>
    <s v="CH03"/>
    <d v="2026-10-13T00:00:00"/>
    <d v="2026-10-20T00:00:00"/>
    <x v="1"/>
    <n v="5862"/>
    <x v="0"/>
    <b v="0"/>
    <x v="4"/>
    <x v="11"/>
    <n v="2026"/>
    <n v="1"/>
    <n v="10"/>
    <n v="2026"/>
    <n v="1"/>
    <s v="No"/>
    <x v="3"/>
    <s v="India"/>
    <x v="0"/>
    <s v="StayNest Grand"/>
    <x v="8"/>
    <s v="Business"/>
    <n v="110"/>
    <x v="1"/>
    <s v="OTA Promo"/>
    <d v="2026-10-20T00:00:00"/>
    <s v="No"/>
    <s v="No"/>
    <s v="Shoulder"/>
    <x v="1"/>
    <n v="0"/>
    <s v="0–7 days"/>
  </r>
  <r>
    <s v="B000476"/>
    <s v="G00137"/>
    <s v="H011"/>
    <s v="CH01"/>
    <d v="2026-09-16T00:00:00"/>
    <d v="2026-09-30T00:00:00"/>
    <x v="2"/>
    <n v="3046"/>
    <x v="1"/>
    <b v="0"/>
    <x v="3"/>
    <x v="10"/>
    <n v="2026"/>
    <n v="2"/>
    <n v="9"/>
    <n v="2026"/>
    <n v="2"/>
    <s v="No"/>
    <x v="0"/>
    <s v="India"/>
    <x v="0"/>
    <s v="StayNest Grand"/>
    <x v="8"/>
    <s v="Business"/>
    <n v="110"/>
    <x v="5"/>
    <s v="Direct"/>
    <d v="2026-09-30T00:00:00"/>
    <s v="No"/>
    <s v="No"/>
    <s v="Shoulder"/>
    <x v="1"/>
    <n v="1"/>
    <s v="8–30 days"/>
  </r>
  <r>
    <s v="B000477"/>
    <s v="G00080"/>
    <s v="H009"/>
    <s v="CH01"/>
    <d v="2026-11-19T00:00:00"/>
    <d v="2026-12-03T00:00:00"/>
    <x v="2"/>
    <n v="4190"/>
    <x v="2"/>
    <b v="0"/>
    <x v="3"/>
    <x v="5"/>
    <n v="2026"/>
    <n v="3"/>
    <n v="11"/>
    <n v="2026"/>
    <n v="3"/>
    <s v="No"/>
    <x v="1"/>
    <s v="India"/>
    <x v="0"/>
    <s v="StayNest Airport"/>
    <x v="9"/>
    <s v="Business"/>
    <n v="160"/>
    <x v="5"/>
    <s v="Direct"/>
    <d v="2026-12-03T00:00:00"/>
    <s v="No"/>
    <s v="No"/>
    <s v="Peak"/>
    <x v="1"/>
    <n v="0"/>
    <s v="8–30 days"/>
  </r>
  <r>
    <s v="B000478"/>
    <s v="G00009"/>
    <s v="H002"/>
    <s v="CH04"/>
    <d v="2026-01-15T00:00:00"/>
    <d v="2026-06-14T00:00:00"/>
    <x v="1"/>
    <n v="7787"/>
    <x v="0"/>
    <b v="0"/>
    <x v="5"/>
    <x v="1"/>
    <n v="2026"/>
    <n v="6"/>
    <n v="1"/>
    <n v="2026"/>
    <n v="3"/>
    <s v="Yes"/>
    <x v="2"/>
    <s v="India"/>
    <x v="1"/>
    <s v="StayNest Central"/>
    <x v="0"/>
    <s v="Business"/>
    <n v="150"/>
    <x v="4"/>
    <s v="Partner"/>
    <d v="2026-06-14T00:00:00"/>
    <s v="Yes"/>
    <s v="No"/>
    <s v="Shoulder"/>
    <x v="1"/>
    <n v="0"/>
    <s v="91–180 days"/>
  </r>
  <r>
    <s v="B000479"/>
    <s v="G00629"/>
    <s v="H011"/>
    <s v="CH03"/>
    <d v="2025-08-15T00:00:00"/>
    <d v="2025-08-22T00:00:00"/>
    <x v="1"/>
    <n v="8704"/>
    <x v="0"/>
    <b v="0"/>
    <x v="4"/>
    <x v="7"/>
    <n v="2025"/>
    <n v="4"/>
    <n v="8"/>
    <n v="2025"/>
    <n v="4"/>
    <s v="No"/>
    <x v="1"/>
    <s v="India"/>
    <x v="0"/>
    <s v="StayNest Grand"/>
    <x v="8"/>
    <s v="Business"/>
    <n v="110"/>
    <x v="1"/>
    <s v="OTA Promo"/>
    <d v="2025-08-22T00:00:00"/>
    <s v="No"/>
    <s v="No"/>
    <s v="Off-Peak"/>
    <x v="1"/>
    <n v="0"/>
    <s v="0–7 days"/>
  </r>
  <r>
    <s v="B000480"/>
    <s v="G00406"/>
    <s v="H002"/>
    <s v="CH03"/>
    <d v="2026-08-06T00:00:00"/>
    <d v="2026-09-05T00:00:00"/>
    <x v="0"/>
    <n v="5817"/>
    <x v="2"/>
    <b v="0"/>
    <x v="2"/>
    <x v="10"/>
    <n v="2026"/>
    <n v="5"/>
    <n v="8"/>
    <n v="2026"/>
    <n v="3"/>
    <s v="Yes"/>
    <x v="0"/>
    <s v="United Kingdom"/>
    <x v="1"/>
    <s v="StayNest Central"/>
    <x v="0"/>
    <s v="Business"/>
    <n v="150"/>
    <x v="1"/>
    <s v="OTA Promo"/>
    <d v="2026-09-05T00:00:00"/>
    <s v="Yes"/>
    <s v="No"/>
    <s v="Shoulder"/>
    <x v="1"/>
    <n v="0"/>
    <s v="8–30 days"/>
  </r>
  <r>
    <s v="B000481"/>
    <s v="G00131"/>
    <s v="H005"/>
    <s v="CH05"/>
    <d v="2025-08-22T00:00:00"/>
    <d v="2025-11-30T00:00:00"/>
    <x v="3"/>
    <n v="10865"/>
    <x v="0"/>
    <b v="0"/>
    <x v="0"/>
    <x v="4"/>
    <n v="2025"/>
    <n v="6"/>
    <n v="8"/>
    <n v="2025"/>
    <n v="4"/>
    <s v="Yes"/>
    <x v="2"/>
    <s v="India"/>
    <x v="0"/>
    <s v="StayNest Heritage"/>
    <x v="11"/>
    <s v="Heritage"/>
    <n v="90"/>
    <x v="2"/>
    <s v="Corporate Rate"/>
    <d v="2025-11-30T00:00:00"/>
    <s v="Yes"/>
    <s v="No"/>
    <s v="Off-Peak"/>
    <x v="1"/>
    <n v="0"/>
    <s v="91–180 days"/>
  </r>
  <r>
    <s v="B000482"/>
    <s v="G00438"/>
    <s v="H011"/>
    <s v="CH06"/>
    <d v="2026-10-28T00:00:00"/>
    <d v="2026-10-29T00:00:00"/>
    <x v="3"/>
    <n v="8744"/>
    <x v="0"/>
    <b v="0"/>
    <x v="7"/>
    <x v="11"/>
    <n v="2026"/>
    <n v="3"/>
    <n v="10"/>
    <n v="2026"/>
    <n v="2"/>
    <s v="No"/>
    <x v="1"/>
    <s v="Germany"/>
    <x v="0"/>
    <s v="StayNest Grand"/>
    <x v="8"/>
    <s v="Business"/>
    <n v="110"/>
    <x v="0"/>
    <s v="Retention"/>
    <d v="2026-10-29T00:00:00"/>
    <s v="No"/>
    <s v="No"/>
    <s v="Shoulder"/>
    <x v="1"/>
    <n v="0"/>
    <s v="0–7 days"/>
  </r>
  <r>
    <s v="B000483"/>
    <s v="G00045"/>
    <s v="H012"/>
    <s v="CH02"/>
    <d v="2025-02-18T00:00:00"/>
    <d v="2025-02-25T00:00:00"/>
    <x v="1"/>
    <n v="6605"/>
    <x v="0"/>
    <b v="0"/>
    <x v="4"/>
    <x v="0"/>
    <n v="2025"/>
    <n v="1"/>
    <n v="2"/>
    <n v="2025"/>
    <n v="1"/>
    <s v="No"/>
    <x v="2"/>
    <s v="Germany"/>
    <x v="1"/>
    <s v="StayNest Valley"/>
    <x v="4"/>
    <s v="Resort"/>
    <n v="65"/>
    <x v="3"/>
    <s v="App Push"/>
    <d v="2025-02-25T00:00:00"/>
    <s v="No"/>
    <s v="No"/>
    <s v="Shoulder"/>
    <x v="1"/>
    <n v="0"/>
    <s v="0–7 days"/>
  </r>
  <r>
    <s v="B000484"/>
    <s v="G00026"/>
    <s v="H012"/>
    <s v="CH02"/>
    <d v="2026-03-10T00:00:00"/>
    <d v="2026-08-07T00:00:00"/>
    <x v="0"/>
    <n v="4848"/>
    <x v="1"/>
    <b v="0"/>
    <x v="5"/>
    <x v="7"/>
    <n v="2026"/>
    <n v="4"/>
    <n v="3"/>
    <n v="2026"/>
    <n v="1"/>
    <s v="No"/>
    <x v="3"/>
    <s v="UAE"/>
    <x v="0"/>
    <s v="StayNest Valley"/>
    <x v="4"/>
    <s v="Resort"/>
    <n v="65"/>
    <x v="3"/>
    <s v="App Push"/>
    <d v="2026-08-07T00:00:00"/>
    <s v="No"/>
    <s v="No"/>
    <s v="Off-Peak"/>
    <x v="1"/>
    <n v="1"/>
    <s v="91–180 days"/>
  </r>
  <r>
    <s v="B000485"/>
    <s v="G00492"/>
    <s v="H007"/>
    <s v="CH01"/>
    <d v="2026-08-30T00:00:00"/>
    <d v="2026-10-29T00:00:00"/>
    <x v="3"/>
    <n v="10379"/>
    <x v="2"/>
    <b v="0"/>
    <x v="1"/>
    <x v="11"/>
    <n v="2026"/>
    <n v="3"/>
    <n v="8"/>
    <n v="2026"/>
    <n v="6"/>
    <s v="No"/>
    <x v="2"/>
    <s v="India"/>
    <x v="0"/>
    <s v="StayNest Tech Park"/>
    <x v="6"/>
    <s v="Business"/>
    <n v="140"/>
    <x v="5"/>
    <s v="Direct"/>
    <d v="2026-10-29T00:00:00"/>
    <s v="No"/>
    <s v="No"/>
    <s v="Shoulder"/>
    <x v="1"/>
    <n v="0"/>
    <s v="31–90 days"/>
  </r>
  <r>
    <s v="B000486"/>
    <s v="G00533"/>
    <s v="H004"/>
    <s v="CH01"/>
    <d v="2026-09-07T00:00:00"/>
    <d v="2026-10-07T00:00:00"/>
    <x v="2"/>
    <n v="3385"/>
    <x v="1"/>
    <b v="0"/>
    <x v="2"/>
    <x v="11"/>
    <n v="2026"/>
    <n v="2"/>
    <n v="9"/>
    <n v="2026"/>
    <n v="0"/>
    <s v="No"/>
    <x v="1"/>
    <s v="India"/>
    <x v="0"/>
    <s v="StayNest Lakeview"/>
    <x v="2"/>
    <s v="Resort"/>
    <n v="75"/>
    <x v="5"/>
    <s v="Direct"/>
    <d v="2026-10-07T00:00:00"/>
    <s v="No"/>
    <s v="No"/>
    <s v="Shoulder"/>
    <x v="1"/>
    <n v="1"/>
    <s v="8–30 days"/>
  </r>
  <r>
    <s v="B000487"/>
    <s v="G00321"/>
    <s v="H012"/>
    <s v="CH01"/>
    <d v="2025-05-11T00:00:00"/>
    <d v="2025-05-12T00:00:00"/>
    <x v="1"/>
    <n v="5417"/>
    <x v="0"/>
    <b v="0"/>
    <x v="7"/>
    <x v="9"/>
    <n v="2025"/>
    <n v="0"/>
    <n v="5"/>
    <n v="2025"/>
    <n v="6"/>
    <s v="No"/>
    <x v="0"/>
    <s v="India"/>
    <x v="0"/>
    <s v="StayNest Valley"/>
    <x v="4"/>
    <s v="Resort"/>
    <n v="65"/>
    <x v="5"/>
    <s v="Direct"/>
    <d v="2025-05-12T00:00:00"/>
    <s v="No"/>
    <s v="No"/>
    <s v="Peak"/>
    <x v="1"/>
    <n v="0"/>
    <s v="0–7 days"/>
  </r>
  <r>
    <s v="B000488"/>
    <s v="G00391"/>
    <s v="H007"/>
    <s v="CH01"/>
    <d v="2026-09-25T00:00:00"/>
    <d v="2026-11-24T00:00:00"/>
    <x v="0"/>
    <n v="3543"/>
    <x v="0"/>
    <b v="0"/>
    <x v="1"/>
    <x v="4"/>
    <n v="2026"/>
    <n v="1"/>
    <n v="9"/>
    <n v="2026"/>
    <n v="4"/>
    <s v="No"/>
    <x v="1"/>
    <s v="India"/>
    <x v="1"/>
    <s v="StayNest Tech Park"/>
    <x v="6"/>
    <s v="Business"/>
    <n v="140"/>
    <x v="5"/>
    <s v="Direct"/>
    <d v="2026-11-24T00:00:00"/>
    <s v="No"/>
    <s v="No"/>
    <s v="Off-Peak"/>
    <x v="1"/>
    <n v="0"/>
    <s v="31–90 days"/>
  </r>
  <r>
    <s v="B000489"/>
    <s v="G00104"/>
    <s v="H006"/>
    <s v="CH06"/>
    <d v="2026-11-23T00:00:00"/>
    <d v="2027-01-22T00:00:00"/>
    <x v="1"/>
    <n v="5442"/>
    <x v="0"/>
    <b v="0"/>
    <x v="1"/>
    <x v="6"/>
    <n v="2027"/>
    <n v="4"/>
    <n v="11"/>
    <n v="2026"/>
    <n v="0"/>
    <s v="No"/>
    <x v="2"/>
    <s v="UAE"/>
    <x v="1"/>
    <s v="StayNest Beach"/>
    <x v="3"/>
    <s v="Resort"/>
    <n v="100"/>
    <x v="0"/>
    <s v="Retention"/>
    <m/>
    <s v="Unknown"/>
    <s v="Unknown"/>
    <s v="Unknown"/>
    <x v="0"/>
    <n v="0"/>
    <s v="31–90 days"/>
  </r>
  <r>
    <s v="B000490"/>
    <s v="G00199"/>
    <s v="H010"/>
    <s v="CH02"/>
    <d v="2026-10-15T00:00:00"/>
    <d v="2026-11-14T00:00:00"/>
    <x v="3"/>
    <n v="8023"/>
    <x v="1"/>
    <b v="0"/>
    <x v="2"/>
    <x v="4"/>
    <n v="2026"/>
    <n v="5"/>
    <n v="10"/>
    <n v="2026"/>
    <n v="3"/>
    <s v="Yes"/>
    <x v="1"/>
    <s v="UAE"/>
    <x v="0"/>
    <s v="StayNest Garden"/>
    <x v="10"/>
    <s v="Boutique"/>
    <n v="70"/>
    <x v="3"/>
    <s v="App Push"/>
    <d v="2026-11-14T00:00:00"/>
    <s v="Yes"/>
    <s v="No"/>
    <s v="Off-Peak"/>
    <x v="1"/>
    <n v="1"/>
    <s v="8–30 days"/>
  </r>
  <r>
    <s v="B000491"/>
    <s v="G00131"/>
    <s v="H005"/>
    <s v="CH05"/>
    <d v="2026-03-23T00:00:00"/>
    <d v="2026-04-22T00:00:00"/>
    <x v="3"/>
    <n v="7692"/>
    <x v="0"/>
    <b v="0"/>
    <x v="2"/>
    <x v="2"/>
    <n v="2026"/>
    <n v="2"/>
    <n v="3"/>
    <n v="2026"/>
    <n v="0"/>
    <s v="No"/>
    <x v="2"/>
    <s v="India"/>
    <x v="0"/>
    <s v="StayNest Heritage"/>
    <x v="11"/>
    <s v="Heritage"/>
    <n v="90"/>
    <x v="2"/>
    <s v="Corporate Rate"/>
    <d v="2026-04-22T00:00:00"/>
    <s v="No"/>
    <s v="No"/>
    <s v="Peak"/>
    <x v="1"/>
    <n v="0"/>
    <s v="8–30 days"/>
  </r>
  <r>
    <s v="B000492"/>
    <s v="G00009"/>
    <s v="H009"/>
    <s v="CH05"/>
    <d v="2026-11-05T00:00:00"/>
    <d v="2027-01-04T00:00:00"/>
    <x v="2"/>
    <n v="3238"/>
    <x v="0"/>
    <b v="0"/>
    <x v="1"/>
    <x v="6"/>
    <n v="2027"/>
    <n v="0"/>
    <n v="11"/>
    <n v="2026"/>
    <n v="3"/>
    <s v="No"/>
    <x v="2"/>
    <s v="India"/>
    <x v="1"/>
    <s v="StayNest Airport"/>
    <x v="9"/>
    <s v="Business"/>
    <n v="160"/>
    <x v="2"/>
    <s v="Corporate Rate"/>
    <m/>
    <s v="Unknown"/>
    <s v="Unknown"/>
    <s v="Unknown"/>
    <x v="0"/>
    <n v="0"/>
    <s v="31–90 days"/>
  </r>
  <r>
    <s v="B000493"/>
    <s v="G00207"/>
    <s v="H002"/>
    <s v="CH03"/>
    <d v="2025-07-13T00:00:00"/>
    <d v="2025-08-12T00:00:00"/>
    <x v="1"/>
    <n v="7318"/>
    <x v="0"/>
    <b v="0"/>
    <x v="2"/>
    <x v="7"/>
    <n v="2025"/>
    <n v="1"/>
    <n v="7"/>
    <n v="2025"/>
    <n v="6"/>
    <s v="No"/>
    <x v="0"/>
    <s v="India"/>
    <x v="1"/>
    <s v="StayNest Central"/>
    <x v="0"/>
    <s v="Business"/>
    <n v="150"/>
    <x v="1"/>
    <s v="OTA Promo"/>
    <d v="2025-08-12T00:00:00"/>
    <s v="No"/>
    <s v="No"/>
    <s v="Off-Peak"/>
    <x v="1"/>
    <n v="0"/>
    <s v="8–30 days"/>
  </r>
  <r>
    <s v="B000494"/>
    <s v="G00167"/>
    <s v="H002"/>
    <s v="CH04"/>
    <d v="2025-02-13T00:00:00"/>
    <d v="2025-03-15T00:00:00"/>
    <x v="2"/>
    <n v="3619"/>
    <x v="2"/>
    <b v="0"/>
    <x v="2"/>
    <x v="3"/>
    <n v="2025"/>
    <n v="5"/>
    <n v="2"/>
    <n v="2025"/>
    <n v="3"/>
    <s v="Yes"/>
    <x v="3"/>
    <s v="India"/>
    <x v="0"/>
    <s v="StayNest Central"/>
    <x v="0"/>
    <s v="Business"/>
    <n v="150"/>
    <x v="4"/>
    <s v="Partner"/>
    <d v="2025-03-15T00:00:00"/>
    <s v="Yes"/>
    <s v="No"/>
    <s v="Shoulder"/>
    <x v="1"/>
    <n v="0"/>
    <s v="8–30 days"/>
  </r>
  <r>
    <s v="B000495"/>
    <s v="G00340"/>
    <s v="H012"/>
    <s v="CH04"/>
    <d v="2025-07-30T00:00:00"/>
    <d v="2025-08-13T00:00:00"/>
    <x v="2"/>
    <n v="2220"/>
    <x v="0"/>
    <b v="0"/>
    <x v="3"/>
    <x v="7"/>
    <n v="2025"/>
    <n v="2"/>
    <n v="7"/>
    <n v="2025"/>
    <n v="2"/>
    <s v="No"/>
    <x v="3"/>
    <s v="India"/>
    <x v="0"/>
    <s v="StayNest Valley"/>
    <x v="4"/>
    <s v="Resort"/>
    <n v="65"/>
    <x v="4"/>
    <s v="Partner"/>
    <d v="2025-08-13T00:00:00"/>
    <s v="No"/>
    <s v="No"/>
    <s v="Off-Peak"/>
    <x v="1"/>
    <n v="0"/>
    <s v="8–30 days"/>
  </r>
  <r>
    <s v="B000496"/>
    <s v="G00647"/>
    <s v="H010"/>
    <s v="CH03"/>
    <d v="2025-02-14T00:00:00"/>
    <d v="2025-09-22T00:00:00"/>
    <x v="0"/>
    <n v="4213"/>
    <x v="1"/>
    <b v="0"/>
    <x v="8"/>
    <x v="10"/>
    <n v="2025"/>
    <n v="0"/>
    <n v="2"/>
    <n v="2025"/>
    <n v="4"/>
    <s v="No"/>
    <x v="2"/>
    <s v="India"/>
    <x v="0"/>
    <s v="StayNest Garden"/>
    <x v="10"/>
    <s v="Boutique"/>
    <n v="70"/>
    <x v="1"/>
    <s v="OTA Promo"/>
    <d v="2025-09-22T00:00:00"/>
    <s v="No"/>
    <s v="No"/>
    <s v="Shoulder"/>
    <x v="1"/>
    <n v="1"/>
    <s v="181+ days"/>
  </r>
  <r>
    <s v="B000497"/>
    <s v="G00568"/>
    <s v="H004"/>
    <s v="CH02"/>
    <d v="2025-07-20T00:00:00"/>
    <d v="2025-07-21T00:00:00"/>
    <x v="3"/>
    <n v="9604"/>
    <x v="1"/>
    <b v="0"/>
    <x v="7"/>
    <x v="8"/>
    <n v="2025"/>
    <n v="0"/>
    <n v="7"/>
    <n v="2025"/>
    <n v="6"/>
    <s v="No"/>
    <x v="3"/>
    <s v="India"/>
    <x v="0"/>
    <s v="StayNest Lakeview"/>
    <x v="2"/>
    <s v="Resort"/>
    <n v="75"/>
    <x v="3"/>
    <s v="App Push"/>
    <d v="2025-07-21T00:00:00"/>
    <s v="No"/>
    <s v="No"/>
    <s v="Off-Peak"/>
    <x v="1"/>
    <n v="1"/>
    <s v="0–7 days"/>
  </r>
  <r>
    <s v="B000498"/>
    <s v="G00216"/>
    <s v="H005"/>
    <s v="CH04"/>
    <d v="2025-09-03T00:00:00"/>
    <d v="2025-09-17T00:00:00"/>
    <x v="3"/>
    <n v="11605"/>
    <x v="0"/>
    <b v="0"/>
    <x v="3"/>
    <x v="10"/>
    <n v="2025"/>
    <n v="2"/>
    <n v="9"/>
    <n v="2025"/>
    <n v="2"/>
    <s v="No"/>
    <x v="3"/>
    <s v="Singapore"/>
    <x v="0"/>
    <s v="StayNest Heritage"/>
    <x v="11"/>
    <s v="Heritage"/>
    <n v="90"/>
    <x v="4"/>
    <s v="Partner"/>
    <d v="2025-09-17T00:00:00"/>
    <s v="No"/>
    <s v="No"/>
    <s v="Shoulder"/>
    <x v="1"/>
    <n v="0"/>
    <s v="8–30 days"/>
  </r>
  <r>
    <s v="B000499"/>
    <s v="G00134"/>
    <s v="H004"/>
    <s v="CH02"/>
    <d v="2026-06-30T00:00:00"/>
    <d v="2026-07-14T00:00:00"/>
    <x v="3"/>
    <n v="11711"/>
    <x v="0"/>
    <b v="0"/>
    <x v="3"/>
    <x v="8"/>
    <n v="2026"/>
    <n v="1"/>
    <n v="6"/>
    <n v="2026"/>
    <n v="1"/>
    <s v="No"/>
    <x v="3"/>
    <s v="India"/>
    <x v="1"/>
    <s v="StayNest Lakeview"/>
    <x v="2"/>
    <s v="Resort"/>
    <n v="75"/>
    <x v="3"/>
    <s v="App Push"/>
    <d v="2026-07-14T00:00:00"/>
    <s v="No"/>
    <s v="No"/>
    <s v="Off-Peak"/>
    <x v="1"/>
    <n v="0"/>
    <s v="8–30 days"/>
  </r>
  <r>
    <s v="B000500"/>
    <s v="G00549"/>
    <s v="H005"/>
    <s v="CH02"/>
    <d v="2025-12-02T00:00:00"/>
    <d v="2025-12-09T00:00:00"/>
    <x v="3"/>
    <n v="11284"/>
    <x v="2"/>
    <b v="0"/>
    <x v="4"/>
    <x v="5"/>
    <n v="2025"/>
    <n v="1"/>
    <n v="12"/>
    <n v="2025"/>
    <n v="1"/>
    <s v="No"/>
    <x v="3"/>
    <s v="India"/>
    <x v="1"/>
    <s v="StayNest Heritage"/>
    <x v="11"/>
    <s v="Heritage"/>
    <n v="90"/>
    <x v="3"/>
    <s v="App Push"/>
    <d v="2025-12-09T00:00:00"/>
    <s v="No"/>
    <s v="No"/>
    <s v="Peak"/>
    <x v="1"/>
    <n v="0"/>
    <s v="0–7 days"/>
  </r>
  <r>
    <s v="B000501"/>
    <s v="G00630"/>
    <s v="H002"/>
    <s v="CH02"/>
    <d v="2026-06-05T00:00:00"/>
    <d v="2026-06-19T00:00:00"/>
    <x v="3"/>
    <n v="7966"/>
    <x v="0"/>
    <b v="0"/>
    <x v="3"/>
    <x v="1"/>
    <n v="2026"/>
    <n v="4"/>
    <n v="6"/>
    <n v="2026"/>
    <n v="4"/>
    <s v="No"/>
    <x v="1"/>
    <s v="India"/>
    <x v="1"/>
    <s v="StayNest Central"/>
    <x v="0"/>
    <s v="Business"/>
    <n v="150"/>
    <x v="3"/>
    <s v="App Push"/>
    <d v="2026-06-19T00:00:00"/>
    <s v="No"/>
    <s v="No"/>
    <s v="Shoulder"/>
    <x v="1"/>
    <n v="0"/>
    <s v="8–30 days"/>
  </r>
  <r>
    <s v="B000502"/>
    <s v="G00507"/>
    <s v="H008"/>
    <s v="CH03"/>
    <d v="2026-08-19T00:00:00"/>
    <d v="2026-09-02T00:00:00"/>
    <x v="2"/>
    <n v="2649"/>
    <x v="1"/>
    <b v="0"/>
    <x v="3"/>
    <x v="10"/>
    <n v="2026"/>
    <n v="2"/>
    <n v="8"/>
    <n v="2026"/>
    <n v="2"/>
    <s v="No"/>
    <x v="3"/>
    <s v="India"/>
    <x v="1"/>
    <s v="StayNest Palace"/>
    <x v="7"/>
    <s v="Heritage"/>
    <n v="85"/>
    <x v="1"/>
    <s v="OTA Promo"/>
    <d v="2026-09-02T00:00:00"/>
    <s v="No"/>
    <s v="No"/>
    <s v="Shoulder"/>
    <x v="1"/>
    <n v="1"/>
    <s v="8–30 days"/>
  </r>
  <r>
    <s v="B000503"/>
    <s v="G00436"/>
    <s v="H007"/>
    <s v="CH05"/>
    <d v="2025-06-10T00:00:00"/>
    <d v="2025-11-07T00:00:00"/>
    <x v="3"/>
    <n v="7600"/>
    <x v="0"/>
    <b v="0"/>
    <x v="5"/>
    <x v="4"/>
    <n v="2025"/>
    <n v="4"/>
    <n v="6"/>
    <n v="2025"/>
    <n v="1"/>
    <s v="No"/>
    <x v="3"/>
    <s v="India"/>
    <x v="0"/>
    <s v="StayNest Tech Park"/>
    <x v="6"/>
    <s v="Business"/>
    <n v="140"/>
    <x v="2"/>
    <s v="Corporate Rate"/>
    <d v="2025-11-07T00:00:00"/>
    <s v="No"/>
    <s v="No"/>
    <s v="Off-Peak"/>
    <x v="1"/>
    <n v="0"/>
    <s v="91–180 days"/>
  </r>
  <r>
    <s v="B000504"/>
    <s v="G00598"/>
    <s v="H001"/>
    <s v="CH04"/>
    <d v="2026-06-09T00:00:00"/>
    <d v="2026-07-09T00:00:00"/>
    <x v="1"/>
    <n v="6505"/>
    <x v="0"/>
    <b v="0"/>
    <x v="2"/>
    <x v="8"/>
    <n v="2026"/>
    <n v="3"/>
    <n v="6"/>
    <n v="2026"/>
    <n v="1"/>
    <s v="No"/>
    <x v="1"/>
    <s v="India"/>
    <x v="0"/>
    <s v="StayNest Marina"/>
    <x v="1"/>
    <s v="Business"/>
    <n v="120"/>
    <x v="4"/>
    <s v="Partner"/>
    <d v="2026-07-09T00:00:00"/>
    <s v="No"/>
    <s v="No"/>
    <s v="Off-Peak"/>
    <x v="1"/>
    <n v="0"/>
    <s v="8–30 days"/>
  </r>
  <r>
    <s v="B000505"/>
    <s v="G00184"/>
    <s v="H008"/>
    <s v="CH02"/>
    <d v="2025-09-29T00:00:00"/>
    <d v="2025-10-29T00:00:00"/>
    <x v="3"/>
    <n v="10700"/>
    <x v="2"/>
    <b v="0"/>
    <x v="2"/>
    <x v="11"/>
    <n v="2025"/>
    <n v="2"/>
    <n v="9"/>
    <n v="2025"/>
    <n v="0"/>
    <s v="No"/>
    <x v="1"/>
    <s v="United States"/>
    <x v="0"/>
    <s v="StayNest Palace"/>
    <x v="7"/>
    <s v="Heritage"/>
    <n v="85"/>
    <x v="3"/>
    <s v="App Push"/>
    <d v="2025-10-29T00:00:00"/>
    <s v="No"/>
    <s v="No"/>
    <s v="Shoulder"/>
    <x v="1"/>
    <n v="0"/>
    <s v="8–30 days"/>
  </r>
  <r>
    <s v="B000506"/>
    <s v="G00101"/>
    <s v="H002"/>
    <s v="CH01"/>
    <d v="2026-01-04T00:00:00"/>
    <d v="2026-01-05T00:00:00"/>
    <x v="0"/>
    <n v="4848"/>
    <x v="2"/>
    <b v="0"/>
    <x v="7"/>
    <x v="6"/>
    <n v="2026"/>
    <n v="0"/>
    <n v="1"/>
    <n v="2026"/>
    <n v="6"/>
    <s v="No"/>
    <x v="2"/>
    <s v="India"/>
    <x v="0"/>
    <s v="StayNest Central"/>
    <x v="0"/>
    <s v="Business"/>
    <n v="150"/>
    <x v="5"/>
    <s v="Direct"/>
    <d v="2026-01-05T00:00:00"/>
    <s v="No"/>
    <s v="No"/>
    <s v="Off-Peak"/>
    <x v="1"/>
    <n v="0"/>
    <s v="0–7 days"/>
  </r>
  <r>
    <s v="B000507"/>
    <s v="G00196"/>
    <s v="H012"/>
    <s v="CH05"/>
    <d v="2025-05-22T00:00:00"/>
    <d v="2025-12-28T00:00:00"/>
    <x v="3"/>
    <n v="8808"/>
    <x v="3"/>
    <b v="0"/>
    <x v="8"/>
    <x v="5"/>
    <n v="2025"/>
    <n v="6"/>
    <n v="5"/>
    <n v="2025"/>
    <n v="3"/>
    <s v="Yes"/>
    <x v="1"/>
    <s v="India"/>
    <x v="0"/>
    <s v="StayNest Valley"/>
    <x v="4"/>
    <s v="Resort"/>
    <n v="65"/>
    <x v="2"/>
    <s v="Corporate Rate"/>
    <d v="2025-12-28T00:00:00"/>
    <s v="Yes"/>
    <s v="No"/>
    <s v="Peak"/>
    <x v="1"/>
    <n v="0"/>
    <s v="181+ days"/>
  </r>
  <r>
    <s v="B000508"/>
    <s v="G00594"/>
    <s v="H011"/>
    <s v="CH01"/>
    <d v="2026-04-29T00:00:00"/>
    <d v="2026-05-29T00:00:00"/>
    <x v="0"/>
    <n v="4429"/>
    <x v="0"/>
    <b v="0"/>
    <x v="2"/>
    <x v="9"/>
    <n v="2026"/>
    <n v="4"/>
    <n v="4"/>
    <n v="2026"/>
    <n v="2"/>
    <s v="No"/>
    <x v="1"/>
    <s v="Unknown"/>
    <x v="0"/>
    <s v="StayNest Grand"/>
    <x v="8"/>
    <s v="Business"/>
    <n v="110"/>
    <x v="5"/>
    <s v="Direct"/>
    <d v="2026-05-29T00:00:00"/>
    <s v="No"/>
    <s v="No"/>
    <s v="Peak"/>
    <x v="1"/>
    <n v="0"/>
    <s v="8–30 days"/>
  </r>
  <r>
    <s v="B000509"/>
    <s v="G00480"/>
    <s v="H012"/>
    <s v="CH04"/>
    <d v="2025-12-15T00:00:00"/>
    <d v="2026-02-13T00:00:00"/>
    <x v="3"/>
    <n v="8216"/>
    <x v="0"/>
    <b v="0"/>
    <x v="1"/>
    <x v="0"/>
    <n v="2026"/>
    <n v="4"/>
    <n v="12"/>
    <n v="2025"/>
    <n v="0"/>
    <s v="No"/>
    <x v="1"/>
    <s v="India"/>
    <x v="0"/>
    <s v="StayNest Valley"/>
    <x v="4"/>
    <s v="Resort"/>
    <n v="65"/>
    <x v="4"/>
    <s v="Partner"/>
    <d v="2026-02-13T00:00:00"/>
    <s v="No"/>
    <s v="No"/>
    <s v="Shoulder"/>
    <x v="1"/>
    <n v="0"/>
    <s v="31–90 days"/>
  </r>
  <r>
    <s v="B000510"/>
    <s v="G00592"/>
    <s v="H003"/>
    <s v="CH03"/>
    <d v="2025-01-10T00:00:00"/>
    <d v="2025-02-09T00:00:00"/>
    <x v="3"/>
    <n v="9987"/>
    <x v="2"/>
    <b v="0"/>
    <x v="2"/>
    <x v="0"/>
    <n v="2025"/>
    <n v="6"/>
    <n v="1"/>
    <n v="2025"/>
    <n v="4"/>
    <s v="Yes"/>
    <x v="1"/>
    <s v="Germany"/>
    <x v="0"/>
    <s v="StayNest Hills"/>
    <x v="5"/>
    <s v="Resort"/>
    <n v="80"/>
    <x v="1"/>
    <s v="OTA Promo"/>
    <d v="2025-02-09T00:00:00"/>
    <s v="Yes"/>
    <s v="No"/>
    <s v="Shoulder"/>
    <x v="1"/>
    <n v="0"/>
    <s v="8–30 days"/>
  </r>
  <r>
    <s v="B000512"/>
    <s v="G00401"/>
    <s v="H007"/>
    <s v="CH02"/>
    <d v="2026-02-05T00:00:00"/>
    <d v="2026-02-06T00:00:00"/>
    <x v="1"/>
    <n v="7332"/>
    <x v="0"/>
    <b v="0"/>
    <x v="7"/>
    <x v="0"/>
    <n v="2026"/>
    <n v="4"/>
    <n v="2"/>
    <n v="2026"/>
    <n v="3"/>
    <s v="No"/>
    <x v="0"/>
    <s v="India"/>
    <x v="0"/>
    <s v="StayNest Tech Park"/>
    <x v="6"/>
    <s v="Business"/>
    <n v="140"/>
    <x v="3"/>
    <s v="App Push"/>
    <d v="2026-02-06T00:00:00"/>
    <s v="No"/>
    <s v="No"/>
    <s v="Shoulder"/>
    <x v="1"/>
    <n v="0"/>
    <s v="0–7 days"/>
  </r>
  <r>
    <s v="B000513"/>
    <s v="G00176"/>
    <s v="H002"/>
    <s v="CH06"/>
    <d v="2026-07-21T00:00:00"/>
    <d v="2026-07-24T00:00:00"/>
    <x v="1"/>
    <n v="8732"/>
    <x v="0"/>
    <b v="0"/>
    <x v="6"/>
    <x v="8"/>
    <n v="2026"/>
    <n v="4"/>
    <n v="7"/>
    <n v="2026"/>
    <n v="1"/>
    <s v="No"/>
    <x v="0"/>
    <s v="Germany"/>
    <x v="1"/>
    <s v="StayNest Central"/>
    <x v="0"/>
    <s v="Business"/>
    <n v="150"/>
    <x v="0"/>
    <s v="Retention"/>
    <d v="2026-07-24T00:00:00"/>
    <s v="No"/>
    <s v="No"/>
    <s v="Off-Peak"/>
    <x v="1"/>
    <n v="0"/>
    <s v="0–7 days"/>
  </r>
  <r>
    <s v="B000514"/>
    <s v="G00537"/>
    <s v="H002"/>
    <s v="CH04"/>
    <d v="2025-02-28T00:00:00"/>
    <d v="2025-03-14T00:00:00"/>
    <x v="2"/>
    <n v="2869"/>
    <x v="0"/>
    <b v="0"/>
    <x v="3"/>
    <x v="3"/>
    <n v="2025"/>
    <n v="4"/>
    <n v="2"/>
    <n v="2025"/>
    <n v="4"/>
    <s v="No"/>
    <x v="1"/>
    <s v="India"/>
    <x v="0"/>
    <s v="StayNest Central"/>
    <x v="0"/>
    <s v="Business"/>
    <n v="150"/>
    <x v="4"/>
    <s v="Partner"/>
    <d v="2025-03-14T00:00:00"/>
    <s v="No"/>
    <s v="No"/>
    <s v="Shoulder"/>
    <x v="1"/>
    <n v="0"/>
    <s v="8–30 days"/>
  </r>
  <r>
    <s v="B000515"/>
    <s v="G00071"/>
    <s v="H007"/>
    <s v="CH02"/>
    <d v="2025-05-14T00:00:00"/>
    <d v="2025-08-22T00:00:00"/>
    <x v="3"/>
    <n v="7800"/>
    <x v="0"/>
    <b v="0"/>
    <x v="0"/>
    <x v="7"/>
    <n v="2025"/>
    <n v="4"/>
    <n v="5"/>
    <n v="2025"/>
    <n v="2"/>
    <s v="No"/>
    <x v="1"/>
    <s v="United Kingdom"/>
    <x v="0"/>
    <s v="StayNest Tech Park"/>
    <x v="6"/>
    <s v="Business"/>
    <n v="140"/>
    <x v="3"/>
    <s v="App Push"/>
    <d v="2025-08-22T00:00:00"/>
    <s v="No"/>
    <s v="No"/>
    <s v="Off-Peak"/>
    <x v="1"/>
    <n v="0"/>
    <s v="91–180 days"/>
  </r>
  <r>
    <s v="B000516"/>
    <s v="G00470"/>
    <s v="H005"/>
    <s v="CH02"/>
    <d v="2025-01-08T00:00:00"/>
    <d v="2025-08-16T00:00:00"/>
    <x v="1"/>
    <n v="8307"/>
    <x v="0"/>
    <b v="0"/>
    <x v="8"/>
    <x v="7"/>
    <n v="2025"/>
    <n v="5"/>
    <n v="1"/>
    <n v="2025"/>
    <n v="2"/>
    <s v="Yes"/>
    <x v="3"/>
    <s v="India"/>
    <x v="0"/>
    <s v="StayNest Heritage"/>
    <x v="11"/>
    <s v="Heritage"/>
    <n v="90"/>
    <x v="3"/>
    <s v="App Push"/>
    <d v="2025-08-16T00:00:00"/>
    <s v="Yes"/>
    <s v="No"/>
    <s v="Off-Peak"/>
    <x v="1"/>
    <n v="0"/>
    <s v="181+ days"/>
  </r>
  <r>
    <s v="B000517"/>
    <s v="G00503"/>
    <s v="H008"/>
    <s v="CH04"/>
    <d v="2026-08-13T00:00:00"/>
    <d v="2026-08-14T00:00:00"/>
    <x v="2"/>
    <n v="3523"/>
    <x v="0"/>
    <b v="0"/>
    <x v="7"/>
    <x v="7"/>
    <n v="2026"/>
    <n v="4"/>
    <n v="8"/>
    <n v="2026"/>
    <n v="3"/>
    <s v="No"/>
    <x v="1"/>
    <s v="United Kingdom"/>
    <x v="0"/>
    <s v="StayNest Palace"/>
    <x v="7"/>
    <s v="Heritage"/>
    <n v="85"/>
    <x v="4"/>
    <s v="Partner"/>
    <d v="2026-08-14T00:00:00"/>
    <s v="No"/>
    <s v="No"/>
    <s v="Off-Peak"/>
    <x v="1"/>
    <n v="0"/>
    <s v="0–7 days"/>
  </r>
  <r>
    <s v="B000518"/>
    <s v="G00180"/>
    <s v="H007"/>
    <s v="CH02"/>
    <d v="2025-07-03T00:00:00"/>
    <d v="2025-10-11T00:00:00"/>
    <x v="1"/>
    <n v="5391"/>
    <x v="0"/>
    <b v="0"/>
    <x v="0"/>
    <x v="11"/>
    <n v="2025"/>
    <n v="5"/>
    <n v="7"/>
    <n v="2025"/>
    <n v="3"/>
    <s v="Yes"/>
    <x v="3"/>
    <s v="United States"/>
    <x v="1"/>
    <s v="StayNest Tech Park"/>
    <x v="6"/>
    <s v="Business"/>
    <n v="140"/>
    <x v="3"/>
    <s v="App Push"/>
    <d v="2025-10-11T00:00:00"/>
    <s v="Yes"/>
    <s v="No"/>
    <s v="Shoulder"/>
    <x v="1"/>
    <n v="0"/>
    <s v="91–180 days"/>
  </r>
  <r>
    <s v="B000519"/>
    <s v="G00162"/>
    <s v="H005"/>
    <s v="CH06"/>
    <d v="2026-07-05T00:00:00"/>
    <d v="2026-07-12T00:00:00"/>
    <x v="2"/>
    <n v="4061"/>
    <x v="0"/>
    <b v="0"/>
    <x v="4"/>
    <x v="8"/>
    <n v="2026"/>
    <n v="6"/>
    <n v="7"/>
    <n v="2026"/>
    <n v="6"/>
    <s v="Yes"/>
    <x v="0"/>
    <s v="Singapore"/>
    <x v="0"/>
    <s v="StayNest Heritage"/>
    <x v="11"/>
    <s v="Heritage"/>
    <n v="90"/>
    <x v="0"/>
    <s v="Retention"/>
    <d v="2026-07-12T00:00:00"/>
    <s v="Yes"/>
    <s v="No"/>
    <s v="Off-Peak"/>
    <x v="1"/>
    <n v="0"/>
    <s v="0–7 days"/>
  </r>
  <r>
    <s v="B000520"/>
    <s v="G00108"/>
    <s v="H009"/>
    <s v="CH03"/>
    <d v="2026-02-24T00:00:00"/>
    <d v="2026-03-10T00:00:00"/>
    <x v="3"/>
    <n v="10286"/>
    <x v="2"/>
    <b v="0"/>
    <x v="3"/>
    <x v="3"/>
    <n v="2026"/>
    <n v="1"/>
    <n v="2"/>
    <n v="2026"/>
    <n v="1"/>
    <s v="No"/>
    <x v="2"/>
    <s v="United Kingdom"/>
    <x v="0"/>
    <s v="StayNest Airport"/>
    <x v="9"/>
    <s v="Business"/>
    <n v="160"/>
    <x v="1"/>
    <s v="OTA Promo"/>
    <d v="2026-03-10T00:00:00"/>
    <s v="No"/>
    <s v="No"/>
    <s v="Shoulder"/>
    <x v="1"/>
    <n v="0"/>
    <s v="8–30 days"/>
  </r>
  <r>
    <s v="B000521"/>
    <s v="G00391"/>
    <s v="H006"/>
    <s v="CH06"/>
    <d v="2026-02-13T00:00:00"/>
    <d v="2026-05-24T00:00:00"/>
    <x v="1"/>
    <n v="7904"/>
    <x v="2"/>
    <b v="0"/>
    <x v="0"/>
    <x v="9"/>
    <n v="2026"/>
    <n v="6"/>
    <n v="2"/>
    <n v="2026"/>
    <n v="4"/>
    <s v="Yes"/>
    <x v="1"/>
    <s v="India"/>
    <x v="1"/>
    <s v="StayNest Beach"/>
    <x v="3"/>
    <s v="Resort"/>
    <n v="100"/>
    <x v="0"/>
    <s v="Retention"/>
    <d v="2026-05-24T00:00:00"/>
    <s v="Yes"/>
    <s v="No"/>
    <s v="Peak"/>
    <x v="1"/>
    <n v="0"/>
    <s v="91–180 days"/>
  </r>
  <r>
    <s v="B000522"/>
    <s v="G00497"/>
    <s v="H008"/>
    <s v="CH01"/>
    <d v="2025-03-26T00:00:00"/>
    <d v="2025-04-25T00:00:00"/>
    <x v="0"/>
    <n v="5428"/>
    <x v="0"/>
    <b v="0"/>
    <x v="2"/>
    <x v="2"/>
    <n v="2025"/>
    <n v="4"/>
    <n v="3"/>
    <n v="2025"/>
    <n v="2"/>
    <s v="No"/>
    <x v="1"/>
    <s v="India"/>
    <x v="0"/>
    <s v="StayNest Palace"/>
    <x v="7"/>
    <s v="Heritage"/>
    <n v="85"/>
    <x v="5"/>
    <s v="Direct"/>
    <d v="2025-04-25T00:00:00"/>
    <s v="No"/>
    <s v="No"/>
    <s v="Peak"/>
    <x v="1"/>
    <n v="0"/>
    <s v="8–30 days"/>
  </r>
  <r>
    <s v="B000523"/>
    <s v="G00182"/>
    <s v="H005"/>
    <s v="CH01"/>
    <d v="2026-07-02T00:00:00"/>
    <d v="2026-08-31T00:00:00"/>
    <x v="0"/>
    <n v="3545"/>
    <x v="2"/>
    <b v="0"/>
    <x v="1"/>
    <x v="7"/>
    <n v="2026"/>
    <n v="0"/>
    <n v="7"/>
    <n v="2026"/>
    <n v="3"/>
    <s v="No"/>
    <x v="1"/>
    <s v="India"/>
    <x v="0"/>
    <s v="StayNest Heritage"/>
    <x v="11"/>
    <s v="Heritage"/>
    <n v="90"/>
    <x v="5"/>
    <s v="Direct"/>
    <d v="2026-08-31T00:00:00"/>
    <s v="No"/>
    <s v="No"/>
    <s v="Off-Peak"/>
    <x v="1"/>
    <n v="0"/>
    <s v="31–90 days"/>
  </r>
  <r>
    <s v="B000524"/>
    <s v="G00546"/>
    <s v="H004"/>
    <s v="CH04"/>
    <d v="2025-02-18T00:00:00"/>
    <d v="2025-05-29T00:00:00"/>
    <x v="2"/>
    <n v="3613"/>
    <x v="1"/>
    <b v="0"/>
    <x v="0"/>
    <x v="9"/>
    <n v="2025"/>
    <n v="3"/>
    <n v="2"/>
    <n v="2025"/>
    <n v="1"/>
    <s v="No"/>
    <x v="1"/>
    <s v="India"/>
    <x v="0"/>
    <s v="StayNest Lakeview"/>
    <x v="2"/>
    <s v="Resort"/>
    <n v="75"/>
    <x v="4"/>
    <s v="Partner"/>
    <d v="2025-05-29T00:00:00"/>
    <s v="No"/>
    <s v="No"/>
    <s v="Peak"/>
    <x v="1"/>
    <n v="1"/>
    <s v="91–180 days"/>
  </r>
  <r>
    <s v="B000525"/>
    <s v="G00387"/>
    <s v="H004"/>
    <s v="CH02"/>
    <d v="2026-01-19T00:00:00"/>
    <d v="2026-04-29T00:00:00"/>
    <x v="0"/>
    <n v="5227"/>
    <x v="1"/>
    <b v="0"/>
    <x v="0"/>
    <x v="2"/>
    <n v="2026"/>
    <n v="2"/>
    <n v="1"/>
    <n v="2026"/>
    <n v="0"/>
    <s v="No"/>
    <x v="0"/>
    <s v="India"/>
    <x v="0"/>
    <s v="StayNest Lakeview"/>
    <x v="2"/>
    <s v="Resort"/>
    <n v="75"/>
    <x v="3"/>
    <s v="App Push"/>
    <d v="2026-04-29T00:00:00"/>
    <s v="No"/>
    <s v="No"/>
    <s v="Peak"/>
    <x v="1"/>
    <n v="1"/>
    <s v="91–180 days"/>
  </r>
  <r>
    <s v="B000526"/>
    <s v="G00065"/>
    <s v="H004"/>
    <s v="CH01"/>
    <d v="2026-11-12T00:00:00"/>
    <d v="2026-11-15T00:00:00"/>
    <x v="0"/>
    <n v="5599"/>
    <x v="0"/>
    <b v="0"/>
    <x v="6"/>
    <x v="4"/>
    <n v="2026"/>
    <n v="6"/>
    <n v="11"/>
    <n v="2026"/>
    <n v="3"/>
    <s v="Yes"/>
    <x v="1"/>
    <s v="UAE"/>
    <x v="0"/>
    <s v="StayNest Lakeview"/>
    <x v="2"/>
    <s v="Resort"/>
    <n v="75"/>
    <x v="5"/>
    <s v="Direct"/>
    <d v="2026-11-15T00:00:00"/>
    <s v="Yes"/>
    <s v="No"/>
    <s v="Off-Peak"/>
    <x v="1"/>
    <n v="0"/>
    <s v="0–7 days"/>
  </r>
  <r>
    <s v="B000527"/>
    <s v="G00213"/>
    <s v="H009"/>
    <s v="CH04"/>
    <d v="2026-03-15T00:00:00"/>
    <d v="2026-03-18T00:00:00"/>
    <x v="0"/>
    <n v="4824"/>
    <x v="0"/>
    <b v="0"/>
    <x v="6"/>
    <x v="3"/>
    <n v="2026"/>
    <n v="2"/>
    <n v="3"/>
    <n v="2026"/>
    <n v="6"/>
    <s v="No"/>
    <x v="1"/>
    <s v="India"/>
    <x v="0"/>
    <s v="StayNest Airport"/>
    <x v="9"/>
    <s v="Business"/>
    <n v="160"/>
    <x v="4"/>
    <s v="Partner"/>
    <d v="2026-03-18T00:00:00"/>
    <s v="No"/>
    <s v="No"/>
    <s v="Shoulder"/>
    <x v="1"/>
    <n v="0"/>
    <s v="0–7 days"/>
  </r>
  <r>
    <s v="B000528"/>
    <s v="G00470"/>
    <s v="H004"/>
    <s v="CH01"/>
    <d v="2026-11-05T00:00:00"/>
    <d v="2027-02-13T00:00:00"/>
    <x v="3"/>
    <n v="9867"/>
    <x v="3"/>
    <b v="0"/>
    <x v="0"/>
    <x v="0"/>
    <n v="2027"/>
    <n v="5"/>
    <n v="11"/>
    <n v="2026"/>
    <n v="3"/>
    <s v="Yes"/>
    <x v="3"/>
    <s v="India"/>
    <x v="0"/>
    <s v="StayNest Lakeview"/>
    <x v="2"/>
    <s v="Resort"/>
    <n v="75"/>
    <x v="5"/>
    <s v="Direct"/>
    <m/>
    <s v="Unknown"/>
    <s v="Unknown"/>
    <s v="Unknown"/>
    <x v="0"/>
    <n v="0"/>
    <s v="91–180 days"/>
  </r>
  <r>
    <s v="B000529"/>
    <s v="G00550"/>
    <s v="H010"/>
    <s v="CH02"/>
    <d v="2025-09-15T00:00:00"/>
    <d v="2026-02-12T00:00:00"/>
    <x v="3"/>
    <n v="9220"/>
    <x v="0"/>
    <b v="0"/>
    <x v="5"/>
    <x v="0"/>
    <n v="2026"/>
    <n v="3"/>
    <n v="9"/>
    <n v="2025"/>
    <n v="0"/>
    <s v="No"/>
    <x v="2"/>
    <s v="India"/>
    <x v="0"/>
    <s v="StayNest Garden"/>
    <x v="10"/>
    <s v="Boutique"/>
    <n v="70"/>
    <x v="3"/>
    <s v="App Push"/>
    <d v="2026-02-12T00:00:00"/>
    <s v="No"/>
    <s v="No"/>
    <s v="Shoulder"/>
    <x v="1"/>
    <n v="0"/>
    <s v="91–180 days"/>
  </r>
  <r>
    <s v="B000530"/>
    <s v="G00494"/>
    <s v="H002"/>
    <s v="CH03"/>
    <d v="2025-01-19T00:00:00"/>
    <d v="2025-02-18T00:00:00"/>
    <x v="1"/>
    <n v="7406"/>
    <x v="1"/>
    <b v="0"/>
    <x v="2"/>
    <x v="0"/>
    <n v="2025"/>
    <n v="1"/>
    <n v="1"/>
    <n v="2025"/>
    <n v="6"/>
    <s v="No"/>
    <x v="0"/>
    <s v="India"/>
    <x v="0"/>
    <s v="StayNest Central"/>
    <x v="0"/>
    <s v="Business"/>
    <n v="150"/>
    <x v="1"/>
    <s v="OTA Promo"/>
    <d v="2025-02-18T00:00:00"/>
    <s v="No"/>
    <s v="No"/>
    <s v="Shoulder"/>
    <x v="1"/>
    <n v="1"/>
    <s v="8–30 days"/>
  </r>
  <r>
    <s v="B000531"/>
    <s v="G00022"/>
    <s v="H010"/>
    <s v="CH01"/>
    <d v="2025-11-13T00:00:00"/>
    <d v="2025-11-20T00:00:00"/>
    <x v="1"/>
    <n v="5563"/>
    <x v="0"/>
    <b v="0"/>
    <x v="4"/>
    <x v="4"/>
    <n v="2025"/>
    <n v="3"/>
    <n v="11"/>
    <n v="2025"/>
    <n v="3"/>
    <s v="No"/>
    <x v="0"/>
    <s v="Singapore"/>
    <x v="0"/>
    <s v="StayNest Garden"/>
    <x v="10"/>
    <s v="Boutique"/>
    <n v="70"/>
    <x v="5"/>
    <s v="Direct"/>
    <d v="2025-11-20T00:00:00"/>
    <s v="No"/>
    <s v="No"/>
    <s v="Off-Peak"/>
    <x v="1"/>
    <n v="0"/>
    <s v="0–7 days"/>
  </r>
  <r>
    <s v="B000532"/>
    <s v="G00210"/>
    <s v="H011"/>
    <s v="CH01"/>
    <d v="2025-09-01T00:00:00"/>
    <d v="2026-01-29T00:00:00"/>
    <x v="1"/>
    <n v="7636"/>
    <x v="1"/>
    <b v="0"/>
    <x v="5"/>
    <x v="6"/>
    <n v="2026"/>
    <n v="3"/>
    <n v="9"/>
    <n v="2025"/>
    <n v="0"/>
    <s v="No"/>
    <x v="1"/>
    <s v="India"/>
    <x v="0"/>
    <s v="StayNest Grand"/>
    <x v="8"/>
    <s v="Business"/>
    <n v="110"/>
    <x v="5"/>
    <s v="Direct"/>
    <d v="2026-01-29T00:00:00"/>
    <s v="No"/>
    <s v="No"/>
    <s v="Off-Peak"/>
    <x v="1"/>
    <n v="1"/>
    <s v="91–180 days"/>
  </r>
  <r>
    <s v="B000533"/>
    <s v="G00425"/>
    <s v="H011"/>
    <s v="CH03"/>
    <d v="2025-01-25T00:00:00"/>
    <d v="2025-02-01T00:00:00"/>
    <x v="3"/>
    <n v="10918"/>
    <x v="0"/>
    <b v="0"/>
    <x v="4"/>
    <x v="0"/>
    <n v="2025"/>
    <n v="5"/>
    <n v="1"/>
    <n v="2025"/>
    <n v="5"/>
    <s v="Yes"/>
    <x v="1"/>
    <s v="India"/>
    <x v="0"/>
    <s v="StayNest Grand"/>
    <x v="8"/>
    <s v="Business"/>
    <n v="110"/>
    <x v="1"/>
    <s v="OTA Promo"/>
    <d v="2025-02-01T00:00:00"/>
    <s v="Yes"/>
    <s v="No"/>
    <s v="Shoulder"/>
    <x v="1"/>
    <n v="0"/>
    <s v="0–7 days"/>
  </r>
  <r>
    <s v="B000534"/>
    <s v="G00228"/>
    <s v="H010"/>
    <s v="CH04"/>
    <d v="2026-06-18T00:00:00"/>
    <d v="2026-07-02T00:00:00"/>
    <x v="1"/>
    <n v="8906"/>
    <x v="0"/>
    <b v="0"/>
    <x v="3"/>
    <x v="8"/>
    <n v="2026"/>
    <n v="3"/>
    <n v="6"/>
    <n v="2026"/>
    <n v="3"/>
    <s v="No"/>
    <x v="1"/>
    <s v="India"/>
    <x v="1"/>
    <s v="StayNest Garden"/>
    <x v="10"/>
    <s v="Boutique"/>
    <n v="70"/>
    <x v="4"/>
    <s v="Partner"/>
    <d v="2026-07-02T00:00:00"/>
    <s v="No"/>
    <s v="No"/>
    <s v="Off-Peak"/>
    <x v="1"/>
    <n v="0"/>
    <s v="8–30 days"/>
  </r>
  <r>
    <s v="B000535"/>
    <s v="G00210"/>
    <s v="H003"/>
    <s v="CH01"/>
    <d v="2025-06-27T00:00:00"/>
    <d v="2025-07-27T00:00:00"/>
    <x v="0"/>
    <n v="3820"/>
    <x v="0"/>
    <b v="0"/>
    <x v="2"/>
    <x v="8"/>
    <n v="2025"/>
    <n v="6"/>
    <n v="6"/>
    <n v="2025"/>
    <n v="4"/>
    <s v="Yes"/>
    <x v="1"/>
    <s v="India"/>
    <x v="0"/>
    <s v="StayNest Hills"/>
    <x v="5"/>
    <s v="Resort"/>
    <n v="80"/>
    <x v="5"/>
    <s v="Direct"/>
    <d v="2025-07-27T00:00:00"/>
    <s v="Yes"/>
    <s v="No"/>
    <s v="Off-Peak"/>
    <x v="1"/>
    <n v="0"/>
    <s v="8–30 days"/>
  </r>
  <r>
    <s v="B000536"/>
    <s v="G00435"/>
    <s v="H003"/>
    <s v="CH05"/>
    <d v="2025-09-12T00:00:00"/>
    <d v="2025-09-19T00:00:00"/>
    <x v="1"/>
    <n v="8895"/>
    <x v="0"/>
    <b v="0"/>
    <x v="4"/>
    <x v="10"/>
    <n v="2025"/>
    <n v="4"/>
    <n v="9"/>
    <n v="2025"/>
    <n v="4"/>
    <s v="No"/>
    <x v="0"/>
    <s v="United States"/>
    <x v="0"/>
    <s v="StayNest Hills"/>
    <x v="5"/>
    <s v="Resort"/>
    <n v="80"/>
    <x v="2"/>
    <s v="Corporate Rate"/>
    <d v="2025-09-19T00:00:00"/>
    <s v="No"/>
    <s v="No"/>
    <s v="Shoulder"/>
    <x v="1"/>
    <n v="0"/>
    <s v="0–7 days"/>
  </r>
  <r>
    <s v="B000537"/>
    <s v="G00452"/>
    <s v="H007"/>
    <s v="CH05"/>
    <d v="2026-09-17T00:00:00"/>
    <d v="2026-11-16T00:00:00"/>
    <x v="0"/>
    <n v="5062"/>
    <x v="0"/>
    <b v="0"/>
    <x v="1"/>
    <x v="4"/>
    <n v="2026"/>
    <n v="0"/>
    <n v="9"/>
    <n v="2026"/>
    <n v="3"/>
    <s v="No"/>
    <x v="0"/>
    <s v="United Kingdom"/>
    <x v="1"/>
    <s v="StayNest Tech Park"/>
    <x v="6"/>
    <s v="Business"/>
    <n v="140"/>
    <x v="2"/>
    <s v="Corporate Rate"/>
    <d v="2026-11-16T00:00:00"/>
    <s v="No"/>
    <s v="No"/>
    <s v="Off-Peak"/>
    <x v="1"/>
    <n v="0"/>
    <s v="31–90 days"/>
  </r>
  <r>
    <s v="B000538"/>
    <s v="G00551"/>
    <s v="H003"/>
    <s v="CH05"/>
    <d v="2025-06-29T00:00:00"/>
    <d v="2025-07-06T00:00:00"/>
    <x v="1"/>
    <n v="7302"/>
    <x v="1"/>
    <b v="0"/>
    <x v="4"/>
    <x v="8"/>
    <n v="2025"/>
    <n v="6"/>
    <n v="6"/>
    <n v="2025"/>
    <n v="6"/>
    <s v="Yes"/>
    <x v="3"/>
    <s v="India"/>
    <x v="0"/>
    <s v="StayNest Hills"/>
    <x v="5"/>
    <s v="Resort"/>
    <n v="80"/>
    <x v="2"/>
    <s v="Corporate Rate"/>
    <d v="2025-07-06T00:00:00"/>
    <s v="Yes"/>
    <s v="No"/>
    <s v="Off-Peak"/>
    <x v="1"/>
    <n v="1"/>
    <s v="0–7 days"/>
  </r>
  <r>
    <s v="B000539"/>
    <s v="G00140"/>
    <s v="H012"/>
    <s v="CH04"/>
    <d v="2025-07-20T00:00:00"/>
    <d v="2025-07-23T00:00:00"/>
    <x v="0"/>
    <n v="5550"/>
    <x v="0"/>
    <b v="0"/>
    <x v="6"/>
    <x v="8"/>
    <n v="2025"/>
    <n v="2"/>
    <n v="7"/>
    <n v="2025"/>
    <n v="6"/>
    <s v="No"/>
    <x v="3"/>
    <s v="Singapore"/>
    <x v="1"/>
    <s v="StayNest Valley"/>
    <x v="4"/>
    <s v="Resort"/>
    <n v="65"/>
    <x v="4"/>
    <s v="Partner"/>
    <d v="2025-07-23T00:00:00"/>
    <s v="No"/>
    <s v="No"/>
    <s v="Off-Peak"/>
    <x v="1"/>
    <n v="0"/>
    <s v="0–7 days"/>
  </r>
  <r>
    <s v="B000540"/>
    <s v="G00383"/>
    <s v="H007"/>
    <s v="CH04"/>
    <d v="2025-11-12T00:00:00"/>
    <d v="2025-12-12T00:00:00"/>
    <x v="2"/>
    <n v="4012"/>
    <x v="2"/>
    <b v="0"/>
    <x v="2"/>
    <x v="5"/>
    <n v="2025"/>
    <n v="4"/>
    <n v="11"/>
    <n v="2025"/>
    <n v="2"/>
    <s v="No"/>
    <x v="0"/>
    <s v="India"/>
    <x v="1"/>
    <s v="StayNest Tech Park"/>
    <x v="6"/>
    <s v="Business"/>
    <n v="140"/>
    <x v="4"/>
    <s v="Partner"/>
    <d v="2025-12-12T00:00:00"/>
    <s v="No"/>
    <s v="No"/>
    <s v="Peak"/>
    <x v="1"/>
    <n v="0"/>
    <s v="8–30 days"/>
  </r>
  <r>
    <s v="B000541"/>
    <s v="G00262"/>
    <s v="H012"/>
    <s v="CH03"/>
    <d v="2026-06-06T00:00:00"/>
    <d v="2026-08-05T00:00:00"/>
    <x v="3"/>
    <n v="9973"/>
    <x v="2"/>
    <b v="0"/>
    <x v="1"/>
    <x v="7"/>
    <n v="2026"/>
    <n v="2"/>
    <n v="6"/>
    <n v="2026"/>
    <n v="5"/>
    <s v="No"/>
    <x v="3"/>
    <s v="India"/>
    <x v="0"/>
    <s v="StayNest Valley"/>
    <x v="4"/>
    <s v="Resort"/>
    <n v="65"/>
    <x v="1"/>
    <s v="OTA Promo"/>
    <d v="2026-08-05T00:00:00"/>
    <s v="No"/>
    <s v="No"/>
    <s v="Off-Peak"/>
    <x v="1"/>
    <n v="0"/>
    <s v="31–90 days"/>
  </r>
  <r>
    <s v="B000542"/>
    <s v="G00371"/>
    <s v="H011"/>
    <s v="CH06"/>
    <d v="2026-11-24T00:00:00"/>
    <d v="2026-11-25T00:00:00"/>
    <x v="0"/>
    <n v="5365"/>
    <x v="2"/>
    <b v="0"/>
    <x v="7"/>
    <x v="4"/>
    <n v="2026"/>
    <n v="2"/>
    <n v="11"/>
    <n v="2026"/>
    <n v="1"/>
    <s v="No"/>
    <x v="3"/>
    <s v="India"/>
    <x v="0"/>
    <s v="StayNest Grand"/>
    <x v="8"/>
    <s v="Business"/>
    <n v="110"/>
    <x v="0"/>
    <s v="Retention"/>
    <d v="2026-11-25T00:00:00"/>
    <s v="No"/>
    <s v="No"/>
    <s v="Off-Peak"/>
    <x v="1"/>
    <n v="0"/>
    <s v="0–7 days"/>
  </r>
  <r>
    <s v="B000543"/>
    <s v="G00166"/>
    <s v="H001"/>
    <s v="CH01"/>
    <d v="2025-04-05T00:00:00"/>
    <d v="2025-05-05T00:00:00"/>
    <x v="1"/>
    <n v="7123"/>
    <x v="0"/>
    <b v="0"/>
    <x v="2"/>
    <x v="9"/>
    <n v="2025"/>
    <n v="0"/>
    <n v="4"/>
    <n v="2025"/>
    <n v="5"/>
    <s v="No"/>
    <x v="0"/>
    <s v="India"/>
    <x v="1"/>
    <s v="StayNest Marina"/>
    <x v="1"/>
    <s v="Business"/>
    <n v="120"/>
    <x v="5"/>
    <s v="Direct"/>
    <d v="2025-05-05T00:00:00"/>
    <s v="No"/>
    <s v="No"/>
    <s v="Peak"/>
    <x v="1"/>
    <n v="0"/>
    <s v="8–30 days"/>
  </r>
  <r>
    <s v="B000544"/>
    <s v="G00438"/>
    <s v="H005"/>
    <s v="CH06"/>
    <d v="2025-11-06T00:00:00"/>
    <d v="2025-12-06T00:00:00"/>
    <x v="1"/>
    <n v="5447"/>
    <x v="0"/>
    <b v="0"/>
    <x v="2"/>
    <x v="5"/>
    <n v="2025"/>
    <n v="5"/>
    <n v="11"/>
    <n v="2025"/>
    <n v="3"/>
    <s v="Yes"/>
    <x v="1"/>
    <s v="Germany"/>
    <x v="0"/>
    <s v="StayNest Heritage"/>
    <x v="11"/>
    <s v="Heritage"/>
    <n v="90"/>
    <x v="0"/>
    <s v="Retention"/>
    <d v="2025-12-06T00:00:00"/>
    <s v="Yes"/>
    <s v="No"/>
    <s v="Peak"/>
    <x v="1"/>
    <n v="0"/>
    <s v="8–30 days"/>
  </r>
  <r>
    <s v="B000545"/>
    <s v="G00147"/>
    <s v="H005"/>
    <s v="CH06"/>
    <d v="2025-08-03T00:00:00"/>
    <d v="2025-12-31T00:00:00"/>
    <x v="1"/>
    <n v="5006"/>
    <x v="0"/>
    <b v="0"/>
    <x v="5"/>
    <x v="5"/>
    <n v="2025"/>
    <n v="2"/>
    <n v="8"/>
    <n v="2025"/>
    <n v="6"/>
    <s v="No"/>
    <x v="3"/>
    <s v="United Kingdom"/>
    <x v="0"/>
    <s v="StayNest Heritage"/>
    <x v="11"/>
    <s v="Heritage"/>
    <n v="90"/>
    <x v="0"/>
    <s v="Retention"/>
    <d v="2025-12-31T00:00:00"/>
    <s v="No"/>
    <s v="No"/>
    <s v="Peak"/>
    <x v="1"/>
    <n v="0"/>
    <s v="91–180 days"/>
  </r>
  <r>
    <s v="B000546"/>
    <s v="G00427"/>
    <s v="H011"/>
    <s v="CH03"/>
    <d v="2026-03-18T00:00:00"/>
    <d v="2026-03-21T00:00:00"/>
    <x v="3"/>
    <n v="8122"/>
    <x v="0"/>
    <b v="0"/>
    <x v="6"/>
    <x v="3"/>
    <n v="2026"/>
    <n v="5"/>
    <n v="3"/>
    <n v="2026"/>
    <n v="2"/>
    <s v="Yes"/>
    <x v="0"/>
    <s v="India"/>
    <x v="1"/>
    <s v="StayNest Grand"/>
    <x v="8"/>
    <s v="Business"/>
    <n v="110"/>
    <x v="1"/>
    <s v="OTA Promo"/>
    <d v="2026-03-21T00:00:00"/>
    <s v="Yes"/>
    <s v="No"/>
    <s v="Shoulder"/>
    <x v="1"/>
    <n v="0"/>
    <s v="0–7 days"/>
  </r>
  <r>
    <s v="B000547"/>
    <s v="G00218"/>
    <s v="H003"/>
    <s v="CH02"/>
    <d v="2025-03-02T00:00:00"/>
    <d v="2025-05-01T00:00:00"/>
    <x v="0"/>
    <n v="5174"/>
    <x v="1"/>
    <b v="0"/>
    <x v="1"/>
    <x v="9"/>
    <n v="2025"/>
    <n v="3"/>
    <n v="3"/>
    <n v="2025"/>
    <n v="6"/>
    <s v="No"/>
    <x v="1"/>
    <s v="Germany"/>
    <x v="0"/>
    <s v="StayNest Hills"/>
    <x v="5"/>
    <s v="Resort"/>
    <n v="80"/>
    <x v="3"/>
    <s v="App Push"/>
    <d v="2025-05-01T00:00:00"/>
    <s v="No"/>
    <s v="No"/>
    <s v="Peak"/>
    <x v="1"/>
    <n v="1"/>
    <s v="31–90 days"/>
  </r>
  <r>
    <s v="B000548"/>
    <s v="G00171"/>
    <s v="H002"/>
    <s v="CH03"/>
    <d v="2025-03-29T00:00:00"/>
    <d v="2025-04-12T00:00:00"/>
    <x v="3"/>
    <n v="11297"/>
    <x v="0"/>
    <b v="0"/>
    <x v="3"/>
    <x v="2"/>
    <n v="2025"/>
    <n v="5"/>
    <n v="3"/>
    <n v="2025"/>
    <n v="5"/>
    <s v="Yes"/>
    <x v="1"/>
    <s v="India"/>
    <x v="0"/>
    <s v="StayNest Central"/>
    <x v="0"/>
    <s v="Business"/>
    <n v="150"/>
    <x v="1"/>
    <s v="OTA Promo"/>
    <d v="2025-04-12T00:00:00"/>
    <s v="Yes"/>
    <s v="No"/>
    <s v="Peak"/>
    <x v="1"/>
    <n v="0"/>
    <s v="8–30 days"/>
  </r>
  <r>
    <s v="B000549"/>
    <s v="G00063"/>
    <s v="H005"/>
    <s v="CH01"/>
    <d v="2026-11-13T00:00:00"/>
    <d v="2026-12-13T00:00:00"/>
    <x v="2"/>
    <n v="2632"/>
    <x v="2"/>
    <b v="0"/>
    <x v="2"/>
    <x v="5"/>
    <n v="2026"/>
    <n v="6"/>
    <n v="11"/>
    <n v="2026"/>
    <n v="4"/>
    <s v="Yes"/>
    <x v="2"/>
    <s v="India"/>
    <x v="1"/>
    <s v="StayNest Heritage"/>
    <x v="11"/>
    <s v="Heritage"/>
    <n v="90"/>
    <x v="5"/>
    <s v="Direct"/>
    <d v="2026-12-13T00:00:00"/>
    <s v="Yes"/>
    <s v="No"/>
    <s v="Peak"/>
    <x v="1"/>
    <n v="0"/>
    <s v="8–30 days"/>
  </r>
  <r>
    <s v="B000550"/>
    <s v="G00498"/>
    <s v="H008"/>
    <s v="CH03"/>
    <d v="2026-09-11T00:00:00"/>
    <d v="2026-09-25T00:00:00"/>
    <x v="3"/>
    <n v="9459"/>
    <x v="3"/>
    <b v="0"/>
    <x v="3"/>
    <x v="10"/>
    <n v="2026"/>
    <n v="4"/>
    <n v="9"/>
    <n v="2026"/>
    <n v="4"/>
    <s v="No"/>
    <x v="1"/>
    <s v="Unknown"/>
    <x v="0"/>
    <s v="StayNest Palace"/>
    <x v="7"/>
    <s v="Heritage"/>
    <n v="85"/>
    <x v="1"/>
    <s v="OTA Promo"/>
    <d v="2026-09-25T00:00:00"/>
    <s v="No"/>
    <s v="No"/>
    <s v="Shoulder"/>
    <x v="1"/>
    <n v="0"/>
    <s v="8–30 days"/>
  </r>
  <r>
    <s v="B000551"/>
    <s v="G00339"/>
    <s v="H002"/>
    <s v="CH01"/>
    <d v="2026-04-13T00:00:00"/>
    <d v="2026-07-22T00:00:00"/>
    <x v="1"/>
    <n v="8559"/>
    <x v="2"/>
    <b v="0"/>
    <x v="0"/>
    <x v="8"/>
    <n v="2026"/>
    <n v="2"/>
    <n v="4"/>
    <n v="2026"/>
    <n v="0"/>
    <s v="No"/>
    <x v="0"/>
    <s v="India"/>
    <x v="1"/>
    <s v="StayNest Central"/>
    <x v="0"/>
    <s v="Business"/>
    <n v="150"/>
    <x v="5"/>
    <s v="Direct"/>
    <d v="2026-07-22T00:00:00"/>
    <s v="No"/>
    <s v="No"/>
    <s v="Off-Peak"/>
    <x v="1"/>
    <n v="0"/>
    <s v="91–180 days"/>
  </r>
  <r>
    <s v="B000552"/>
    <s v="G00255"/>
    <s v="H006"/>
    <s v="CH04"/>
    <d v="2026-09-26T00:00:00"/>
    <d v="2026-11-25T00:00:00"/>
    <x v="1"/>
    <n v="7613"/>
    <x v="0"/>
    <b v="0"/>
    <x v="1"/>
    <x v="4"/>
    <n v="2026"/>
    <n v="2"/>
    <n v="9"/>
    <n v="2026"/>
    <n v="5"/>
    <s v="No"/>
    <x v="0"/>
    <s v="India"/>
    <x v="0"/>
    <s v="StayNest Beach"/>
    <x v="3"/>
    <s v="Resort"/>
    <n v="100"/>
    <x v="4"/>
    <s v="Partner"/>
    <d v="2026-11-25T00:00:00"/>
    <s v="No"/>
    <s v="No"/>
    <s v="Off-Peak"/>
    <x v="1"/>
    <n v="0"/>
    <s v="31–90 days"/>
  </r>
  <r>
    <s v="B000553"/>
    <s v="G00369"/>
    <s v="H001"/>
    <s v="CH06"/>
    <d v="2025-11-30T00:00:00"/>
    <d v="2026-01-29T00:00:00"/>
    <x v="0"/>
    <n v="5139"/>
    <x v="2"/>
    <b v="0"/>
    <x v="1"/>
    <x v="6"/>
    <n v="2026"/>
    <n v="3"/>
    <n v="11"/>
    <n v="2025"/>
    <n v="6"/>
    <s v="No"/>
    <x v="0"/>
    <s v="Singapore"/>
    <x v="0"/>
    <s v="StayNest Marina"/>
    <x v="1"/>
    <s v="Business"/>
    <n v="120"/>
    <x v="0"/>
    <s v="Retention"/>
    <d v="2026-01-29T00:00:00"/>
    <s v="No"/>
    <s v="No"/>
    <s v="Off-Peak"/>
    <x v="1"/>
    <n v="0"/>
    <s v="31–90 days"/>
  </r>
  <r>
    <s v="B000554"/>
    <s v="G00488"/>
    <s v="H011"/>
    <s v="CH06"/>
    <d v="2025-04-13T00:00:00"/>
    <d v="2025-06-12T00:00:00"/>
    <x v="3"/>
    <n v="10760"/>
    <x v="0"/>
    <b v="0"/>
    <x v="1"/>
    <x v="1"/>
    <n v="2025"/>
    <n v="3"/>
    <n v="4"/>
    <n v="2025"/>
    <n v="6"/>
    <s v="No"/>
    <x v="0"/>
    <s v="Singapore"/>
    <x v="0"/>
    <s v="StayNest Grand"/>
    <x v="8"/>
    <s v="Business"/>
    <n v="110"/>
    <x v="0"/>
    <s v="Retention"/>
    <d v="2025-06-12T00:00:00"/>
    <s v="No"/>
    <s v="No"/>
    <s v="Shoulder"/>
    <x v="1"/>
    <n v="0"/>
    <s v="31–90 days"/>
  </r>
  <r>
    <s v="B000555"/>
    <s v="G00131"/>
    <s v="H008"/>
    <s v="CH01"/>
    <d v="2025-11-05T00:00:00"/>
    <d v="2026-02-13T00:00:00"/>
    <x v="1"/>
    <n v="6974"/>
    <x v="1"/>
    <b v="0"/>
    <x v="0"/>
    <x v="0"/>
    <n v="2026"/>
    <n v="4"/>
    <n v="11"/>
    <n v="2025"/>
    <n v="2"/>
    <s v="No"/>
    <x v="2"/>
    <s v="India"/>
    <x v="0"/>
    <s v="StayNest Palace"/>
    <x v="7"/>
    <s v="Heritage"/>
    <n v="85"/>
    <x v="5"/>
    <s v="Direct"/>
    <d v="2026-02-13T00:00:00"/>
    <s v="No"/>
    <s v="No"/>
    <s v="Shoulder"/>
    <x v="1"/>
    <n v="1"/>
    <s v="91–180 days"/>
  </r>
  <r>
    <s v="B000556"/>
    <s v="G00217"/>
    <s v="H003"/>
    <s v="CH06"/>
    <d v="2025-04-02T00:00:00"/>
    <d v="2025-04-05T00:00:00"/>
    <x v="2"/>
    <n v="4102"/>
    <x v="2"/>
    <b v="0"/>
    <x v="6"/>
    <x v="2"/>
    <n v="2025"/>
    <n v="5"/>
    <n v="4"/>
    <n v="2025"/>
    <n v="2"/>
    <s v="Yes"/>
    <x v="3"/>
    <s v="India"/>
    <x v="1"/>
    <s v="StayNest Hills"/>
    <x v="5"/>
    <s v="Resort"/>
    <n v="80"/>
    <x v="0"/>
    <s v="Retention"/>
    <d v="2025-04-05T00:00:00"/>
    <s v="Yes"/>
    <s v="No"/>
    <s v="Peak"/>
    <x v="1"/>
    <n v="0"/>
    <s v="0–7 days"/>
  </r>
  <r>
    <s v="B000557"/>
    <s v="G00127"/>
    <s v="H011"/>
    <s v="CH02"/>
    <d v="2026-07-02T00:00:00"/>
    <d v="2026-08-01T00:00:00"/>
    <x v="1"/>
    <n v="8816"/>
    <x v="0"/>
    <b v="0"/>
    <x v="2"/>
    <x v="7"/>
    <n v="2026"/>
    <n v="5"/>
    <n v="7"/>
    <n v="2026"/>
    <n v="3"/>
    <s v="Yes"/>
    <x v="1"/>
    <s v="Singapore"/>
    <x v="0"/>
    <s v="StayNest Grand"/>
    <x v="8"/>
    <s v="Business"/>
    <n v="110"/>
    <x v="3"/>
    <s v="App Push"/>
    <d v="2026-08-01T00:00:00"/>
    <s v="Yes"/>
    <s v="No"/>
    <s v="Off-Peak"/>
    <x v="1"/>
    <n v="0"/>
    <s v="8–30 days"/>
  </r>
  <r>
    <s v="B000558"/>
    <s v="G00352"/>
    <s v="H007"/>
    <s v="CH06"/>
    <d v="2026-01-26T00:00:00"/>
    <d v="2026-02-25T00:00:00"/>
    <x v="1"/>
    <n v="6191"/>
    <x v="2"/>
    <b v="0"/>
    <x v="2"/>
    <x v="0"/>
    <n v="2026"/>
    <n v="2"/>
    <n v="1"/>
    <n v="2026"/>
    <n v="0"/>
    <s v="No"/>
    <x v="3"/>
    <s v="Germany"/>
    <x v="1"/>
    <s v="StayNest Tech Park"/>
    <x v="6"/>
    <s v="Business"/>
    <n v="140"/>
    <x v="0"/>
    <s v="Retention"/>
    <d v="2026-02-25T00:00:00"/>
    <s v="No"/>
    <s v="No"/>
    <s v="Shoulder"/>
    <x v="1"/>
    <n v="0"/>
    <s v="8–30 days"/>
  </r>
  <r>
    <s v="B000559"/>
    <s v="G00193"/>
    <s v="H012"/>
    <s v="CH01"/>
    <d v="2026-08-10T00:00:00"/>
    <d v="2026-08-24T00:00:00"/>
    <x v="3"/>
    <n v="9046"/>
    <x v="0"/>
    <b v="0"/>
    <x v="3"/>
    <x v="7"/>
    <n v="2026"/>
    <n v="0"/>
    <n v="8"/>
    <n v="2026"/>
    <n v="0"/>
    <s v="No"/>
    <x v="3"/>
    <s v="India"/>
    <x v="0"/>
    <s v="StayNest Valley"/>
    <x v="4"/>
    <s v="Resort"/>
    <n v="65"/>
    <x v="5"/>
    <s v="Direct"/>
    <d v="2026-08-24T00:00:00"/>
    <s v="No"/>
    <s v="No"/>
    <s v="Off-Peak"/>
    <x v="1"/>
    <n v="0"/>
    <s v="8–30 days"/>
  </r>
  <r>
    <s v="B000560"/>
    <s v="G00434"/>
    <s v="H006"/>
    <s v="CH03"/>
    <d v="2026-11-27T00:00:00"/>
    <d v="2027-04-26T00:00:00"/>
    <x v="0"/>
    <n v="5964"/>
    <x v="1"/>
    <b v="0"/>
    <x v="5"/>
    <x v="2"/>
    <n v="2027"/>
    <n v="0"/>
    <n v="11"/>
    <n v="2026"/>
    <n v="4"/>
    <s v="No"/>
    <x v="0"/>
    <s v="United Kingdom"/>
    <x v="0"/>
    <s v="StayNest Beach"/>
    <x v="3"/>
    <s v="Resort"/>
    <n v="100"/>
    <x v="1"/>
    <s v="OTA Promo"/>
    <m/>
    <s v="Unknown"/>
    <s v="Unknown"/>
    <s v="Unknown"/>
    <x v="0"/>
    <n v="1"/>
    <s v="91–180 days"/>
  </r>
  <r>
    <s v="B000561"/>
    <s v="G00472"/>
    <s v="H006"/>
    <s v="CH02"/>
    <d v="2025-10-31T00:00:00"/>
    <d v="2026-02-08T00:00:00"/>
    <x v="1"/>
    <n v="5597"/>
    <x v="2"/>
    <b v="0"/>
    <x v="0"/>
    <x v="0"/>
    <n v="2026"/>
    <n v="6"/>
    <n v="10"/>
    <n v="2025"/>
    <n v="4"/>
    <s v="Yes"/>
    <x v="3"/>
    <s v="India"/>
    <x v="0"/>
    <s v="StayNest Beach"/>
    <x v="3"/>
    <s v="Resort"/>
    <n v="100"/>
    <x v="3"/>
    <s v="App Push"/>
    <d v="2026-02-08T00:00:00"/>
    <s v="Yes"/>
    <s v="No"/>
    <s v="Shoulder"/>
    <x v="1"/>
    <n v="0"/>
    <s v="91–180 days"/>
  </r>
  <r>
    <s v="B000562"/>
    <s v="G00036"/>
    <s v="H010"/>
    <s v="CH03"/>
    <d v="2025-11-13T00:00:00"/>
    <d v="2025-12-13T00:00:00"/>
    <x v="2"/>
    <n v="3936"/>
    <x v="2"/>
    <b v="0"/>
    <x v="2"/>
    <x v="5"/>
    <n v="2025"/>
    <n v="5"/>
    <n v="11"/>
    <n v="2025"/>
    <n v="3"/>
    <s v="Yes"/>
    <x v="0"/>
    <s v="India"/>
    <x v="0"/>
    <s v="StayNest Garden"/>
    <x v="10"/>
    <s v="Boutique"/>
    <n v="70"/>
    <x v="1"/>
    <s v="OTA Promo"/>
    <d v="2025-12-13T00:00:00"/>
    <s v="Yes"/>
    <s v="No"/>
    <s v="Peak"/>
    <x v="1"/>
    <n v="0"/>
    <s v="8–30 days"/>
  </r>
  <r>
    <s v="B000563"/>
    <s v="G00386"/>
    <s v="H001"/>
    <s v="CH03"/>
    <d v="2025-06-06T00:00:00"/>
    <d v="2025-09-14T00:00:00"/>
    <x v="0"/>
    <n v="3715"/>
    <x v="1"/>
    <b v="0"/>
    <x v="0"/>
    <x v="10"/>
    <n v="2025"/>
    <n v="6"/>
    <n v="6"/>
    <n v="2025"/>
    <n v="4"/>
    <s v="Yes"/>
    <x v="3"/>
    <s v="India"/>
    <x v="0"/>
    <s v="StayNest Marina"/>
    <x v="1"/>
    <s v="Business"/>
    <n v="120"/>
    <x v="1"/>
    <s v="OTA Promo"/>
    <d v="2025-09-14T00:00:00"/>
    <s v="Yes"/>
    <s v="No"/>
    <s v="Shoulder"/>
    <x v="1"/>
    <n v="1"/>
    <s v="91–180 days"/>
  </r>
  <r>
    <s v="B000564"/>
    <s v="G00164"/>
    <s v="H001"/>
    <s v="CH05"/>
    <d v="2026-02-06T00:00:00"/>
    <d v="2026-02-20T00:00:00"/>
    <x v="1"/>
    <n v="5294"/>
    <x v="2"/>
    <b v="0"/>
    <x v="3"/>
    <x v="0"/>
    <n v="2026"/>
    <n v="4"/>
    <n v="2"/>
    <n v="2026"/>
    <n v="4"/>
    <s v="No"/>
    <x v="3"/>
    <s v="India"/>
    <x v="1"/>
    <s v="StayNest Marina"/>
    <x v="1"/>
    <s v="Business"/>
    <n v="120"/>
    <x v="2"/>
    <s v="Corporate Rate"/>
    <d v="2026-02-20T00:00:00"/>
    <s v="No"/>
    <s v="No"/>
    <s v="Shoulder"/>
    <x v="1"/>
    <n v="0"/>
    <s v="8–30 days"/>
  </r>
  <r>
    <s v="B000565"/>
    <s v="G00200"/>
    <s v="H012"/>
    <s v="CH05"/>
    <d v="2026-02-08T00:00:00"/>
    <d v="2026-02-11T00:00:00"/>
    <x v="3"/>
    <n v="8990"/>
    <x v="0"/>
    <b v="0"/>
    <x v="6"/>
    <x v="0"/>
    <n v="2026"/>
    <n v="2"/>
    <n v="2"/>
    <n v="2026"/>
    <n v="6"/>
    <s v="No"/>
    <x v="1"/>
    <s v="India"/>
    <x v="0"/>
    <s v="StayNest Valley"/>
    <x v="4"/>
    <s v="Resort"/>
    <n v="65"/>
    <x v="2"/>
    <s v="Corporate Rate"/>
    <d v="2026-02-11T00:00:00"/>
    <s v="No"/>
    <s v="No"/>
    <s v="Shoulder"/>
    <x v="1"/>
    <n v="0"/>
    <s v="0–7 days"/>
  </r>
  <r>
    <s v="B000566"/>
    <s v="G00495"/>
    <s v="H005"/>
    <s v="CH02"/>
    <d v="2025-08-03T00:00:00"/>
    <d v="2025-08-10T00:00:00"/>
    <x v="0"/>
    <n v="5857"/>
    <x v="0"/>
    <b v="0"/>
    <x v="4"/>
    <x v="7"/>
    <n v="2025"/>
    <n v="6"/>
    <n v="8"/>
    <n v="2025"/>
    <n v="6"/>
    <s v="Yes"/>
    <x v="1"/>
    <s v="India"/>
    <x v="0"/>
    <s v="StayNest Heritage"/>
    <x v="11"/>
    <s v="Heritage"/>
    <n v="90"/>
    <x v="3"/>
    <s v="App Push"/>
    <d v="2025-08-10T00:00:00"/>
    <s v="Yes"/>
    <s v="No"/>
    <s v="Off-Peak"/>
    <x v="1"/>
    <n v="0"/>
    <s v="0–7 days"/>
  </r>
  <r>
    <s v="B000567"/>
    <s v="G00438"/>
    <s v="H011"/>
    <s v="CH02"/>
    <d v="2025-02-27T00:00:00"/>
    <d v="2025-03-02T00:00:00"/>
    <x v="1"/>
    <n v="7111"/>
    <x v="3"/>
    <b v="0"/>
    <x v="6"/>
    <x v="3"/>
    <n v="2025"/>
    <n v="6"/>
    <n v="2"/>
    <n v="2025"/>
    <n v="3"/>
    <s v="Yes"/>
    <x v="1"/>
    <s v="Germany"/>
    <x v="0"/>
    <s v="StayNest Grand"/>
    <x v="8"/>
    <s v="Business"/>
    <n v="110"/>
    <x v="3"/>
    <s v="App Push"/>
    <d v="2025-03-02T00:00:00"/>
    <s v="Yes"/>
    <s v="No"/>
    <s v="Shoulder"/>
    <x v="1"/>
    <n v="0"/>
    <s v="0–7 days"/>
  </r>
  <r>
    <s v="B000568"/>
    <s v="G00643"/>
    <s v="H012"/>
    <s v="CH04"/>
    <d v="2025-09-08T00:00:00"/>
    <d v="2025-09-09T00:00:00"/>
    <x v="0"/>
    <n v="4739"/>
    <x v="2"/>
    <b v="0"/>
    <x v="7"/>
    <x v="10"/>
    <n v="2025"/>
    <n v="1"/>
    <n v="9"/>
    <n v="2025"/>
    <n v="0"/>
    <s v="No"/>
    <x v="0"/>
    <s v="United States"/>
    <x v="0"/>
    <s v="StayNest Valley"/>
    <x v="4"/>
    <s v="Resort"/>
    <n v="65"/>
    <x v="4"/>
    <s v="Partner"/>
    <d v="2025-09-09T00:00:00"/>
    <s v="No"/>
    <s v="No"/>
    <s v="Shoulder"/>
    <x v="1"/>
    <n v="0"/>
    <s v="0–7 days"/>
  </r>
  <r>
    <s v="B000569"/>
    <s v="G00092"/>
    <s v="H008"/>
    <s v="CH06"/>
    <d v="2026-01-27T00:00:00"/>
    <d v="2026-02-03T00:00:00"/>
    <x v="1"/>
    <n v="5338"/>
    <x v="2"/>
    <b v="0"/>
    <x v="4"/>
    <x v="0"/>
    <n v="2026"/>
    <n v="1"/>
    <n v="1"/>
    <n v="2026"/>
    <n v="1"/>
    <s v="No"/>
    <x v="2"/>
    <s v="India"/>
    <x v="1"/>
    <s v="StayNest Palace"/>
    <x v="7"/>
    <s v="Heritage"/>
    <n v="85"/>
    <x v="0"/>
    <s v="Retention"/>
    <d v="2026-02-03T00:00:00"/>
    <s v="No"/>
    <s v="No"/>
    <s v="Shoulder"/>
    <x v="1"/>
    <n v="0"/>
    <s v="0–7 days"/>
  </r>
  <r>
    <s v="B000570"/>
    <s v="G00231"/>
    <s v="H001"/>
    <s v="CH05"/>
    <d v="2026-08-10T00:00:00"/>
    <d v="2027-03-18T00:00:00"/>
    <x v="1"/>
    <n v="5741"/>
    <x v="2"/>
    <b v="0"/>
    <x v="8"/>
    <x v="3"/>
    <n v="2027"/>
    <n v="3"/>
    <n v="8"/>
    <n v="2026"/>
    <n v="0"/>
    <s v="No"/>
    <x v="0"/>
    <s v="India"/>
    <x v="0"/>
    <s v="StayNest Marina"/>
    <x v="1"/>
    <s v="Business"/>
    <n v="120"/>
    <x v="2"/>
    <s v="Corporate Rate"/>
    <m/>
    <s v="Unknown"/>
    <s v="Unknown"/>
    <s v="Unknown"/>
    <x v="0"/>
    <n v="0"/>
    <s v="181+ days"/>
  </r>
  <r>
    <s v="B000571"/>
    <s v="G00306"/>
    <s v="H010"/>
    <s v="CH02"/>
    <d v="2025-04-12T00:00:00"/>
    <d v="2025-04-26T00:00:00"/>
    <x v="0"/>
    <n v="3580"/>
    <x v="0"/>
    <b v="0"/>
    <x v="3"/>
    <x v="2"/>
    <n v="2025"/>
    <n v="5"/>
    <n v="4"/>
    <n v="2025"/>
    <n v="5"/>
    <s v="Yes"/>
    <x v="1"/>
    <s v="India"/>
    <x v="0"/>
    <s v="StayNest Garden"/>
    <x v="10"/>
    <s v="Boutique"/>
    <n v="70"/>
    <x v="3"/>
    <s v="App Push"/>
    <d v="2025-04-26T00:00:00"/>
    <s v="Yes"/>
    <s v="No"/>
    <s v="Peak"/>
    <x v="1"/>
    <n v="0"/>
    <s v="8–30 days"/>
  </r>
  <r>
    <s v="B000572"/>
    <s v="G00066"/>
    <s v="H009"/>
    <s v="CH05"/>
    <d v="2026-07-06T00:00:00"/>
    <d v="2026-09-04T00:00:00"/>
    <x v="2"/>
    <n v="4177"/>
    <x v="0"/>
    <b v="0"/>
    <x v="1"/>
    <x v="10"/>
    <n v="2026"/>
    <n v="4"/>
    <n v="7"/>
    <n v="2026"/>
    <n v="0"/>
    <s v="No"/>
    <x v="2"/>
    <s v="India"/>
    <x v="1"/>
    <s v="StayNest Airport"/>
    <x v="9"/>
    <s v="Business"/>
    <n v="160"/>
    <x v="2"/>
    <s v="Corporate Rate"/>
    <d v="2026-09-04T00:00:00"/>
    <s v="No"/>
    <s v="No"/>
    <s v="Shoulder"/>
    <x v="1"/>
    <n v="0"/>
    <s v="31–90 days"/>
  </r>
  <r>
    <s v="B000573"/>
    <s v="G00322"/>
    <s v="H002"/>
    <s v="CH01"/>
    <d v="2025-05-12T00:00:00"/>
    <d v="2025-06-11T00:00:00"/>
    <x v="0"/>
    <n v="4551"/>
    <x v="0"/>
    <b v="0"/>
    <x v="2"/>
    <x v="1"/>
    <n v="2025"/>
    <n v="2"/>
    <n v="5"/>
    <n v="2025"/>
    <n v="0"/>
    <s v="No"/>
    <x v="2"/>
    <s v="India"/>
    <x v="1"/>
    <s v="StayNest Central"/>
    <x v="0"/>
    <s v="Business"/>
    <n v="150"/>
    <x v="5"/>
    <s v="Direct"/>
    <d v="2025-06-11T00:00:00"/>
    <s v="No"/>
    <s v="No"/>
    <s v="Shoulder"/>
    <x v="1"/>
    <n v="0"/>
    <s v="8–30 days"/>
  </r>
  <r>
    <s v="B000574"/>
    <s v="G00558"/>
    <s v="H003"/>
    <s v="CH04"/>
    <d v="2026-11-05T00:00:00"/>
    <d v="2026-11-06T00:00:00"/>
    <x v="3"/>
    <n v="8903"/>
    <x v="0"/>
    <b v="0"/>
    <x v="7"/>
    <x v="4"/>
    <n v="2026"/>
    <n v="4"/>
    <n v="11"/>
    <n v="2026"/>
    <n v="3"/>
    <s v="No"/>
    <x v="2"/>
    <s v="United States"/>
    <x v="0"/>
    <s v="StayNest Hills"/>
    <x v="5"/>
    <s v="Resort"/>
    <n v="80"/>
    <x v="4"/>
    <s v="Partner"/>
    <d v="2026-11-06T00:00:00"/>
    <s v="No"/>
    <s v="No"/>
    <s v="Off-Peak"/>
    <x v="1"/>
    <n v="0"/>
    <s v="0–7 days"/>
  </r>
  <r>
    <s v="B000575"/>
    <s v="G00321"/>
    <s v="H009"/>
    <s v="CH03"/>
    <d v="2026-09-13T00:00:00"/>
    <d v="2026-10-13T00:00:00"/>
    <x v="0"/>
    <n v="3683"/>
    <x v="1"/>
    <b v="0"/>
    <x v="2"/>
    <x v="11"/>
    <n v="2026"/>
    <n v="1"/>
    <n v="9"/>
    <n v="2026"/>
    <n v="6"/>
    <s v="No"/>
    <x v="0"/>
    <s v="India"/>
    <x v="0"/>
    <s v="StayNest Airport"/>
    <x v="9"/>
    <s v="Business"/>
    <n v="160"/>
    <x v="1"/>
    <s v="OTA Promo"/>
    <d v="2026-10-13T00:00:00"/>
    <s v="No"/>
    <s v="No"/>
    <s v="Shoulder"/>
    <x v="1"/>
    <n v="1"/>
    <s v="8–30 days"/>
  </r>
  <r>
    <s v="B000576"/>
    <s v="G00221"/>
    <s v="H003"/>
    <s v="CH05"/>
    <d v="2026-07-20T00:00:00"/>
    <d v="2026-07-27T00:00:00"/>
    <x v="3"/>
    <n v="7109"/>
    <x v="2"/>
    <b v="0"/>
    <x v="4"/>
    <x v="8"/>
    <n v="2026"/>
    <n v="0"/>
    <n v="7"/>
    <n v="2026"/>
    <n v="0"/>
    <s v="No"/>
    <x v="3"/>
    <s v="India"/>
    <x v="0"/>
    <s v="StayNest Hills"/>
    <x v="5"/>
    <s v="Resort"/>
    <n v="80"/>
    <x v="2"/>
    <s v="Corporate Rate"/>
    <d v="2026-07-27T00:00:00"/>
    <s v="No"/>
    <s v="No"/>
    <s v="Off-Peak"/>
    <x v="1"/>
    <n v="0"/>
    <s v="0–7 days"/>
  </r>
  <r>
    <s v="B000577"/>
    <s v="G00410"/>
    <s v="H008"/>
    <s v="CH01"/>
    <d v="2025-09-18T00:00:00"/>
    <d v="2025-11-17T00:00:00"/>
    <x v="0"/>
    <n v="3789"/>
    <x v="0"/>
    <b v="0"/>
    <x v="1"/>
    <x v="4"/>
    <n v="2025"/>
    <n v="0"/>
    <n v="9"/>
    <n v="2025"/>
    <n v="3"/>
    <s v="No"/>
    <x v="0"/>
    <s v="India"/>
    <x v="0"/>
    <s v="StayNest Palace"/>
    <x v="7"/>
    <s v="Heritage"/>
    <n v="85"/>
    <x v="5"/>
    <s v="Direct"/>
    <d v="2025-11-17T00:00:00"/>
    <s v="No"/>
    <s v="No"/>
    <s v="Off-Peak"/>
    <x v="1"/>
    <n v="0"/>
    <s v="31–90 days"/>
  </r>
  <r>
    <s v="B000578"/>
    <s v="G00382"/>
    <s v="H010"/>
    <s v="CH06"/>
    <d v="2026-10-26T00:00:00"/>
    <d v="2027-02-03T00:00:00"/>
    <x v="0"/>
    <n v="4128"/>
    <x v="1"/>
    <b v="0"/>
    <x v="0"/>
    <x v="0"/>
    <n v="2027"/>
    <n v="2"/>
    <n v="10"/>
    <n v="2026"/>
    <n v="0"/>
    <s v="No"/>
    <x v="1"/>
    <s v="Unknown"/>
    <x v="0"/>
    <s v="StayNest Garden"/>
    <x v="10"/>
    <s v="Boutique"/>
    <n v="70"/>
    <x v="0"/>
    <s v="Retention"/>
    <m/>
    <s v="Unknown"/>
    <s v="Unknown"/>
    <s v="Unknown"/>
    <x v="0"/>
    <n v="1"/>
    <s v="91–180 days"/>
  </r>
  <r>
    <s v="B000579"/>
    <s v="G00619"/>
    <s v="H004"/>
    <s v="CH01"/>
    <d v="2025-10-04T00:00:00"/>
    <d v="2025-10-07T00:00:00"/>
    <x v="2"/>
    <n v="3033"/>
    <x v="2"/>
    <b v="0"/>
    <x v="6"/>
    <x v="11"/>
    <n v="2025"/>
    <n v="1"/>
    <n v="10"/>
    <n v="2025"/>
    <n v="5"/>
    <s v="No"/>
    <x v="0"/>
    <s v="India"/>
    <x v="0"/>
    <s v="StayNest Lakeview"/>
    <x v="2"/>
    <s v="Resort"/>
    <n v="75"/>
    <x v="5"/>
    <s v="Direct"/>
    <d v="2025-10-07T00:00:00"/>
    <s v="No"/>
    <s v="No"/>
    <s v="Shoulder"/>
    <x v="1"/>
    <n v="0"/>
    <s v="0–7 days"/>
  </r>
  <r>
    <s v="B000580"/>
    <s v="G00150"/>
    <s v="H004"/>
    <s v="CH03"/>
    <d v="2025-01-11T00:00:00"/>
    <d v="2025-01-14T00:00:00"/>
    <x v="0"/>
    <n v="3930"/>
    <x v="0"/>
    <b v="0"/>
    <x v="6"/>
    <x v="6"/>
    <n v="2025"/>
    <n v="1"/>
    <n v="1"/>
    <n v="2025"/>
    <n v="5"/>
    <s v="No"/>
    <x v="3"/>
    <s v="Singapore"/>
    <x v="0"/>
    <s v="StayNest Lakeview"/>
    <x v="2"/>
    <s v="Resort"/>
    <n v="75"/>
    <x v="1"/>
    <s v="OTA Promo"/>
    <d v="2025-01-14T00:00:00"/>
    <s v="No"/>
    <s v="No"/>
    <s v="Off-Peak"/>
    <x v="1"/>
    <n v="0"/>
    <s v="0–7 days"/>
  </r>
  <r>
    <s v="B000581"/>
    <s v="G00502"/>
    <s v="H002"/>
    <s v="CH05"/>
    <d v="2025-12-24T00:00:00"/>
    <d v="2026-02-22T00:00:00"/>
    <x v="3"/>
    <n v="7311"/>
    <x v="2"/>
    <b v="0"/>
    <x v="1"/>
    <x v="0"/>
    <n v="2026"/>
    <n v="6"/>
    <n v="12"/>
    <n v="2025"/>
    <n v="2"/>
    <s v="Yes"/>
    <x v="3"/>
    <s v="United Kingdom"/>
    <x v="1"/>
    <s v="StayNest Central"/>
    <x v="0"/>
    <s v="Business"/>
    <n v="150"/>
    <x v="2"/>
    <s v="Corporate Rate"/>
    <d v="2026-02-22T00:00:00"/>
    <s v="Yes"/>
    <s v="No"/>
    <s v="Shoulder"/>
    <x v="1"/>
    <n v="0"/>
    <s v="31–90 days"/>
  </r>
  <r>
    <s v="B000582"/>
    <s v="G00186"/>
    <s v="H006"/>
    <s v="CH06"/>
    <d v="2026-11-26T00:00:00"/>
    <d v="2027-04-25T00:00:00"/>
    <x v="1"/>
    <n v="5038"/>
    <x v="2"/>
    <b v="0"/>
    <x v="5"/>
    <x v="2"/>
    <n v="2027"/>
    <n v="6"/>
    <n v="11"/>
    <n v="2026"/>
    <n v="3"/>
    <s v="Yes"/>
    <x v="3"/>
    <s v="Unknown"/>
    <x v="0"/>
    <s v="StayNest Beach"/>
    <x v="3"/>
    <s v="Resort"/>
    <n v="100"/>
    <x v="0"/>
    <s v="Retention"/>
    <m/>
    <s v="Unknown"/>
    <s v="Unknown"/>
    <s v="Unknown"/>
    <x v="0"/>
    <n v="0"/>
    <s v="91–180 days"/>
  </r>
  <r>
    <s v="B000583"/>
    <s v="G00147"/>
    <s v="H007"/>
    <s v="CH05"/>
    <d v="2025-10-01T00:00:00"/>
    <d v="2025-10-02T00:00:00"/>
    <x v="3"/>
    <n v="9926"/>
    <x v="0"/>
    <b v="0"/>
    <x v="7"/>
    <x v="11"/>
    <n v="2025"/>
    <n v="3"/>
    <n v="10"/>
    <n v="2025"/>
    <n v="2"/>
    <s v="No"/>
    <x v="3"/>
    <s v="United Kingdom"/>
    <x v="0"/>
    <s v="StayNest Tech Park"/>
    <x v="6"/>
    <s v="Business"/>
    <n v="140"/>
    <x v="2"/>
    <s v="Corporate Rate"/>
    <d v="2025-10-02T00:00:00"/>
    <s v="No"/>
    <s v="Yes"/>
    <s v="Shoulder"/>
    <x v="2"/>
    <n v="0"/>
    <s v="0–7 days"/>
  </r>
  <r>
    <s v="B000584"/>
    <s v="G00480"/>
    <s v="H009"/>
    <s v="CH03"/>
    <d v="2025-10-10T00:00:00"/>
    <d v="2026-03-09T00:00:00"/>
    <x v="0"/>
    <n v="3856"/>
    <x v="0"/>
    <b v="0"/>
    <x v="5"/>
    <x v="3"/>
    <n v="2026"/>
    <n v="0"/>
    <n v="10"/>
    <n v="2025"/>
    <n v="4"/>
    <s v="No"/>
    <x v="1"/>
    <s v="India"/>
    <x v="0"/>
    <s v="StayNest Airport"/>
    <x v="9"/>
    <s v="Business"/>
    <n v="160"/>
    <x v="1"/>
    <s v="OTA Promo"/>
    <d v="2026-03-09T00:00:00"/>
    <s v="No"/>
    <s v="No"/>
    <s v="Shoulder"/>
    <x v="1"/>
    <n v="0"/>
    <s v="91–180 days"/>
  </r>
  <r>
    <s v="B000585"/>
    <s v="G00079"/>
    <s v="H012"/>
    <s v="CH02"/>
    <d v="2025-04-06T00:00:00"/>
    <d v="2025-04-09T00:00:00"/>
    <x v="2"/>
    <n v="3722"/>
    <x v="3"/>
    <b v="0"/>
    <x v="6"/>
    <x v="2"/>
    <n v="2025"/>
    <n v="2"/>
    <n v="4"/>
    <n v="2025"/>
    <n v="6"/>
    <s v="No"/>
    <x v="1"/>
    <s v="India"/>
    <x v="0"/>
    <s v="StayNest Valley"/>
    <x v="4"/>
    <s v="Resort"/>
    <n v="65"/>
    <x v="3"/>
    <s v="App Push"/>
    <d v="2025-04-09T00:00:00"/>
    <s v="No"/>
    <s v="No"/>
    <s v="Peak"/>
    <x v="1"/>
    <n v="0"/>
    <s v="0–7 days"/>
  </r>
  <r>
    <s v="B000586"/>
    <s v="G00435"/>
    <s v="H011"/>
    <s v="CH05"/>
    <d v="2025-05-20T00:00:00"/>
    <d v="2025-06-03T00:00:00"/>
    <x v="2"/>
    <n v="2228"/>
    <x v="0"/>
    <b v="0"/>
    <x v="3"/>
    <x v="1"/>
    <n v="2025"/>
    <n v="1"/>
    <n v="5"/>
    <n v="2025"/>
    <n v="1"/>
    <s v="No"/>
    <x v="0"/>
    <s v="United States"/>
    <x v="0"/>
    <s v="StayNest Grand"/>
    <x v="8"/>
    <s v="Business"/>
    <n v="110"/>
    <x v="2"/>
    <s v="Corporate Rate"/>
    <d v="2025-06-03T00:00:00"/>
    <s v="No"/>
    <s v="No"/>
    <s v="Shoulder"/>
    <x v="1"/>
    <n v="0"/>
    <s v="8–30 days"/>
  </r>
  <r>
    <s v="B000587"/>
    <s v="G00541"/>
    <s v="H011"/>
    <s v="CH05"/>
    <d v="2025-02-13T00:00:00"/>
    <d v="2025-03-15T00:00:00"/>
    <x v="0"/>
    <n v="4421"/>
    <x v="0"/>
    <b v="0"/>
    <x v="2"/>
    <x v="3"/>
    <n v="2025"/>
    <n v="5"/>
    <n v="2"/>
    <n v="2025"/>
    <n v="3"/>
    <s v="Yes"/>
    <x v="3"/>
    <s v="United Kingdom"/>
    <x v="0"/>
    <s v="StayNest Grand"/>
    <x v="8"/>
    <s v="Business"/>
    <n v="110"/>
    <x v="2"/>
    <s v="Corporate Rate"/>
    <d v="2025-03-15T00:00:00"/>
    <s v="Yes"/>
    <s v="No"/>
    <s v="Shoulder"/>
    <x v="1"/>
    <n v="0"/>
    <s v="8–30 days"/>
  </r>
  <r>
    <s v="B000588"/>
    <s v="G00053"/>
    <s v="H007"/>
    <s v="CH04"/>
    <d v="2026-01-24T00:00:00"/>
    <d v="2026-01-27T00:00:00"/>
    <x v="2"/>
    <n v="4071"/>
    <x v="0"/>
    <b v="0"/>
    <x v="6"/>
    <x v="6"/>
    <n v="2026"/>
    <n v="1"/>
    <n v="1"/>
    <n v="2026"/>
    <n v="5"/>
    <s v="No"/>
    <x v="1"/>
    <s v="India"/>
    <x v="1"/>
    <s v="StayNest Tech Park"/>
    <x v="6"/>
    <s v="Business"/>
    <n v="140"/>
    <x v="4"/>
    <s v="Partner"/>
    <d v="2026-01-27T00:00:00"/>
    <s v="No"/>
    <s v="No"/>
    <s v="Off-Peak"/>
    <x v="1"/>
    <n v="0"/>
    <s v="0–7 days"/>
  </r>
  <r>
    <s v="B000589"/>
    <s v="G00301"/>
    <s v="H005"/>
    <s v="CH02"/>
    <d v="2025-01-03T00:00:00"/>
    <d v="2025-03-04T00:00:00"/>
    <x v="1"/>
    <n v="7111"/>
    <x v="1"/>
    <b v="0"/>
    <x v="1"/>
    <x v="3"/>
    <n v="2025"/>
    <n v="1"/>
    <n v="1"/>
    <n v="2025"/>
    <n v="4"/>
    <s v="No"/>
    <x v="2"/>
    <s v="India"/>
    <x v="0"/>
    <s v="StayNest Heritage"/>
    <x v="11"/>
    <s v="Heritage"/>
    <n v="90"/>
    <x v="3"/>
    <s v="App Push"/>
    <d v="2025-03-04T00:00:00"/>
    <s v="No"/>
    <s v="No"/>
    <s v="Shoulder"/>
    <x v="1"/>
    <n v="1"/>
    <s v="31–90 days"/>
  </r>
  <r>
    <s v="B000590"/>
    <s v="G00475"/>
    <s v="H010"/>
    <s v="CH04"/>
    <d v="2025-02-28T00:00:00"/>
    <d v="2025-03-14T00:00:00"/>
    <x v="1"/>
    <n v="5021"/>
    <x v="0"/>
    <b v="0"/>
    <x v="3"/>
    <x v="3"/>
    <n v="2025"/>
    <n v="4"/>
    <n v="2"/>
    <n v="2025"/>
    <n v="4"/>
    <s v="No"/>
    <x v="2"/>
    <s v="India"/>
    <x v="0"/>
    <s v="StayNest Garden"/>
    <x v="10"/>
    <s v="Boutique"/>
    <n v="70"/>
    <x v="4"/>
    <s v="Partner"/>
    <d v="2025-03-14T00:00:00"/>
    <s v="No"/>
    <s v="No"/>
    <s v="Shoulder"/>
    <x v="1"/>
    <n v="0"/>
    <s v="8–30 days"/>
  </r>
  <r>
    <s v="B000591"/>
    <s v="G00010"/>
    <s v="H002"/>
    <s v="CH04"/>
    <d v="2026-05-19T00:00:00"/>
    <d v="2026-05-26T00:00:00"/>
    <x v="0"/>
    <n v="5496"/>
    <x v="0"/>
    <b v="0"/>
    <x v="4"/>
    <x v="9"/>
    <n v="2026"/>
    <n v="1"/>
    <n v="5"/>
    <n v="2026"/>
    <n v="1"/>
    <s v="No"/>
    <x v="1"/>
    <s v="Singapore"/>
    <x v="0"/>
    <s v="StayNest Central"/>
    <x v="0"/>
    <s v="Business"/>
    <n v="150"/>
    <x v="4"/>
    <s v="Partner"/>
    <d v="2026-05-26T00:00:00"/>
    <s v="No"/>
    <s v="No"/>
    <s v="Peak"/>
    <x v="1"/>
    <n v="0"/>
    <s v="0–7 days"/>
  </r>
  <r>
    <s v="B000592"/>
    <s v="G00384"/>
    <s v="H005"/>
    <s v="CH03"/>
    <d v="2026-03-15T00:00:00"/>
    <d v="2026-06-23T00:00:00"/>
    <x v="3"/>
    <n v="7825"/>
    <x v="1"/>
    <b v="0"/>
    <x v="0"/>
    <x v="1"/>
    <n v="2026"/>
    <n v="1"/>
    <n v="3"/>
    <n v="2026"/>
    <n v="6"/>
    <s v="No"/>
    <x v="1"/>
    <s v="India"/>
    <x v="0"/>
    <s v="StayNest Heritage"/>
    <x v="11"/>
    <s v="Heritage"/>
    <n v="90"/>
    <x v="1"/>
    <s v="OTA Promo"/>
    <d v="2026-06-23T00:00:00"/>
    <s v="No"/>
    <s v="No"/>
    <s v="Shoulder"/>
    <x v="1"/>
    <n v="1"/>
    <s v="91–180 days"/>
  </r>
  <r>
    <s v="B000593"/>
    <s v="G00368"/>
    <s v="H012"/>
    <s v="CH02"/>
    <d v="2025-04-24T00:00:00"/>
    <d v="2025-05-01T00:00:00"/>
    <x v="2"/>
    <n v="3008"/>
    <x v="3"/>
    <b v="0"/>
    <x v="4"/>
    <x v="9"/>
    <n v="2025"/>
    <n v="3"/>
    <n v="4"/>
    <n v="2025"/>
    <n v="3"/>
    <s v="No"/>
    <x v="1"/>
    <s v="India"/>
    <x v="0"/>
    <s v="StayNest Valley"/>
    <x v="4"/>
    <s v="Resort"/>
    <n v="65"/>
    <x v="3"/>
    <s v="App Push"/>
    <d v="2025-05-01T00:00:00"/>
    <s v="No"/>
    <s v="No"/>
    <s v="Peak"/>
    <x v="1"/>
    <n v="0"/>
    <s v="0–7 days"/>
  </r>
  <r>
    <s v="B000594"/>
    <s v="G00273"/>
    <s v="H002"/>
    <s v="CH04"/>
    <d v="2026-05-16T00:00:00"/>
    <d v="2026-06-15T00:00:00"/>
    <x v="0"/>
    <n v="5137"/>
    <x v="0"/>
    <b v="0"/>
    <x v="2"/>
    <x v="1"/>
    <n v="2026"/>
    <n v="0"/>
    <n v="5"/>
    <n v="2026"/>
    <n v="5"/>
    <s v="No"/>
    <x v="0"/>
    <s v="Unknown"/>
    <x v="0"/>
    <s v="StayNest Central"/>
    <x v="0"/>
    <s v="Business"/>
    <n v="150"/>
    <x v="4"/>
    <s v="Partner"/>
    <d v="2026-06-15T00:00:00"/>
    <s v="No"/>
    <s v="No"/>
    <s v="Shoulder"/>
    <x v="1"/>
    <n v="0"/>
    <s v="8–30 days"/>
  </r>
  <r>
    <s v="B000595"/>
    <s v="G00113"/>
    <s v="H002"/>
    <s v="CH01"/>
    <d v="2025-05-10T00:00:00"/>
    <d v="2025-05-13T00:00:00"/>
    <x v="2"/>
    <n v="2306"/>
    <x v="1"/>
    <b v="0"/>
    <x v="6"/>
    <x v="9"/>
    <n v="2025"/>
    <n v="1"/>
    <n v="5"/>
    <n v="2025"/>
    <n v="5"/>
    <s v="No"/>
    <x v="1"/>
    <s v="United Kingdom"/>
    <x v="0"/>
    <s v="StayNest Central"/>
    <x v="0"/>
    <s v="Business"/>
    <n v="150"/>
    <x v="5"/>
    <s v="Direct"/>
    <d v="2025-05-13T00:00:00"/>
    <s v="No"/>
    <s v="No"/>
    <s v="Peak"/>
    <x v="1"/>
    <n v="1"/>
    <s v="0–7 days"/>
  </r>
  <r>
    <s v="B000596"/>
    <s v="G00492"/>
    <s v="H005"/>
    <s v="CH03"/>
    <d v="2026-05-13T00:00:00"/>
    <d v="2026-05-16T00:00:00"/>
    <x v="1"/>
    <n v="5765"/>
    <x v="2"/>
    <b v="0"/>
    <x v="6"/>
    <x v="9"/>
    <n v="2026"/>
    <n v="5"/>
    <n v="5"/>
    <n v="2026"/>
    <n v="2"/>
    <s v="Yes"/>
    <x v="2"/>
    <s v="India"/>
    <x v="0"/>
    <s v="StayNest Heritage"/>
    <x v="11"/>
    <s v="Heritage"/>
    <n v="90"/>
    <x v="1"/>
    <s v="OTA Promo"/>
    <d v="2026-05-16T00:00:00"/>
    <s v="Yes"/>
    <s v="No"/>
    <s v="Peak"/>
    <x v="1"/>
    <n v="0"/>
    <s v="0–7 days"/>
  </r>
  <r>
    <s v="B000597"/>
    <s v="G00254"/>
    <s v="H011"/>
    <s v="CH04"/>
    <d v="2025-07-23T00:00:00"/>
    <d v="2025-08-06T00:00:00"/>
    <x v="2"/>
    <n v="3451"/>
    <x v="0"/>
    <b v="0"/>
    <x v="3"/>
    <x v="7"/>
    <n v="2025"/>
    <n v="2"/>
    <n v="7"/>
    <n v="2025"/>
    <n v="2"/>
    <s v="No"/>
    <x v="1"/>
    <s v="United States"/>
    <x v="0"/>
    <s v="StayNest Grand"/>
    <x v="8"/>
    <s v="Business"/>
    <n v="110"/>
    <x v="4"/>
    <s v="Partner"/>
    <d v="2025-08-06T00:00:00"/>
    <s v="No"/>
    <s v="No"/>
    <s v="Off-Peak"/>
    <x v="1"/>
    <n v="0"/>
    <s v="8–30 days"/>
  </r>
  <r>
    <s v="B000598"/>
    <s v="G00136"/>
    <s v="H007"/>
    <s v="CH01"/>
    <d v="2025-10-08T00:00:00"/>
    <d v="2026-05-16T00:00:00"/>
    <x v="0"/>
    <n v="4317"/>
    <x v="0"/>
    <b v="0"/>
    <x v="8"/>
    <x v="9"/>
    <n v="2026"/>
    <n v="5"/>
    <n v="10"/>
    <n v="2025"/>
    <n v="2"/>
    <s v="Yes"/>
    <x v="1"/>
    <s v="India"/>
    <x v="0"/>
    <s v="StayNest Tech Park"/>
    <x v="6"/>
    <s v="Business"/>
    <n v="140"/>
    <x v="5"/>
    <s v="Direct"/>
    <d v="2026-05-16T00:00:00"/>
    <s v="Yes"/>
    <s v="No"/>
    <s v="Peak"/>
    <x v="1"/>
    <n v="0"/>
    <s v="181+ days"/>
  </r>
  <r>
    <s v="B000599"/>
    <s v="G00649"/>
    <s v="H004"/>
    <s v="CH02"/>
    <d v="2025-12-11T00:00:00"/>
    <d v="2025-12-25T00:00:00"/>
    <x v="2"/>
    <n v="3074"/>
    <x v="0"/>
    <b v="0"/>
    <x v="3"/>
    <x v="5"/>
    <n v="2025"/>
    <n v="3"/>
    <n v="12"/>
    <n v="2025"/>
    <n v="3"/>
    <s v="No"/>
    <x v="0"/>
    <s v="India"/>
    <x v="0"/>
    <s v="StayNest Lakeview"/>
    <x v="2"/>
    <s v="Resort"/>
    <n v="75"/>
    <x v="3"/>
    <s v="App Push"/>
    <d v="2025-12-25T00:00:00"/>
    <s v="No"/>
    <s v="Yes"/>
    <s v="Peak"/>
    <x v="2"/>
    <n v="0"/>
    <s v="8–30 days"/>
  </r>
  <r>
    <s v="B000600"/>
    <s v="G00429"/>
    <s v="H004"/>
    <s v="CH03"/>
    <d v="2025-02-18T00:00:00"/>
    <d v="2025-02-25T00:00:00"/>
    <x v="2"/>
    <n v="3552"/>
    <x v="0"/>
    <b v="0"/>
    <x v="4"/>
    <x v="0"/>
    <n v="2025"/>
    <n v="1"/>
    <n v="2"/>
    <n v="2025"/>
    <n v="1"/>
    <s v="No"/>
    <x v="0"/>
    <s v="India"/>
    <x v="0"/>
    <s v="StayNest Lakeview"/>
    <x v="2"/>
    <s v="Resort"/>
    <n v="75"/>
    <x v="1"/>
    <s v="OTA Promo"/>
    <d v="2025-02-25T00:00:00"/>
    <s v="No"/>
    <s v="No"/>
    <s v="Shoulder"/>
    <x v="1"/>
    <n v="0"/>
    <s v="0–7 days"/>
  </r>
  <r>
    <s v="B000601"/>
    <s v="G00190"/>
    <s v="H005"/>
    <s v="CH04"/>
    <d v="2026-01-08T00:00:00"/>
    <d v="2026-01-22T00:00:00"/>
    <x v="2"/>
    <n v="3570"/>
    <x v="2"/>
    <b v="0"/>
    <x v="3"/>
    <x v="6"/>
    <n v="2026"/>
    <n v="3"/>
    <n v="1"/>
    <n v="2026"/>
    <n v="3"/>
    <s v="No"/>
    <x v="2"/>
    <s v="India"/>
    <x v="0"/>
    <s v="StayNest Heritage"/>
    <x v="11"/>
    <s v="Heritage"/>
    <n v="90"/>
    <x v="4"/>
    <s v="Partner"/>
    <d v="2026-01-22T00:00:00"/>
    <s v="No"/>
    <s v="No"/>
    <s v="Off-Peak"/>
    <x v="1"/>
    <n v="0"/>
    <s v="8–30 days"/>
  </r>
  <r>
    <s v="B000602"/>
    <s v="G00371"/>
    <s v="H012"/>
    <s v="CH05"/>
    <d v="2026-06-26T00:00:00"/>
    <d v="2026-07-26T00:00:00"/>
    <x v="0"/>
    <n v="5893"/>
    <x v="2"/>
    <b v="0"/>
    <x v="2"/>
    <x v="8"/>
    <n v="2026"/>
    <n v="6"/>
    <n v="6"/>
    <n v="2026"/>
    <n v="4"/>
    <s v="Yes"/>
    <x v="3"/>
    <s v="India"/>
    <x v="0"/>
    <s v="StayNest Valley"/>
    <x v="4"/>
    <s v="Resort"/>
    <n v="65"/>
    <x v="2"/>
    <s v="Corporate Rate"/>
    <d v="2026-07-26T00:00:00"/>
    <s v="Yes"/>
    <s v="No"/>
    <s v="Off-Peak"/>
    <x v="1"/>
    <n v="0"/>
    <s v="8–30 days"/>
  </r>
  <r>
    <s v="B000603"/>
    <s v="G00124"/>
    <s v="H001"/>
    <s v="CH05"/>
    <d v="2026-11-02T00:00:00"/>
    <d v="2027-02-10T00:00:00"/>
    <x v="0"/>
    <n v="3904"/>
    <x v="2"/>
    <b v="0"/>
    <x v="0"/>
    <x v="0"/>
    <n v="2027"/>
    <n v="2"/>
    <n v="11"/>
    <n v="2026"/>
    <n v="0"/>
    <s v="No"/>
    <x v="2"/>
    <s v="India"/>
    <x v="0"/>
    <s v="StayNest Marina"/>
    <x v="1"/>
    <s v="Business"/>
    <n v="120"/>
    <x v="2"/>
    <s v="Corporate Rate"/>
    <m/>
    <s v="Unknown"/>
    <s v="Unknown"/>
    <s v="Unknown"/>
    <x v="0"/>
    <n v="0"/>
    <s v="91–180 days"/>
  </r>
  <r>
    <s v="B000604"/>
    <s v="G00207"/>
    <s v="H009"/>
    <s v="CH06"/>
    <d v="2025-06-07T00:00:00"/>
    <d v="2025-06-08T00:00:00"/>
    <x v="0"/>
    <n v="4534"/>
    <x v="0"/>
    <b v="0"/>
    <x v="7"/>
    <x v="1"/>
    <n v="2025"/>
    <n v="6"/>
    <n v="6"/>
    <n v="2025"/>
    <n v="5"/>
    <s v="Yes"/>
    <x v="0"/>
    <s v="India"/>
    <x v="1"/>
    <s v="StayNest Airport"/>
    <x v="9"/>
    <s v="Business"/>
    <n v="160"/>
    <x v="0"/>
    <s v="Retention"/>
    <d v="2025-06-08T00:00:00"/>
    <s v="Yes"/>
    <s v="No"/>
    <s v="Shoulder"/>
    <x v="1"/>
    <n v="0"/>
    <s v="0–7 days"/>
  </r>
  <r>
    <s v="B000605"/>
    <s v="G00121"/>
    <s v="H007"/>
    <s v="CH01"/>
    <d v="2026-05-10T00:00:00"/>
    <d v="2026-05-24T00:00:00"/>
    <x v="2"/>
    <n v="3427"/>
    <x v="2"/>
    <b v="0"/>
    <x v="3"/>
    <x v="9"/>
    <n v="2026"/>
    <n v="6"/>
    <n v="5"/>
    <n v="2026"/>
    <n v="6"/>
    <s v="Yes"/>
    <x v="0"/>
    <s v="India"/>
    <x v="0"/>
    <s v="StayNest Tech Park"/>
    <x v="6"/>
    <s v="Business"/>
    <n v="140"/>
    <x v="5"/>
    <s v="Direct"/>
    <d v="2026-05-24T00:00:00"/>
    <s v="Yes"/>
    <s v="No"/>
    <s v="Peak"/>
    <x v="1"/>
    <n v="0"/>
    <s v="8–30 days"/>
  </r>
  <r>
    <s v="B000606"/>
    <s v="G00195"/>
    <s v="H012"/>
    <s v="CH04"/>
    <d v="2026-05-22T00:00:00"/>
    <d v="2026-07-21T00:00:00"/>
    <x v="2"/>
    <n v="3096"/>
    <x v="0"/>
    <b v="0"/>
    <x v="1"/>
    <x v="8"/>
    <n v="2026"/>
    <n v="1"/>
    <n v="5"/>
    <n v="2026"/>
    <n v="4"/>
    <s v="No"/>
    <x v="0"/>
    <s v="India"/>
    <x v="0"/>
    <s v="StayNest Valley"/>
    <x v="4"/>
    <s v="Resort"/>
    <n v="65"/>
    <x v="4"/>
    <s v="Partner"/>
    <d v="2026-07-21T00:00:00"/>
    <s v="No"/>
    <s v="No"/>
    <s v="Off-Peak"/>
    <x v="1"/>
    <n v="0"/>
    <s v="31–90 days"/>
  </r>
  <r>
    <s v="B000607"/>
    <s v="G00189"/>
    <s v="H001"/>
    <s v="CH02"/>
    <d v="2026-08-09T00:00:00"/>
    <d v="2026-08-16T00:00:00"/>
    <x v="2"/>
    <n v="3132"/>
    <x v="2"/>
    <b v="0"/>
    <x v="4"/>
    <x v="7"/>
    <n v="2026"/>
    <n v="6"/>
    <n v="8"/>
    <n v="2026"/>
    <n v="6"/>
    <s v="Yes"/>
    <x v="0"/>
    <s v="United Kingdom"/>
    <x v="1"/>
    <s v="StayNest Marina"/>
    <x v="1"/>
    <s v="Business"/>
    <n v="120"/>
    <x v="3"/>
    <s v="App Push"/>
    <d v="2026-08-16T00:00:00"/>
    <s v="Yes"/>
    <s v="No"/>
    <s v="Off-Peak"/>
    <x v="1"/>
    <n v="0"/>
    <s v="0–7 days"/>
  </r>
  <r>
    <s v="B000608"/>
    <s v="G00566"/>
    <s v="H002"/>
    <s v="CH02"/>
    <d v="2025-08-18T00:00:00"/>
    <d v="2025-08-19T00:00:00"/>
    <x v="0"/>
    <n v="4106"/>
    <x v="0"/>
    <b v="0"/>
    <x v="7"/>
    <x v="7"/>
    <n v="2025"/>
    <n v="1"/>
    <n v="8"/>
    <n v="2025"/>
    <n v="0"/>
    <s v="No"/>
    <x v="1"/>
    <s v="India"/>
    <x v="0"/>
    <s v="StayNest Central"/>
    <x v="0"/>
    <s v="Business"/>
    <n v="150"/>
    <x v="3"/>
    <s v="App Push"/>
    <d v="2025-08-19T00:00:00"/>
    <s v="No"/>
    <s v="No"/>
    <s v="Off-Peak"/>
    <x v="1"/>
    <n v="0"/>
    <s v="0–7 days"/>
  </r>
  <r>
    <s v="B000609"/>
    <s v="G00255"/>
    <s v="H004"/>
    <s v="CH05"/>
    <d v="2025-04-29T00:00:00"/>
    <d v="2025-04-30T00:00:00"/>
    <x v="3"/>
    <n v="9158"/>
    <x v="0"/>
    <b v="0"/>
    <x v="7"/>
    <x v="2"/>
    <n v="2025"/>
    <n v="2"/>
    <n v="4"/>
    <n v="2025"/>
    <n v="1"/>
    <s v="No"/>
    <x v="0"/>
    <s v="India"/>
    <x v="0"/>
    <s v="StayNest Lakeview"/>
    <x v="2"/>
    <s v="Resort"/>
    <n v="75"/>
    <x v="2"/>
    <s v="Corporate Rate"/>
    <d v="2025-04-30T00:00:00"/>
    <s v="No"/>
    <s v="No"/>
    <s v="Peak"/>
    <x v="1"/>
    <n v="0"/>
    <s v="0–7 days"/>
  </r>
  <r>
    <s v="B000610"/>
    <s v="G00137"/>
    <s v="H007"/>
    <s v="CH05"/>
    <d v="2025-10-29T00:00:00"/>
    <d v="2025-11-12T00:00:00"/>
    <x v="2"/>
    <n v="3887"/>
    <x v="3"/>
    <b v="0"/>
    <x v="3"/>
    <x v="4"/>
    <n v="2025"/>
    <n v="2"/>
    <n v="10"/>
    <n v="2025"/>
    <n v="2"/>
    <s v="No"/>
    <x v="0"/>
    <s v="India"/>
    <x v="0"/>
    <s v="StayNest Tech Park"/>
    <x v="6"/>
    <s v="Business"/>
    <n v="140"/>
    <x v="2"/>
    <s v="Corporate Rate"/>
    <d v="2025-11-12T00:00:00"/>
    <s v="No"/>
    <s v="No"/>
    <s v="Off-Peak"/>
    <x v="1"/>
    <n v="0"/>
    <s v="8–30 days"/>
  </r>
  <r>
    <s v="B000611"/>
    <s v="G00551"/>
    <s v="H011"/>
    <s v="CH05"/>
    <d v="2025-04-19T00:00:00"/>
    <d v="2025-06-18T00:00:00"/>
    <x v="1"/>
    <n v="5844"/>
    <x v="0"/>
    <b v="0"/>
    <x v="1"/>
    <x v="1"/>
    <n v="2025"/>
    <n v="2"/>
    <n v="4"/>
    <n v="2025"/>
    <n v="5"/>
    <s v="No"/>
    <x v="3"/>
    <s v="India"/>
    <x v="0"/>
    <s v="StayNest Grand"/>
    <x v="8"/>
    <s v="Business"/>
    <n v="110"/>
    <x v="2"/>
    <s v="Corporate Rate"/>
    <d v="2025-06-18T00:00:00"/>
    <s v="No"/>
    <s v="No"/>
    <s v="Shoulder"/>
    <x v="1"/>
    <n v="0"/>
    <s v="31–90 days"/>
  </r>
  <r>
    <s v="B000612"/>
    <s v="G00596"/>
    <s v="H011"/>
    <s v="CH04"/>
    <d v="2025-06-09T00:00:00"/>
    <d v="2025-06-23T00:00:00"/>
    <x v="1"/>
    <n v="7031"/>
    <x v="2"/>
    <b v="0"/>
    <x v="3"/>
    <x v="1"/>
    <n v="2025"/>
    <n v="0"/>
    <n v="6"/>
    <n v="2025"/>
    <n v="0"/>
    <s v="No"/>
    <x v="1"/>
    <s v="United States"/>
    <x v="0"/>
    <s v="StayNest Grand"/>
    <x v="8"/>
    <s v="Business"/>
    <n v="110"/>
    <x v="4"/>
    <s v="Partner"/>
    <d v="2025-06-23T00:00:00"/>
    <s v="No"/>
    <s v="No"/>
    <s v="Shoulder"/>
    <x v="1"/>
    <n v="0"/>
    <s v="8–30 days"/>
  </r>
  <r>
    <s v="B000614"/>
    <s v="G00074"/>
    <s v="H007"/>
    <s v="CH02"/>
    <d v="2026-04-11T00:00:00"/>
    <d v="2026-07-20T00:00:00"/>
    <x v="1"/>
    <n v="7976"/>
    <x v="1"/>
    <b v="0"/>
    <x v="0"/>
    <x v="8"/>
    <n v="2026"/>
    <n v="0"/>
    <n v="4"/>
    <n v="2026"/>
    <n v="5"/>
    <s v="No"/>
    <x v="1"/>
    <s v="Germany"/>
    <x v="0"/>
    <s v="StayNest Tech Park"/>
    <x v="6"/>
    <s v="Business"/>
    <n v="140"/>
    <x v="3"/>
    <s v="App Push"/>
    <d v="2026-07-20T00:00:00"/>
    <s v="No"/>
    <s v="No"/>
    <s v="Off-Peak"/>
    <x v="1"/>
    <n v="1"/>
    <s v="91–180 days"/>
  </r>
  <r>
    <s v="B000615"/>
    <s v="G00103"/>
    <s v="H007"/>
    <s v="CH04"/>
    <d v="2025-01-22T00:00:00"/>
    <d v="2025-01-25T00:00:00"/>
    <x v="2"/>
    <n v="2470"/>
    <x v="0"/>
    <b v="0"/>
    <x v="6"/>
    <x v="6"/>
    <n v="2025"/>
    <n v="5"/>
    <n v="1"/>
    <n v="2025"/>
    <n v="2"/>
    <s v="Yes"/>
    <x v="1"/>
    <s v="UAE"/>
    <x v="0"/>
    <s v="StayNest Tech Park"/>
    <x v="6"/>
    <s v="Business"/>
    <n v="140"/>
    <x v="4"/>
    <s v="Partner"/>
    <d v="2025-01-25T00:00:00"/>
    <s v="Yes"/>
    <s v="No"/>
    <s v="Off-Peak"/>
    <x v="1"/>
    <n v="0"/>
    <s v="0–7 days"/>
  </r>
  <r>
    <s v="B000616"/>
    <s v="G00010"/>
    <s v="H002"/>
    <s v="CH05"/>
    <d v="2025-12-13T00:00:00"/>
    <d v="2026-03-23T00:00:00"/>
    <x v="2"/>
    <n v="2485"/>
    <x v="1"/>
    <b v="0"/>
    <x v="0"/>
    <x v="3"/>
    <n v="2026"/>
    <n v="0"/>
    <n v="12"/>
    <n v="2025"/>
    <n v="5"/>
    <s v="No"/>
    <x v="1"/>
    <s v="Singapore"/>
    <x v="0"/>
    <s v="StayNest Central"/>
    <x v="0"/>
    <s v="Business"/>
    <n v="150"/>
    <x v="2"/>
    <s v="Corporate Rate"/>
    <d v="2026-03-23T00:00:00"/>
    <s v="No"/>
    <s v="No"/>
    <s v="Shoulder"/>
    <x v="1"/>
    <n v="1"/>
    <s v="91–180 days"/>
  </r>
  <r>
    <s v="B000617"/>
    <s v="G00340"/>
    <s v="H008"/>
    <s v="CH02"/>
    <d v="2025-09-07T00:00:00"/>
    <d v="2025-09-08T00:00:00"/>
    <x v="3"/>
    <n v="6864"/>
    <x v="1"/>
    <b v="0"/>
    <x v="7"/>
    <x v="10"/>
    <n v="2025"/>
    <n v="0"/>
    <n v="9"/>
    <n v="2025"/>
    <n v="6"/>
    <s v="No"/>
    <x v="3"/>
    <s v="India"/>
    <x v="0"/>
    <s v="StayNest Palace"/>
    <x v="7"/>
    <s v="Heritage"/>
    <n v="85"/>
    <x v="3"/>
    <s v="App Push"/>
    <d v="2025-09-08T00:00:00"/>
    <s v="No"/>
    <s v="No"/>
    <s v="Shoulder"/>
    <x v="1"/>
    <n v="1"/>
    <s v="0–7 days"/>
  </r>
  <r>
    <s v="B000618"/>
    <s v="G00426"/>
    <s v="H003"/>
    <s v="CH01"/>
    <d v="2025-08-18T00:00:00"/>
    <d v="2025-08-19T00:00:00"/>
    <x v="1"/>
    <n v="6174"/>
    <x v="0"/>
    <b v="0"/>
    <x v="7"/>
    <x v="7"/>
    <n v="2025"/>
    <n v="1"/>
    <n v="8"/>
    <n v="2025"/>
    <n v="0"/>
    <s v="No"/>
    <x v="3"/>
    <s v="India"/>
    <x v="0"/>
    <s v="StayNest Hills"/>
    <x v="5"/>
    <s v="Resort"/>
    <n v="80"/>
    <x v="5"/>
    <s v="Direct"/>
    <d v="2025-08-19T00:00:00"/>
    <s v="No"/>
    <s v="No"/>
    <s v="Off-Peak"/>
    <x v="1"/>
    <n v="0"/>
    <s v="0–7 days"/>
  </r>
  <r>
    <s v="B000619"/>
    <s v="G00116"/>
    <s v="H008"/>
    <s v="CH02"/>
    <d v="2025-04-23T00:00:00"/>
    <d v="2025-04-30T00:00:00"/>
    <x v="3"/>
    <n v="7469"/>
    <x v="2"/>
    <b v="0"/>
    <x v="4"/>
    <x v="2"/>
    <n v="2025"/>
    <n v="2"/>
    <n v="4"/>
    <n v="2025"/>
    <n v="2"/>
    <s v="No"/>
    <x v="2"/>
    <s v="Germany"/>
    <x v="0"/>
    <s v="StayNest Palace"/>
    <x v="7"/>
    <s v="Heritage"/>
    <n v="85"/>
    <x v="3"/>
    <s v="App Push"/>
    <d v="2025-04-30T00:00:00"/>
    <s v="No"/>
    <s v="No"/>
    <s v="Peak"/>
    <x v="1"/>
    <n v="0"/>
    <s v="0–7 days"/>
  </r>
  <r>
    <s v="B000620"/>
    <s v="G00620"/>
    <s v="H003"/>
    <s v="CH02"/>
    <d v="2026-03-15T00:00:00"/>
    <d v="2026-04-14T00:00:00"/>
    <x v="0"/>
    <n v="4735"/>
    <x v="0"/>
    <b v="0"/>
    <x v="2"/>
    <x v="2"/>
    <n v="2026"/>
    <n v="1"/>
    <n v="3"/>
    <n v="2026"/>
    <n v="6"/>
    <s v="No"/>
    <x v="1"/>
    <s v="Singapore"/>
    <x v="0"/>
    <s v="StayNest Hills"/>
    <x v="5"/>
    <s v="Resort"/>
    <n v="80"/>
    <x v="3"/>
    <s v="App Push"/>
    <d v="2026-04-14T00:00:00"/>
    <s v="No"/>
    <s v="No"/>
    <s v="Peak"/>
    <x v="2"/>
    <n v="0"/>
    <s v="8–30 days"/>
  </r>
  <r>
    <s v="B000621"/>
    <s v="G00512"/>
    <s v="H011"/>
    <s v="CH03"/>
    <d v="2025-09-29T00:00:00"/>
    <d v="2026-01-07T00:00:00"/>
    <x v="2"/>
    <n v="3964"/>
    <x v="1"/>
    <b v="0"/>
    <x v="0"/>
    <x v="6"/>
    <n v="2026"/>
    <n v="2"/>
    <n v="9"/>
    <n v="2025"/>
    <n v="0"/>
    <s v="No"/>
    <x v="1"/>
    <s v="Singapore"/>
    <x v="0"/>
    <s v="StayNest Grand"/>
    <x v="8"/>
    <s v="Business"/>
    <n v="110"/>
    <x v="1"/>
    <s v="OTA Promo"/>
    <d v="2026-01-07T00:00:00"/>
    <s v="No"/>
    <s v="No"/>
    <s v="Off-Peak"/>
    <x v="1"/>
    <n v="1"/>
    <s v="91–180 days"/>
  </r>
  <r>
    <s v="B000622"/>
    <s v="G00490"/>
    <s v="H002"/>
    <s v="CH01"/>
    <d v="2026-08-15T00:00:00"/>
    <d v="2026-08-29T00:00:00"/>
    <x v="3"/>
    <n v="7544"/>
    <x v="0"/>
    <b v="0"/>
    <x v="3"/>
    <x v="7"/>
    <n v="2026"/>
    <n v="5"/>
    <n v="8"/>
    <n v="2026"/>
    <n v="5"/>
    <s v="Yes"/>
    <x v="0"/>
    <s v="UAE"/>
    <x v="0"/>
    <s v="StayNest Central"/>
    <x v="0"/>
    <s v="Business"/>
    <n v="150"/>
    <x v="5"/>
    <s v="Direct"/>
    <d v="2026-08-29T00:00:00"/>
    <s v="Yes"/>
    <s v="No"/>
    <s v="Off-Peak"/>
    <x v="1"/>
    <n v="0"/>
    <s v="8–30 days"/>
  </r>
  <r>
    <s v="B000623"/>
    <s v="G00493"/>
    <s v="H012"/>
    <s v="CH04"/>
    <d v="2026-09-09T00:00:00"/>
    <d v="2026-11-08T00:00:00"/>
    <x v="3"/>
    <n v="9639"/>
    <x v="0"/>
    <b v="0"/>
    <x v="1"/>
    <x v="4"/>
    <n v="2026"/>
    <n v="6"/>
    <n v="9"/>
    <n v="2026"/>
    <n v="2"/>
    <s v="Yes"/>
    <x v="0"/>
    <s v="India"/>
    <x v="0"/>
    <s v="StayNest Valley"/>
    <x v="4"/>
    <s v="Resort"/>
    <n v="65"/>
    <x v="4"/>
    <s v="Partner"/>
    <d v="2026-11-08T00:00:00"/>
    <s v="Yes"/>
    <s v="No"/>
    <s v="Off-Peak"/>
    <x v="1"/>
    <n v="0"/>
    <s v="31–90 days"/>
  </r>
  <r>
    <s v="B000624"/>
    <s v="G00550"/>
    <s v="H004"/>
    <s v="CH04"/>
    <d v="2025-03-27T00:00:00"/>
    <d v="2025-04-26T00:00:00"/>
    <x v="1"/>
    <n v="5963"/>
    <x v="2"/>
    <b v="0"/>
    <x v="2"/>
    <x v="2"/>
    <n v="2025"/>
    <n v="5"/>
    <n v="3"/>
    <n v="2025"/>
    <n v="3"/>
    <s v="Yes"/>
    <x v="2"/>
    <s v="India"/>
    <x v="0"/>
    <s v="StayNest Lakeview"/>
    <x v="2"/>
    <s v="Resort"/>
    <n v="75"/>
    <x v="4"/>
    <s v="Partner"/>
    <d v="2025-04-26T00:00:00"/>
    <s v="Yes"/>
    <s v="No"/>
    <s v="Peak"/>
    <x v="1"/>
    <n v="0"/>
    <s v="8–30 days"/>
  </r>
  <r>
    <s v="B000625"/>
    <s v="G00372"/>
    <s v="H009"/>
    <s v="CH04"/>
    <d v="2025-05-17T00:00:00"/>
    <d v="2025-10-14T00:00:00"/>
    <x v="2"/>
    <n v="2939"/>
    <x v="3"/>
    <b v="0"/>
    <x v="5"/>
    <x v="11"/>
    <n v="2025"/>
    <n v="1"/>
    <n v="5"/>
    <n v="2025"/>
    <n v="5"/>
    <s v="No"/>
    <x v="1"/>
    <s v="India"/>
    <x v="0"/>
    <s v="StayNest Airport"/>
    <x v="9"/>
    <s v="Business"/>
    <n v="160"/>
    <x v="4"/>
    <s v="Partner"/>
    <d v="2025-10-14T00:00:00"/>
    <s v="No"/>
    <s v="No"/>
    <s v="Shoulder"/>
    <x v="1"/>
    <n v="0"/>
    <s v="91–180 days"/>
  </r>
  <r>
    <s v="B000626"/>
    <s v="G00432"/>
    <s v="H004"/>
    <s v="CH02"/>
    <d v="2025-08-18T00:00:00"/>
    <d v="2025-08-19T00:00:00"/>
    <x v="0"/>
    <n v="4086"/>
    <x v="0"/>
    <b v="0"/>
    <x v="7"/>
    <x v="7"/>
    <n v="2025"/>
    <n v="1"/>
    <n v="8"/>
    <n v="2025"/>
    <n v="0"/>
    <s v="No"/>
    <x v="0"/>
    <s v="India"/>
    <x v="0"/>
    <s v="StayNest Lakeview"/>
    <x v="2"/>
    <s v="Resort"/>
    <n v="75"/>
    <x v="3"/>
    <s v="App Push"/>
    <d v="2025-08-19T00:00:00"/>
    <s v="No"/>
    <s v="No"/>
    <s v="Off-Peak"/>
    <x v="1"/>
    <n v="0"/>
    <s v="0–7 days"/>
  </r>
  <r>
    <s v="B000627"/>
    <s v="G00109"/>
    <s v="H011"/>
    <s v="CH05"/>
    <d v="2025-03-17T00:00:00"/>
    <d v="2025-03-31T00:00:00"/>
    <x v="0"/>
    <n v="4996"/>
    <x v="1"/>
    <b v="0"/>
    <x v="3"/>
    <x v="3"/>
    <n v="2025"/>
    <n v="0"/>
    <n v="3"/>
    <n v="2025"/>
    <n v="0"/>
    <s v="No"/>
    <x v="1"/>
    <s v="United States"/>
    <x v="0"/>
    <s v="StayNest Grand"/>
    <x v="8"/>
    <s v="Business"/>
    <n v="110"/>
    <x v="2"/>
    <s v="Corporate Rate"/>
    <d v="2025-03-31T00:00:00"/>
    <s v="No"/>
    <s v="No"/>
    <s v="Shoulder"/>
    <x v="1"/>
    <n v="1"/>
    <s v="8–30 days"/>
  </r>
  <r>
    <s v="B000628"/>
    <s v="G00427"/>
    <s v="H003"/>
    <s v="CH02"/>
    <d v="2026-04-27T00:00:00"/>
    <d v="2026-06-26T00:00:00"/>
    <x v="3"/>
    <n v="10137"/>
    <x v="1"/>
    <b v="0"/>
    <x v="1"/>
    <x v="1"/>
    <n v="2026"/>
    <n v="4"/>
    <n v="4"/>
    <n v="2026"/>
    <n v="0"/>
    <s v="No"/>
    <x v="0"/>
    <s v="India"/>
    <x v="1"/>
    <s v="StayNest Hills"/>
    <x v="5"/>
    <s v="Resort"/>
    <n v="80"/>
    <x v="3"/>
    <s v="App Push"/>
    <d v="2026-06-26T00:00:00"/>
    <s v="No"/>
    <s v="No"/>
    <s v="Shoulder"/>
    <x v="1"/>
    <n v="1"/>
    <s v="31–90 days"/>
  </r>
  <r>
    <s v="B000629"/>
    <s v="G00114"/>
    <s v="H003"/>
    <s v="CH01"/>
    <d v="2026-10-20T00:00:00"/>
    <d v="2026-10-21T00:00:00"/>
    <x v="0"/>
    <n v="3544"/>
    <x v="0"/>
    <b v="0"/>
    <x v="7"/>
    <x v="11"/>
    <n v="2026"/>
    <n v="2"/>
    <n v="10"/>
    <n v="2026"/>
    <n v="1"/>
    <s v="No"/>
    <x v="1"/>
    <s v="United Kingdom"/>
    <x v="1"/>
    <s v="StayNest Hills"/>
    <x v="5"/>
    <s v="Resort"/>
    <n v="80"/>
    <x v="5"/>
    <s v="Direct"/>
    <d v="2026-10-21T00:00:00"/>
    <s v="No"/>
    <s v="No"/>
    <s v="Shoulder"/>
    <x v="1"/>
    <n v="0"/>
    <s v="0–7 days"/>
  </r>
  <r>
    <s v="B000630"/>
    <s v="G00265"/>
    <s v="H010"/>
    <s v="CH05"/>
    <d v="2025-11-10T00:00:00"/>
    <d v="2026-01-09T00:00:00"/>
    <x v="1"/>
    <n v="6546"/>
    <x v="0"/>
    <b v="0"/>
    <x v="1"/>
    <x v="6"/>
    <n v="2026"/>
    <n v="4"/>
    <n v="11"/>
    <n v="2025"/>
    <n v="0"/>
    <s v="No"/>
    <x v="2"/>
    <s v="Singapore"/>
    <x v="0"/>
    <s v="StayNest Garden"/>
    <x v="10"/>
    <s v="Boutique"/>
    <n v="70"/>
    <x v="2"/>
    <s v="Corporate Rate"/>
    <d v="2026-01-09T00:00:00"/>
    <s v="No"/>
    <s v="No"/>
    <s v="Off-Peak"/>
    <x v="1"/>
    <n v="0"/>
    <s v="31–90 days"/>
  </r>
  <r>
    <s v="B000631"/>
    <s v="G00634"/>
    <s v="H001"/>
    <s v="CH02"/>
    <d v="2026-02-06T00:00:00"/>
    <d v="2026-02-13T00:00:00"/>
    <x v="2"/>
    <n v="3177"/>
    <x v="0"/>
    <b v="0"/>
    <x v="4"/>
    <x v="0"/>
    <n v="2026"/>
    <n v="4"/>
    <n v="2"/>
    <n v="2026"/>
    <n v="4"/>
    <s v="No"/>
    <x v="1"/>
    <s v="India"/>
    <x v="0"/>
    <s v="StayNest Marina"/>
    <x v="1"/>
    <s v="Business"/>
    <n v="120"/>
    <x v="3"/>
    <s v="App Push"/>
    <d v="2026-02-13T00:00:00"/>
    <s v="No"/>
    <s v="No"/>
    <s v="Shoulder"/>
    <x v="1"/>
    <n v="0"/>
    <s v="0–7 days"/>
  </r>
  <r>
    <s v="B000632"/>
    <s v="G00381"/>
    <s v="H011"/>
    <s v="CH04"/>
    <d v="2025-07-19T00:00:00"/>
    <d v="2025-07-26T00:00:00"/>
    <x v="2"/>
    <n v="2942"/>
    <x v="0"/>
    <b v="0"/>
    <x v="4"/>
    <x v="8"/>
    <n v="2025"/>
    <n v="5"/>
    <n v="7"/>
    <n v="2025"/>
    <n v="5"/>
    <s v="Yes"/>
    <x v="0"/>
    <s v="India"/>
    <x v="0"/>
    <s v="StayNest Grand"/>
    <x v="8"/>
    <s v="Business"/>
    <n v="110"/>
    <x v="4"/>
    <s v="Partner"/>
    <d v="2025-07-26T00:00:00"/>
    <s v="Yes"/>
    <s v="No"/>
    <s v="Off-Peak"/>
    <x v="1"/>
    <n v="0"/>
    <s v="0–7 days"/>
  </r>
  <r>
    <s v="B000633"/>
    <s v="G00217"/>
    <s v="H010"/>
    <s v="CH01"/>
    <d v="2025-11-13T00:00:00"/>
    <d v="2025-11-20T00:00:00"/>
    <x v="0"/>
    <n v="4602"/>
    <x v="3"/>
    <b v="0"/>
    <x v="4"/>
    <x v="4"/>
    <n v="2025"/>
    <n v="3"/>
    <n v="11"/>
    <n v="2025"/>
    <n v="3"/>
    <s v="No"/>
    <x v="3"/>
    <s v="India"/>
    <x v="1"/>
    <s v="StayNest Garden"/>
    <x v="10"/>
    <s v="Boutique"/>
    <n v="70"/>
    <x v="5"/>
    <s v="Direct"/>
    <d v="2025-11-20T00:00:00"/>
    <s v="No"/>
    <s v="No"/>
    <s v="Off-Peak"/>
    <x v="1"/>
    <n v="0"/>
    <s v="0–7 days"/>
  </r>
  <r>
    <s v="B000634"/>
    <s v="G00496"/>
    <s v="H001"/>
    <s v="CH01"/>
    <d v="2025-11-19T00:00:00"/>
    <d v="2025-11-22T00:00:00"/>
    <x v="3"/>
    <n v="9761"/>
    <x v="2"/>
    <b v="0"/>
    <x v="6"/>
    <x v="4"/>
    <n v="2025"/>
    <n v="5"/>
    <n v="11"/>
    <n v="2025"/>
    <n v="2"/>
    <s v="Yes"/>
    <x v="3"/>
    <s v="India"/>
    <x v="0"/>
    <s v="StayNest Marina"/>
    <x v="1"/>
    <s v="Business"/>
    <n v="120"/>
    <x v="5"/>
    <s v="Direct"/>
    <d v="2025-11-22T00:00:00"/>
    <s v="Yes"/>
    <s v="No"/>
    <s v="Off-Peak"/>
    <x v="1"/>
    <n v="0"/>
    <s v="0–7 days"/>
  </r>
  <r>
    <s v="B000635"/>
    <s v="G00133"/>
    <s v="H012"/>
    <s v="CH06"/>
    <d v="2025-04-10T00:00:00"/>
    <d v="2025-04-24T00:00:00"/>
    <x v="2"/>
    <n v="3853"/>
    <x v="2"/>
    <b v="0"/>
    <x v="3"/>
    <x v="2"/>
    <n v="2025"/>
    <n v="3"/>
    <n v="4"/>
    <n v="2025"/>
    <n v="3"/>
    <s v="No"/>
    <x v="3"/>
    <s v="India"/>
    <x v="0"/>
    <s v="StayNest Valley"/>
    <x v="4"/>
    <s v="Resort"/>
    <n v="65"/>
    <x v="0"/>
    <s v="Retention"/>
    <d v="2025-04-24T00:00:00"/>
    <s v="No"/>
    <s v="No"/>
    <s v="Peak"/>
    <x v="1"/>
    <n v="0"/>
    <s v="8–30 days"/>
  </r>
  <r>
    <s v="B000636"/>
    <s v="G00039"/>
    <s v="H005"/>
    <s v="CH02"/>
    <d v="2025-06-05T00:00:00"/>
    <d v="2025-08-04T00:00:00"/>
    <x v="2"/>
    <n v="4151"/>
    <x v="2"/>
    <b v="0"/>
    <x v="1"/>
    <x v="7"/>
    <n v="2025"/>
    <n v="0"/>
    <n v="6"/>
    <n v="2025"/>
    <n v="3"/>
    <s v="No"/>
    <x v="2"/>
    <s v="Singapore"/>
    <x v="0"/>
    <s v="StayNest Heritage"/>
    <x v="11"/>
    <s v="Heritage"/>
    <n v="90"/>
    <x v="3"/>
    <s v="App Push"/>
    <d v="2025-08-04T00:00:00"/>
    <s v="No"/>
    <s v="No"/>
    <s v="Off-Peak"/>
    <x v="1"/>
    <n v="0"/>
    <s v="31–90 days"/>
  </r>
  <r>
    <s v="B000637"/>
    <s v="G00514"/>
    <s v="H009"/>
    <s v="CH06"/>
    <d v="2026-09-16T00:00:00"/>
    <d v="2026-10-16T00:00:00"/>
    <x v="3"/>
    <n v="9277"/>
    <x v="0"/>
    <b v="0"/>
    <x v="2"/>
    <x v="11"/>
    <n v="2026"/>
    <n v="4"/>
    <n v="9"/>
    <n v="2026"/>
    <n v="2"/>
    <s v="No"/>
    <x v="0"/>
    <s v="Singapore"/>
    <x v="0"/>
    <s v="StayNest Airport"/>
    <x v="9"/>
    <s v="Business"/>
    <n v="160"/>
    <x v="0"/>
    <s v="Retention"/>
    <d v="2026-10-16T00:00:00"/>
    <s v="No"/>
    <s v="No"/>
    <s v="Shoulder"/>
    <x v="1"/>
    <n v="0"/>
    <s v="8–30 days"/>
  </r>
  <r>
    <s v="B000638"/>
    <s v="G00397"/>
    <s v="H004"/>
    <s v="CH02"/>
    <d v="2026-09-18T00:00:00"/>
    <d v="2026-10-18T00:00:00"/>
    <x v="0"/>
    <n v="29892"/>
    <x v="3"/>
    <b v="1"/>
    <x v="2"/>
    <x v="11"/>
    <n v="2026"/>
    <n v="6"/>
    <n v="9"/>
    <n v="2026"/>
    <n v="4"/>
    <s v="Yes"/>
    <x v="3"/>
    <s v="India"/>
    <x v="0"/>
    <s v="StayNest Lakeview"/>
    <x v="2"/>
    <s v="Resort"/>
    <n v="75"/>
    <x v="3"/>
    <s v="App Push"/>
    <d v="2026-10-18T00:00:00"/>
    <s v="Yes"/>
    <s v="No"/>
    <s v="Shoulder"/>
    <x v="1"/>
    <n v="0"/>
    <s v="8–30 days"/>
  </r>
  <r>
    <s v="B000639"/>
    <s v="G00090"/>
    <s v="H008"/>
    <s v="CH01"/>
    <d v="2026-04-11T00:00:00"/>
    <d v="2026-04-18T00:00:00"/>
    <x v="3"/>
    <n v="11222"/>
    <x v="2"/>
    <b v="0"/>
    <x v="4"/>
    <x v="2"/>
    <n v="2026"/>
    <n v="5"/>
    <n v="4"/>
    <n v="2026"/>
    <n v="5"/>
    <s v="Yes"/>
    <x v="2"/>
    <s v="India"/>
    <x v="1"/>
    <s v="StayNest Palace"/>
    <x v="7"/>
    <s v="Heritage"/>
    <n v="85"/>
    <x v="5"/>
    <s v="Direct"/>
    <d v="2026-04-18T00:00:00"/>
    <s v="Yes"/>
    <s v="No"/>
    <s v="Peak"/>
    <x v="1"/>
    <n v="0"/>
    <s v="0–7 days"/>
  </r>
  <r>
    <s v="B000640"/>
    <s v="G00472"/>
    <s v="H005"/>
    <s v="CH04"/>
    <d v="2025-09-20T00:00:00"/>
    <d v="2025-11-19T00:00:00"/>
    <x v="1"/>
    <n v="6999"/>
    <x v="0"/>
    <b v="0"/>
    <x v="1"/>
    <x v="4"/>
    <n v="2025"/>
    <n v="2"/>
    <n v="9"/>
    <n v="2025"/>
    <n v="5"/>
    <s v="No"/>
    <x v="3"/>
    <s v="India"/>
    <x v="0"/>
    <s v="StayNest Heritage"/>
    <x v="11"/>
    <s v="Heritage"/>
    <n v="90"/>
    <x v="4"/>
    <s v="Partner"/>
    <d v="2025-11-19T00:00:00"/>
    <s v="No"/>
    <s v="No"/>
    <s v="Off-Peak"/>
    <x v="1"/>
    <n v="0"/>
    <s v="31–90 days"/>
  </r>
  <r>
    <s v="B000641"/>
    <s v="G00635"/>
    <s v="H011"/>
    <s v="CH02"/>
    <d v="2026-03-28T00:00:00"/>
    <d v="2026-04-11T00:00:00"/>
    <x v="3"/>
    <n v="10644"/>
    <x v="2"/>
    <b v="0"/>
    <x v="3"/>
    <x v="2"/>
    <n v="2026"/>
    <n v="5"/>
    <n v="3"/>
    <n v="2026"/>
    <n v="5"/>
    <s v="Yes"/>
    <x v="2"/>
    <s v="India"/>
    <x v="0"/>
    <s v="StayNest Grand"/>
    <x v="8"/>
    <s v="Business"/>
    <n v="110"/>
    <x v="3"/>
    <s v="App Push"/>
    <d v="2026-04-11T00:00:00"/>
    <s v="Yes"/>
    <s v="No"/>
    <s v="Peak"/>
    <x v="1"/>
    <n v="0"/>
    <s v="8–30 days"/>
  </r>
  <r>
    <s v="B000642"/>
    <s v="G00636"/>
    <s v="H011"/>
    <s v="CH01"/>
    <d v="2025-09-08T00:00:00"/>
    <d v="2025-11-07T00:00:00"/>
    <x v="2"/>
    <n v="3947"/>
    <x v="0"/>
    <b v="0"/>
    <x v="1"/>
    <x v="4"/>
    <n v="2025"/>
    <n v="4"/>
    <n v="9"/>
    <n v="2025"/>
    <n v="0"/>
    <s v="No"/>
    <x v="0"/>
    <s v="India"/>
    <x v="0"/>
    <s v="StayNest Grand"/>
    <x v="8"/>
    <s v="Business"/>
    <n v="110"/>
    <x v="5"/>
    <s v="Direct"/>
    <d v="2025-11-07T00:00:00"/>
    <s v="No"/>
    <s v="No"/>
    <s v="Off-Peak"/>
    <x v="1"/>
    <n v="0"/>
    <s v="31–90 days"/>
  </r>
  <r>
    <s v="B000643"/>
    <s v="G00398"/>
    <s v="H008"/>
    <s v="CH06"/>
    <d v="2025-04-06T00:00:00"/>
    <d v="2025-04-20T00:00:00"/>
    <x v="1"/>
    <n v="5351"/>
    <x v="3"/>
    <b v="0"/>
    <x v="3"/>
    <x v="2"/>
    <n v="2025"/>
    <n v="6"/>
    <n v="4"/>
    <n v="2025"/>
    <n v="6"/>
    <s v="Yes"/>
    <x v="3"/>
    <s v="India"/>
    <x v="1"/>
    <s v="StayNest Palace"/>
    <x v="7"/>
    <s v="Heritage"/>
    <n v="85"/>
    <x v="0"/>
    <s v="Retention"/>
    <d v="2025-04-20T00:00:00"/>
    <s v="Yes"/>
    <s v="No"/>
    <s v="Peak"/>
    <x v="1"/>
    <n v="0"/>
    <s v="8–30 days"/>
  </r>
  <r>
    <s v="B000644"/>
    <s v="G00407"/>
    <s v="H007"/>
    <s v="CH02"/>
    <d v="2026-02-16T00:00:00"/>
    <d v="2026-03-02T00:00:00"/>
    <x v="3"/>
    <n v="8241"/>
    <x v="1"/>
    <b v="0"/>
    <x v="3"/>
    <x v="3"/>
    <n v="2026"/>
    <n v="0"/>
    <n v="2"/>
    <n v="2026"/>
    <n v="0"/>
    <s v="No"/>
    <x v="1"/>
    <s v="India"/>
    <x v="0"/>
    <s v="StayNest Tech Park"/>
    <x v="6"/>
    <s v="Business"/>
    <n v="140"/>
    <x v="3"/>
    <s v="App Push"/>
    <d v="2026-03-02T00:00:00"/>
    <s v="No"/>
    <s v="No"/>
    <s v="Shoulder"/>
    <x v="1"/>
    <n v="1"/>
    <s v="8–30 days"/>
  </r>
  <r>
    <s v="B000645"/>
    <s v="G00466"/>
    <s v="H001"/>
    <s v="CH05"/>
    <d v="2025-06-09T00:00:00"/>
    <d v="2025-11-06T00:00:00"/>
    <x v="0"/>
    <n v="5827"/>
    <x v="1"/>
    <b v="0"/>
    <x v="5"/>
    <x v="4"/>
    <n v="2025"/>
    <n v="3"/>
    <n v="6"/>
    <n v="2025"/>
    <n v="0"/>
    <s v="No"/>
    <x v="3"/>
    <s v="United States"/>
    <x v="0"/>
    <s v="StayNest Marina"/>
    <x v="1"/>
    <s v="Business"/>
    <n v="120"/>
    <x v="2"/>
    <s v="Corporate Rate"/>
    <d v="2025-11-06T00:00:00"/>
    <s v="No"/>
    <s v="No"/>
    <s v="Off-Peak"/>
    <x v="1"/>
    <n v="1"/>
    <s v="91–180 days"/>
  </r>
  <r>
    <s v="B000646"/>
    <s v="G00371"/>
    <s v="H007"/>
    <s v="CH04"/>
    <d v="2025-08-07T00:00:00"/>
    <d v="2025-08-08T00:00:00"/>
    <x v="2"/>
    <n v="2752"/>
    <x v="1"/>
    <b v="0"/>
    <x v="7"/>
    <x v="7"/>
    <n v="2025"/>
    <n v="4"/>
    <n v="8"/>
    <n v="2025"/>
    <n v="3"/>
    <s v="No"/>
    <x v="3"/>
    <s v="India"/>
    <x v="0"/>
    <s v="StayNest Tech Park"/>
    <x v="6"/>
    <s v="Business"/>
    <n v="140"/>
    <x v="4"/>
    <s v="Partner"/>
    <d v="2025-08-08T00:00:00"/>
    <s v="No"/>
    <s v="No"/>
    <s v="Off-Peak"/>
    <x v="1"/>
    <n v="1"/>
    <s v="0–7 days"/>
  </r>
  <r>
    <s v="B000647"/>
    <s v="G00415"/>
    <s v="H002"/>
    <s v="CH03"/>
    <d v="2026-04-08T00:00:00"/>
    <d v="2026-07-17T00:00:00"/>
    <x v="0"/>
    <n v="3720"/>
    <x v="1"/>
    <b v="0"/>
    <x v="0"/>
    <x v="8"/>
    <n v="2026"/>
    <n v="4"/>
    <n v="4"/>
    <n v="2026"/>
    <n v="2"/>
    <s v="No"/>
    <x v="1"/>
    <s v="India"/>
    <x v="1"/>
    <s v="StayNest Central"/>
    <x v="0"/>
    <s v="Business"/>
    <n v="150"/>
    <x v="1"/>
    <s v="OTA Promo"/>
    <d v="2026-07-17T00:00:00"/>
    <s v="No"/>
    <s v="No"/>
    <s v="Off-Peak"/>
    <x v="1"/>
    <n v="1"/>
    <s v="91–180 days"/>
  </r>
  <r>
    <s v="B000648"/>
    <s v="G00305"/>
    <s v="H003"/>
    <s v="CH02"/>
    <d v="2025-12-24T00:00:00"/>
    <d v="2026-05-23T00:00:00"/>
    <x v="1"/>
    <n v="6452"/>
    <x v="2"/>
    <b v="0"/>
    <x v="5"/>
    <x v="9"/>
    <n v="2026"/>
    <n v="5"/>
    <n v="12"/>
    <n v="2025"/>
    <n v="2"/>
    <s v="Yes"/>
    <x v="1"/>
    <s v="United Kingdom"/>
    <x v="0"/>
    <s v="StayNest Hills"/>
    <x v="5"/>
    <s v="Resort"/>
    <n v="80"/>
    <x v="3"/>
    <s v="App Push"/>
    <d v="2026-05-23T00:00:00"/>
    <s v="Yes"/>
    <s v="No"/>
    <s v="Peak"/>
    <x v="1"/>
    <n v="0"/>
    <s v="91–180 days"/>
  </r>
  <r>
    <s v="B000649"/>
    <s v="G00575"/>
    <s v="H010"/>
    <s v="CH02"/>
    <d v="2025-03-21T00:00:00"/>
    <d v="2025-05-20T00:00:00"/>
    <x v="0"/>
    <n v="4796"/>
    <x v="0"/>
    <b v="0"/>
    <x v="1"/>
    <x v="9"/>
    <n v="2025"/>
    <n v="1"/>
    <n v="3"/>
    <n v="2025"/>
    <n v="4"/>
    <s v="No"/>
    <x v="3"/>
    <s v="Germany"/>
    <x v="0"/>
    <s v="StayNest Garden"/>
    <x v="10"/>
    <s v="Boutique"/>
    <n v="70"/>
    <x v="3"/>
    <s v="App Push"/>
    <d v="2025-05-20T00:00:00"/>
    <s v="No"/>
    <s v="No"/>
    <s v="Peak"/>
    <x v="1"/>
    <n v="0"/>
    <s v="31–90 days"/>
  </r>
  <r>
    <s v="B000650"/>
    <s v="G00325"/>
    <s v="H002"/>
    <s v="CH06"/>
    <d v="2026-02-21T00:00:00"/>
    <d v="2026-02-28T00:00:00"/>
    <x v="2"/>
    <n v="4131"/>
    <x v="0"/>
    <b v="0"/>
    <x v="4"/>
    <x v="0"/>
    <n v="2026"/>
    <n v="5"/>
    <n v="2"/>
    <n v="2026"/>
    <n v="5"/>
    <s v="Yes"/>
    <x v="0"/>
    <s v="UAE"/>
    <x v="0"/>
    <s v="StayNest Central"/>
    <x v="0"/>
    <s v="Business"/>
    <n v="150"/>
    <x v="0"/>
    <s v="Retention"/>
    <d v="2026-02-28T00:00:00"/>
    <s v="Yes"/>
    <s v="No"/>
    <s v="Shoulder"/>
    <x v="1"/>
    <n v="0"/>
    <s v="0–7 days"/>
  </r>
  <r>
    <s v="B000651"/>
    <s v="G00193"/>
    <s v="H007"/>
    <s v="CH06"/>
    <d v="2026-07-14T00:00:00"/>
    <d v="2026-09-12T00:00:00"/>
    <x v="1"/>
    <n v="8980"/>
    <x v="0"/>
    <b v="0"/>
    <x v="1"/>
    <x v="10"/>
    <n v="2026"/>
    <n v="5"/>
    <n v="7"/>
    <n v="2026"/>
    <n v="1"/>
    <s v="Yes"/>
    <x v="3"/>
    <s v="India"/>
    <x v="0"/>
    <s v="StayNest Tech Park"/>
    <x v="6"/>
    <s v="Business"/>
    <n v="140"/>
    <x v="0"/>
    <s v="Retention"/>
    <d v="2026-09-12T00:00:00"/>
    <s v="Yes"/>
    <s v="No"/>
    <s v="Shoulder"/>
    <x v="1"/>
    <n v="0"/>
    <s v="31–90 days"/>
  </r>
  <r>
    <s v="B000652"/>
    <s v="G00373"/>
    <s v="H001"/>
    <s v="CH03"/>
    <d v="2025-11-11T00:00:00"/>
    <d v="2025-12-11T00:00:00"/>
    <x v="2"/>
    <n v="3528"/>
    <x v="0"/>
    <b v="0"/>
    <x v="2"/>
    <x v="5"/>
    <n v="2025"/>
    <n v="3"/>
    <n v="11"/>
    <n v="2025"/>
    <n v="1"/>
    <s v="No"/>
    <x v="1"/>
    <s v="United Kingdom"/>
    <x v="0"/>
    <s v="StayNest Marina"/>
    <x v="1"/>
    <s v="Business"/>
    <n v="120"/>
    <x v="1"/>
    <s v="OTA Promo"/>
    <d v="2025-12-11T00:00:00"/>
    <s v="No"/>
    <s v="No"/>
    <s v="Peak"/>
    <x v="1"/>
    <n v="0"/>
    <s v="8–30 days"/>
  </r>
  <r>
    <s v="B000653"/>
    <s v="G00344"/>
    <s v="H002"/>
    <s v="CH02"/>
    <d v="2026-04-15T00:00:00"/>
    <d v="2026-04-29T00:00:00"/>
    <x v="0"/>
    <n v="4166"/>
    <x v="2"/>
    <b v="0"/>
    <x v="3"/>
    <x v="2"/>
    <n v="2026"/>
    <n v="2"/>
    <n v="4"/>
    <n v="2026"/>
    <n v="2"/>
    <s v="No"/>
    <x v="1"/>
    <s v="India"/>
    <x v="1"/>
    <s v="StayNest Central"/>
    <x v="0"/>
    <s v="Business"/>
    <n v="150"/>
    <x v="3"/>
    <s v="App Push"/>
    <d v="2026-04-29T00:00:00"/>
    <s v="No"/>
    <s v="No"/>
    <s v="Peak"/>
    <x v="1"/>
    <n v="0"/>
    <s v="8–30 days"/>
  </r>
  <r>
    <s v="B000654"/>
    <s v="G00448"/>
    <s v="H011"/>
    <s v="CH03"/>
    <d v="2026-09-28T00:00:00"/>
    <d v="2027-02-25T00:00:00"/>
    <x v="2"/>
    <n v="3850"/>
    <x v="0"/>
    <b v="0"/>
    <x v="5"/>
    <x v="0"/>
    <n v="2027"/>
    <n v="3"/>
    <n v="9"/>
    <n v="2026"/>
    <n v="0"/>
    <s v="No"/>
    <x v="1"/>
    <s v="United Kingdom"/>
    <x v="0"/>
    <s v="StayNest Grand"/>
    <x v="8"/>
    <s v="Business"/>
    <n v="110"/>
    <x v="1"/>
    <s v="OTA Promo"/>
    <m/>
    <s v="Unknown"/>
    <s v="Unknown"/>
    <s v="Unknown"/>
    <x v="0"/>
    <n v="0"/>
    <s v="91–180 days"/>
  </r>
  <r>
    <s v="B000655"/>
    <s v="G00639"/>
    <s v="H009"/>
    <s v="CH01"/>
    <d v="2026-10-11T00:00:00"/>
    <d v="2026-10-25T00:00:00"/>
    <x v="2"/>
    <n v="3944"/>
    <x v="0"/>
    <b v="0"/>
    <x v="3"/>
    <x v="11"/>
    <n v="2026"/>
    <n v="6"/>
    <n v="10"/>
    <n v="2026"/>
    <n v="6"/>
    <s v="Yes"/>
    <x v="3"/>
    <s v="India"/>
    <x v="1"/>
    <s v="StayNest Airport"/>
    <x v="9"/>
    <s v="Business"/>
    <n v="160"/>
    <x v="5"/>
    <s v="Direct"/>
    <d v="2026-10-25T00:00:00"/>
    <s v="Yes"/>
    <s v="No"/>
    <s v="Shoulder"/>
    <x v="1"/>
    <n v="0"/>
    <s v="8–30 days"/>
  </r>
  <r>
    <s v="B000656"/>
    <s v="G00481"/>
    <s v="H002"/>
    <s v="CH03"/>
    <d v="2026-04-21T00:00:00"/>
    <d v="2026-05-05T00:00:00"/>
    <x v="1"/>
    <n v="7078"/>
    <x v="0"/>
    <b v="0"/>
    <x v="3"/>
    <x v="9"/>
    <n v="2026"/>
    <n v="1"/>
    <n v="4"/>
    <n v="2026"/>
    <n v="1"/>
    <s v="No"/>
    <x v="1"/>
    <s v="United Kingdom"/>
    <x v="0"/>
    <s v="StayNest Central"/>
    <x v="0"/>
    <s v="Business"/>
    <n v="150"/>
    <x v="1"/>
    <s v="OTA Promo"/>
    <d v="2026-05-05T00:00:00"/>
    <s v="No"/>
    <s v="No"/>
    <s v="Peak"/>
    <x v="1"/>
    <n v="0"/>
    <s v="8–30 days"/>
  </r>
  <r>
    <s v="B000657"/>
    <s v="G00425"/>
    <s v="H011"/>
    <s v="CH02"/>
    <d v="2025-01-05T00:00:00"/>
    <d v="2025-04-15T00:00:00"/>
    <x v="1"/>
    <n v="8237"/>
    <x v="2"/>
    <b v="0"/>
    <x v="0"/>
    <x v="2"/>
    <n v="2025"/>
    <n v="1"/>
    <n v="1"/>
    <n v="2025"/>
    <n v="6"/>
    <s v="No"/>
    <x v="1"/>
    <s v="India"/>
    <x v="0"/>
    <s v="StayNest Grand"/>
    <x v="8"/>
    <s v="Business"/>
    <n v="110"/>
    <x v="3"/>
    <s v="App Push"/>
    <d v="2025-04-15T00:00:00"/>
    <s v="No"/>
    <s v="No"/>
    <s v="Peak"/>
    <x v="1"/>
    <n v="0"/>
    <s v="91–180 days"/>
  </r>
  <r>
    <s v="B000658"/>
    <s v="G00615"/>
    <s v="H006"/>
    <s v="CH03"/>
    <d v="2025-06-24T00:00:00"/>
    <d v="2025-11-21T00:00:00"/>
    <x v="1"/>
    <n v="7524"/>
    <x v="2"/>
    <b v="0"/>
    <x v="5"/>
    <x v="4"/>
    <n v="2025"/>
    <n v="4"/>
    <n v="6"/>
    <n v="2025"/>
    <n v="1"/>
    <s v="No"/>
    <x v="3"/>
    <s v="India"/>
    <x v="0"/>
    <s v="StayNest Beach"/>
    <x v="3"/>
    <s v="Resort"/>
    <n v="100"/>
    <x v="1"/>
    <s v="OTA Promo"/>
    <d v="2025-11-21T00:00:00"/>
    <s v="No"/>
    <s v="No"/>
    <s v="Off-Peak"/>
    <x v="1"/>
    <n v="0"/>
    <s v="91–180 days"/>
  </r>
  <r>
    <s v="B000659"/>
    <s v="G00592"/>
    <s v="H007"/>
    <s v="CH02"/>
    <d v="2026-10-14T00:00:00"/>
    <d v="2026-10-28T00:00:00"/>
    <x v="0"/>
    <n v="4803"/>
    <x v="1"/>
    <b v="0"/>
    <x v="3"/>
    <x v="11"/>
    <n v="2026"/>
    <n v="2"/>
    <n v="10"/>
    <n v="2026"/>
    <n v="2"/>
    <s v="No"/>
    <x v="1"/>
    <s v="Germany"/>
    <x v="0"/>
    <s v="StayNest Tech Park"/>
    <x v="6"/>
    <s v="Business"/>
    <n v="140"/>
    <x v="3"/>
    <s v="App Push"/>
    <d v="2026-10-28T00:00:00"/>
    <s v="No"/>
    <s v="No"/>
    <s v="Shoulder"/>
    <x v="1"/>
    <n v="1"/>
    <s v="8–30 days"/>
  </r>
  <r>
    <s v="B000660"/>
    <s v="G00130"/>
    <s v="H009"/>
    <s v="CH01"/>
    <d v="2026-10-09T00:00:00"/>
    <d v="2026-11-08T00:00:00"/>
    <x v="1"/>
    <n v="8885"/>
    <x v="1"/>
    <b v="0"/>
    <x v="2"/>
    <x v="4"/>
    <n v="2026"/>
    <n v="6"/>
    <n v="10"/>
    <n v="2026"/>
    <n v="4"/>
    <s v="Yes"/>
    <x v="3"/>
    <s v="Germany"/>
    <x v="0"/>
    <s v="StayNest Airport"/>
    <x v="9"/>
    <s v="Business"/>
    <n v="160"/>
    <x v="5"/>
    <s v="Direct"/>
    <d v="2026-11-08T00:00:00"/>
    <s v="Yes"/>
    <s v="No"/>
    <s v="Off-Peak"/>
    <x v="1"/>
    <n v="1"/>
    <s v="8–30 days"/>
  </r>
  <r>
    <s v="B000661"/>
    <s v="G00027"/>
    <s v="H007"/>
    <s v="CH01"/>
    <d v="2026-10-06T00:00:00"/>
    <d v="2026-12-05T00:00:00"/>
    <x v="0"/>
    <n v="5726"/>
    <x v="0"/>
    <b v="0"/>
    <x v="1"/>
    <x v="5"/>
    <n v="2026"/>
    <n v="5"/>
    <n v="10"/>
    <n v="2026"/>
    <n v="1"/>
    <s v="Yes"/>
    <x v="1"/>
    <s v="India"/>
    <x v="0"/>
    <s v="StayNest Tech Park"/>
    <x v="6"/>
    <s v="Business"/>
    <n v="140"/>
    <x v="5"/>
    <s v="Direct"/>
    <d v="2026-12-05T00:00:00"/>
    <s v="Yes"/>
    <s v="No"/>
    <s v="Peak"/>
    <x v="1"/>
    <n v="0"/>
    <s v="31–90 days"/>
  </r>
  <r>
    <s v="B000662"/>
    <s v="G00465"/>
    <s v="H011"/>
    <s v="CH06"/>
    <d v="2026-01-02T00:00:00"/>
    <d v="2026-01-09T00:00:00"/>
    <x v="0"/>
    <n v="5693"/>
    <x v="2"/>
    <b v="0"/>
    <x v="4"/>
    <x v="6"/>
    <n v="2026"/>
    <n v="4"/>
    <n v="1"/>
    <n v="2026"/>
    <n v="4"/>
    <s v="No"/>
    <x v="1"/>
    <s v="India"/>
    <x v="0"/>
    <s v="StayNest Grand"/>
    <x v="8"/>
    <s v="Business"/>
    <n v="110"/>
    <x v="0"/>
    <s v="Retention"/>
    <d v="2026-01-09T00:00:00"/>
    <s v="No"/>
    <s v="No"/>
    <s v="Off-Peak"/>
    <x v="1"/>
    <n v="0"/>
    <s v="0–7 days"/>
  </r>
  <r>
    <s v="B000663"/>
    <s v="G00053"/>
    <s v="H005"/>
    <s v="CH01"/>
    <d v="2025-05-28T00:00:00"/>
    <d v="2025-06-27T00:00:00"/>
    <x v="2"/>
    <n v="3140"/>
    <x v="0"/>
    <b v="0"/>
    <x v="2"/>
    <x v="1"/>
    <n v="2025"/>
    <n v="4"/>
    <n v="5"/>
    <n v="2025"/>
    <n v="2"/>
    <s v="No"/>
    <x v="1"/>
    <s v="India"/>
    <x v="1"/>
    <s v="StayNest Heritage"/>
    <x v="11"/>
    <s v="Heritage"/>
    <n v="90"/>
    <x v="5"/>
    <s v="Direct"/>
    <d v="2025-06-27T00:00:00"/>
    <s v="No"/>
    <s v="No"/>
    <s v="Shoulder"/>
    <x v="1"/>
    <n v="0"/>
    <s v="8–30 days"/>
  </r>
  <r>
    <s v="B000664"/>
    <s v="G00080"/>
    <s v="H008"/>
    <s v="CH03"/>
    <d v="2025-08-01T00:00:00"/>
    <d v="2025-08-15T00:00:00"/>
    <x v="1"/>
    <n v="8928"/>
    <x v="1"/>
    <b v="0"/>
    <x v="3"/>
    <x v="7"/>
    <n v="2025"/>
    <n v="4"/>
    <n v="8"/>
    <n v="2025"/>
    <n v="4"/>
    <s v="No"/>
    <x v="1"/>
    <s v="India"/>
    <x v="0"/>
    <s v="StayNest Palace"/>
    <x v="7"/>
    <s v="Heritage"/>
    <n v="85"/>
    <x v="1"/>
    <s v="OTA Promo"/>
    <d v="2025-08-15T00:00:00"/>
    <s v="No"/>
    <s v="Yes"/>
    <s v="Off-Peak"/>
    <x v="2"/>
    <n v="1"/>
    <s v="8–30 days"/>
  </r>
  <r>
    <s v="B000665"/>
    <s v="G00430"/>
    <s v="H007"/>
    <s v="CH03"/>
    <d v="2026-10-11T00:00:00"/>
    <d v="2027-01-19T00:00:00"/>
    <x v="0"/>
    <n v="3541"/>
    <x v="0"/>
    <b v="0"/>
    <x v="0"/>
    <x v="6"/>
    <n v="2027"/>
    <n v="1"/>
    <n v="10"/>
    <n v="2026"/>
    <n v="6"/>
    <s v="No"/>
    <x v="2"/>
    <s v="India"/>
    <x v="0"/>
    <s v="StayNest Tech Park"/>
    <x v="6"/>
    <s v="Business"/>
    <n v="140"/>
    <x v="1"/>
    <s v="OTA Promo"/>
    <m/>
    <s v="Unknown"/>
    <s v="Unknown"/>
    <s v="Unknown"/>
    <x v="0"/>
    <n v="0"/>
    <s v="91–180 days"/>
  </r>
  <r>
    <s v="B000666"/>
    <s v="G00352"/>
    <s v="H006"/>
    <s v="CH04"/>
    <d v="2026-09-21T00:00:00"/>
    <d v="2026-10-21T00:00:00"/>
    <x v="2"/>
    <n v="3268"/>
    <x v="0"/>
    <b v="0"/>
    <x v="2"/>
    <x v="11"/>
    <n v="2026"/>
    <n v="2"/>
    <n v="9"/>
    <n v="2026"/>
    <n v="0"/>
    <s v="No"/>
    <x v="3"/>
    <s v="Germany"/>
    <x v="1"/>
    <s v="StayNest Beach"/>
    <x v="3"/>
    <s v="Resort"/>
    <n v="100"/>
    <x v="4"/>
    <s v="Partner"/>
    <d v="2026-10-21T00:00:00"/>
    <s v="No"/>
    <s v="No"/>
    <s v="Shoulder"/>
    <x v="1"/>
    <n v="0"/>
    <s v="8–30 days"/>
  </r>
  <r>
    <s v="B000667"/>
    <s v="G00157"/>
    <s v="H004"/>
    <s v="CH03"/>
    <d v="2025-04-28T00:00:00"/>
    <d v="2025-08-06T00:00:00"/>
    <x v="2"/>
    <n v="2483"/>
    <x v="1"/>
    <b v="0"/>
    <x v="0"/>
    <x v="7"/>
    <n v="2025"/>
    <n v="2"/>
    <n v="4"/>
    <n v="2025"/>
    <n v="0"/>
    <s v="No"/>
    <x v="0"/>
    <s v="India"/>
    <x v="0"/>
    <s v="StayNest Lakeview"/>
    <x v="2"/>
    <s v="Resort"/>
    <n v="75"/>
    <x v="1"/>
    <s v="OTA Promo"/>
    <d v="2025-08-06T00:00:00"/>
    <s v="No"/>
    <s v="No"/>
    <s v="Off-Peak"/>
    <x v="1"/>
    <n v="1"/>
    <s v="91–180 days"/>
  </r>
  <r>
    <s v="B000668"/>
    <s v="G00281"/>
    <s v="H008"/>
    <s v="CH02"/>
    <d v="2025-04-05T00:00:00"/>
    <d v="2025-04-19T00:00:00"/>
    <x v="3"/>
    <n v="10072"/>
    <x v="0"/>
    <b v="0"/>
    <x v="3"/>
    <x v="2"/>
    <n v="2025"/>
    <n v="5"/>
    <n v="4"/>
    <n v="2025"/>
    <n v="5"/>
    <s v="Yes"/>
    <x v="1"/>
    <s v="United States"/>
    <x v="0"/>
    <s v="StayNest Palace"/>
    <x v="7"/>
    <s v="Heritage"/>
    <n v="85"/>
    <x v="3"/>
    <s v="App Push"/>
    <d v="2025-04-19T00:00:00"/>
    <s v="Yes"/>
    <s v="No"/>
    <s v="Peak"/>
    <x v="1"/>
    <n v="0"/>
    <s v="8–30 days"/>
  </r>
  <r>
    <s v="B000669"/>
    <s v="G00203"/>
    <s v="H011"/>
    <s v="CH06"/>
    <d v="2025-10-15T00:00:00"/>
    <d v="2026-03-14T00:00:00"/>
    <x v="2"/>
    <n v="3824"/>
    <x v="0"/>
    <b v="0"/>
    <x v="5"/>
    <x v="3"/>
    <n v="2026"/>
    <n v="5"/>
    <n v="10"/>
    <n v="2025"/>
    <n v="2"/>
    <s v="Yes"/>
    <x v="3"/>
    <s v="United Kingdom"/>
    <x v="1"/>
    <s v="StayNest Grand"/>
    <x v="8"/>
    <s v="Business"/>
    <n v="110"/>
    <x v="0"/>
    <s v="Retention"/>
    <d v="2026-03-14T00:00:00"/>
    <s v="Yes"/>
    <s v="No"/>
    <s v="Shoulder"/>
    <x v="1"/>
    <n v="0"/>
    <s v="91–180 days"/>
  </r>
  <r>
    <s v="B000670"/>
    <s v="G00457"/>
    <s v="H007"/>
    <s v="CH05"/>
    <d v="2025-10-06T00:00:00"/>
    <d v="2026-01-14T00:00:00"/>
    <x v="2"/>
    <n v="2984"/>
    <x v="2"/>
    <b v="0"/>
    <x v="0"/>
    <x v="6"/>
    <n v="2026"/>
    <n v="2"/>
    <n v="10"/>
    <n v="2025"/>
    <n v="0"/>
    <s v="No"/>
    <x v="3"/>
    <s v="Germany"/>
    <x v="1"/>
    <s v="StayNest Tech Park"/>
    <x v="6"/>
    <s v="Business"/>
    <n v="140"/>
    <x v="2"/>
    <s v="Corporate Rate"/>
    <d v="2026-01-14T00:00:00"/>
    <s v="No"/>
    <s v="No"/>
    <s v="Off-Peak"/>
    <x v="1"/>
    <n v="0"/>
    <s v="91–180 days"/>
  </r>
  <r>
    <s v="B000671"/>
    <s v="G00461"/>
    <s v="H003"/>
    <s v="CH01"/>
    <d v="2026-06-08T00:00:00"/>
    <d v="2026-06-15T00:00:00"/>
    <x v="1"/>
    <n v="6631"/>
    <x v="0"/>
    <b v="0"/>
    <x v="4"/>
    <x v="1"/>
    <n v="2026"/>
    <n v="0"/>
    <n v="6"/>
    <n v="2026"/>
    <n v="0"/>
    <s v="No"/>
    <x v="2"/>
    <s v="Singapore"/>
    <x v="0"/>
    <s v="StayNest Hills"/>
    <x v="5"/>
    <s v="Resort"/>
    <n v="80"/>
    <x v="5"/>
    <s v="Direct"/>
    <d v="2026-06-15T00:00:00"/>
    <s v="No"/>
    <s v="No"/>
    <s v="Shoulder"/>
    <x v="1"/>
    <n v="0"/>
    <s v="0–7 days"/>
  </r>
  <r>
    <s v="B000672"/>
    <s v="G00191"/>
    <s v="H006"/>
    <s v="CH02"/>
    <d v="2025-03-16T00:00:00"/>
    <d v="2025-03-23T00:00:00"/>
    <x v="3"/>
    <n v="7501"/>
    <x v="1"/>
    <b v="0"/>
    <x v="4"/>
    <x v="3"/>
    <n v="2025"/>
    <n v="6"/>
    <n v="3"/>
    <n v="2025"/>
    <n v="6"/>
    <s v="Yes"/>
    <x v="0"/>
    <s v="India"/>
    <x v="0"/>
    <s v="StayNest Beach"/>
    <x v="3"/>
    <s v="Resort"/>
    <n v="100"/>
    <x v="3"/>
    <s v="App Push"/>
    <d v="2025-03-23T00:00:00"/>
    <s v="Yes"/>
    <s v="No"/>
    <s v="Shoulder"/>
    <x v="1"/>
    <n v="1"/>
    <s v="0–7 days"/>
  </r>
  <r>
    <s v="B000673"/>
    <s v="G00337"/>
    <s v="H004"/>
    <s v="CH04"/>
    <d v="2026-08-05T00:00:00"/>
    <d v="2026-10-04T00:00:00"/>
    <x v="0"/>
    <n v="5079"/>
    <x v="0"/>
    <b v="0"/>
    <x v="1"/>
    <x v="11"/>
    <n v="2026"/>
    <n v="6"/>
    <n v="8"/>
    <n v="2026"/>
    <n v="2"/>
    <s v="Yes"/>
    <x v="0"/>
    <s v="India"/>
    <x v="0"/>
    <s v="StayNest Lakeview"/>
    <x v="2"/>
    <s v="Resort"/>
    <n v="75"/>
    <x v="4"/>
    <s v="Partner"/>
    <d v="2026-10-04T00:00:00"/>
    <s v="Yes"/>
    <s v="No"/>
    <s v="Shoulder"/>
    <x v="1"/>
    <n v="0"/>
    <s v="31–90 days"/>
  </r>
  <r>
    <s v="B000674"/>
    <s v="G00623"/>
    <s v="H011"/>
    <s v="CH01"/>
    <d v="2026-08-11T00:00:00"/>
    <d v="2026-11-19T00:00:00"/>
    <x v="1"/>
    <n v="5807"/>
    <x v="0"/>
    <b v="0"/>
    <x v="0"/>
    <x v="4"/>
    <n v="2026"/>
    <n v="3"/>
    <n v="8"/>
    <n v="2026"/>
    <n v="1"/>
    <s v="No"/>
    <x v="1"/>
    <s v="India"/>
    <x v="1"/>
    <s v="StayNest Grand"/>
    <x v="8"/>
    <s v="Business"/>
    <n v="110"/>
    <x v="5"/>
    <s v="Direct"/>
    <d v="2026-11-19T00:00:00"/>
    <s v="No"/>
    <s v="No"/>
    <s v="Off-Peak"/>
    <x v="1"/>
    <n v="0"/>
    <s v="91–180 days"/>
  </r>
  <r>
    <s v="B000675"/>
    <s v="G00282"/>
    <s v="H007"/>
    <s v="CH01"/>
    <d v="2025-05-08T00:00:00"/>
    <d v="2025-05-22T00:00:00"/>
    <x v="3"/>
    <n v="11221"/>
    <x v="2"/>
    <b v="0"/>
    <x v="3"/>
    <x v="9"/>
    <n v="2025"/>
    <n v="3"/>
    <n v="5"/>
    <n v="2025"/>
    <n v="3"/>
    <s v="No"/>
    <x v="2"/>
    <s v="Singapore"/>
    <x v="0"/>
    <s v="StayNest Tech Park"/>
    <x v="6"/>
    <s v="Business"/>
    <n v="140"/>
    <x v="5"/>
    <s v="Direct"/>
    <d v="2025-05-22T00:00:00"/>
    <s v="No"/>
    <s v="No"/>
    <s v="Peak"/>
    <x v="1"/>
    <n v="0"/>
    <s v="8–30 days"/>
  </r>
  <r>
    <s v="B000676"/>
    <s v="G00005"/>
    <s v="H008"/>
    <s v="CH03"/>
    <d v="2025-05-15T00:00:00"/>
    <d v="2025-08-23T00:00:00"/>
    <x v="1"/>
    <n v="5160"/>
    <x v="1"/>
    <b v="0"/>
    <x v="0"/>
    <x v="7"/>
    <n v="2025"/>
    <n v="5"/>
    <n v="5"/>
    <n v="2025"/>
    <n v="3"/>
    <s v="Yes"/>
    <x v="1"/>
    <s v="India"/>
    <x v="0"/>
    <s v="StayNest Palace"/>
    <x v="7"/>
    <s v="Heritage"/>
    <n v="85"/>
    <x v="1"/>
    <s v="OTA Promo"/>
    <d v="2025-08-23T00:00:00"/>
    <s v="Yes"/>
    <s v="No"/>
    <s v="Off-Peak"/>
    <x v="1"/>
    <n v="1"/>
    <s v="91–180 days"/>
  </r>
  <r>
    <s v="B000677"/>
    <s v="G00482"/>
    <s v="H002"/>
    <s v="CH04"/>
    <d v="2025-11-05T00:00:00"/>
    <d v="2025-11-12T00:00:00"/>
    <x v="3"/>
    <n v="9065"/>
    <x v="2"/>
    <b v="0"/>
    <x v="4"/>
    <x v="4"/>
    <n v="2025"/>
    <n v="2"/>
    <n v="11"/>
    <n v="2025"/>
    <n v="2"/>
    <s v="No"/>
    <x v="0"/>
    <s v="India"/>
    <x v="0"/>
    <s v="StayNest Central"/>
    <x v="0"/>
    <s v="Business"/>
    <n v="150"/>
    <x v="4"/>
    <s v="Partner"/>
    <d v="2025-11-12T00:00:00"/>
    <s v="No"/>
    <s v="No"/>
    <s v="Off-Peak"/>
    <x v="1"/>
    <n v="0"/>
    <s v="0–7 days"/>
  </r>
  <r>
    <s v="B000678"/>
    <s v="G00466"/>
    <s v="H008"/>
    <s v="CH06"/>
    <d v="2025-05-05T00:00:00"/>
    <d v="2025-08-13T00:00:00"/>
    <x v="2"/>
    <n v="2658"/>
    <x v="2"/>
    <b v="0"/>
    <x v="0"/>
    <x v="7"/>
    <n v="2025"/>
    <n v="2"/>
    <n v="5"/>
    <n v="2025"/>
    <n v="0"/>
    <s v="No"/>
    <x v="3"/>
    <s v="United States"/>
    <x v="0"/>
    <s v="StayNest Palace"/>
    <x v="7"/>
    <s v="Heritage"/>
    <n v="85"/>
    <x v="0"/>
    <s v="Retention"/>
    <d v="2025-08-13T00:00:00"/>
    <s v="No"/>
    <s v="No"/>
    <s v="Off-Peak"/>
    <x v="1"/>
    <n v="0"/>
    <s v="91–180 days"/>
  </r>
  <r>
    <s v="B000679"/>
    <s v="G00447"/>
    <s v="H004"/>
    <s v="CH02"/>
    <d v="2025-04-01T00:00:00"/>
    <d v="2025-04-08T00:00:00"/>
    <x v="3"/>
    <n v="8627"/>
    <x v="1"/>
    <b v="0"/>
    <x v="4"/>
    <x v="2"/>
    <n v="2025"/>
    <n v="1"/>
    <n v="4"/>
    <n v="2025"/>
    <n v="1"/>
    <s v="No"/>
    <x v="0"/>
    <s v="Unknown"/>
    <x v="0"/>
    <s v="StayNest Lakeview"/>
    <x v="2"/>
    <s v="Resort"/>
    <n v="75"/>
    <x v="3"/>
    <s v="App Push"/>
    <d v="2025-04-08T00:00:00"/>
    <s v="No"/>
    <s v="No"/>
    <s v="Peak"/>
    <x v="1"/>
    <n v="1"/>
    <s v="0–7 days"/>
  </r>
  <r>
    <s v="B000681"/>
    <s v="G00152"/>
    <s v="H010"/>
    <s v="CH04"/>
    <d v="2026-10-15T00:00:00"/>
    <d v="2026-10-29T00:00:00"/>
    <x v="2"/>
    <n v="3280"/>
    <x v="0"/>
    <b v="0"/>
    <x v="3"/>
    <x v="11"/>
    <n v="2026"/>
    <n v="3"/>
    <n v="10"/>
    <n v="2026"/>
    <n v="3"/>
    <s v="No"/>
    <x v="1"/>
    <s v="India"/>
    <x v="0"/>
    <s v="StayNest Garden"/>
    <x v="10"/>
    <s v="Boutique"/>
    <n v="70"/>
    <x v="4"/>
    <s v="Partner"/>
    <d v="2026-10-29T00:00:00"/>
    <s v="No"/>
    <s v="No"/>
    <s v="Shoulder"/>
    <x v="1"/>
    <n v="0"/>
    <s v="8–30 days"/>
  </r>
  <r>
    <s v="B000682"/>
    <s v="G00495"/>
    <s v="H004"/>
    <s v="CH01"/>
    <d v="2025-09-28T00:00:00"/>
    <d v="2025-11-27T00:00:00"/>
    <x v="2"/>
    <n v="3343"/>
    <x v="0"/>
    <b v="0"/>
    <x v="1"/>
    <x v="4"/>
    <n v="2025"/>
    <n v="3"/>
    <n v="9"/>
    <n v="2025"/>
    <n v="6"/>
    <s v="No"/>
    <x v="1"/>
    <s v="India"/>
    <x v="0"/>
    <s v="StayNest Lakeview"/>
    <x v="2"/>
    <s v="Resort"/>
    <n v="75"/>
    <x v="5"/>
    <s v="Direct"/>
    <d v="2025-11-27T00:00:00"/>
    <s v="No"/>
    <s v="No"/>
    <s v="Off-Peak"/>
    <x v="1"/>
    <n v="0"/>
    <s v="31–90 days"/>
  </r>
  <r>
    <s v="B000683"/>
    <s v="G00507"/>
    <s v="H001"/>
    <s v="CH02"/>
    <d v="2025-01-14T00:00:00"/>
    <d v="2025-03-15T00:00:00"/>
    <x v="1"/>
    <n v="6394"/>
    <x v="0"/>
    <b v="0"/>
    <x v="1"/>
    <x v="3"/>
    <n v="2025"/>
    <n v="5"/>
    <n v="1"/>
    <n v="2025"/>
    <n v="1"/>
    <s v="Yes"/>
    <x v="3"/>
    <s v="India"/>
    <x v="1"/>
    <s v="StayNest Marina"/>
    <x v="1"/>
    <s v="Business"/>
    <n v="120"/>
    <x v="3"/>
    <s v="App Push"/>
    <d v="2025-03-15T00:00:00"/>
    <s v="Yes"/>
    <s v="No"/>
    <s v="Shoulder"/>
    <x v="1"/>
    <n v="0"/>
    <s v="31–90 days"/>
  </r>
  <r>
    <s v="B000684"/>
    <s v="G00321"/>
    <s v="H005"/>
    <s v="CH06"/>
    <d v="2026-04-10T00:00:00"/>
    <d v="2026-05-10T00:00:00"/>
    <x v="2"/>
    <n v="2648"/>
    <x v="0"/>
    <b v="0"/>
    <x v="2"/>
    <x v="9"/>
    <n v="2026"/>
    <n v="6"/>
    <n v="4"/>
    <n v="2026"/>
    <n v="4"/>
    <s v="Yes"/>
    <x v="0"/>
    <s v="India"/>
    <x v="0"/>
    <s v="StayNest Heritage"/>
    <x v="11"/>
    <s v="Heritage"/>
    <n v="90"/>
    <x v="0"/>
    <s v="Retention"/>
    <d v="2026-05-10T00:00:00"/>
    <s v="Yes"/>
    <s v="No"/>
    <s v="Peak"/>
    <x v="1"/>
    <n v="0"/>
    <s v="8–30 days"/>
  </r>
  <r>
    <s v="B000685"/>
    <s v="G00410"/>
    <s v="H004"/>
    <s v="CH01"/>
    <d v="2025-10-12T00:00:00"/>
    <d v="2025-10-26T00:00:00"/>
    <x v="3"/>
    <n v="7706"/>
    <x v="0"/>
    <b v="0"/>
    <x v="3"/>
    <x v="11"/>
    <n v="2025"/>
    <n v="6"/>
    <n v="10"/>
    <n v="2025"/>
    <n v="6"/>
    <s v="Yes"/>
    <x v="0"/>
    <s v="India"/>
    <x v="0"/>
    <s v="StayNest Lakeview"/>
    <x v="2"/>
    <s v="Resort"/>
    <n v="75"/>
    <x v="5"/>
    <s v="Direct"/>
    <d v="2025-10-26T00:00:00"/>
    <s v="Yes"/>
    <s v="No"/>
    <s v="Shoulder"/>
    <x v="1"/>
    <n v="0"/>
    <s v="8–30 days"/>
  </r>
  <r>
    <s v="B000686"/>
    <s v="G00472"/>
    <s v="H003"/>
    <s v="CH03"/>
    <d v="2025-01-30T00:00:00"/>
    <d v="2025-02-13T00:00:00"/>
    <x v="1"/>
    <n v="5344"/>
    <x v="1"/>
    <b v="0"/>
    <x v="3"/>
    <x v="0"/>
    <n v="2025"/>
    <n v="3"/>
    <n v="1"/>
    <n v="2025"/>
    <n v="3"/>
    <s v="No"/>
    <x v="3"/>
    <s v="India"/>
    <x v="0"/>
    <s v="StayNest Hills"/>
    <x v="5"/>
    <s v="Resort"/>
    <n v="80"/>
    <x v="1"/>
    <s v="OTA Promo"/>
    <d v="2025-02-13T00:00:00"/>
    <s v="No"/>
    <s v="No"/>
    <s v="Shoulder"/>
    <x v="1"/>
    <n v="1"/>
    <s v="8–30 days"/>
  </r>
  <r>
    <s v="B000687"/>
    <s v="G00407"/>
    <s v="H009"/>
    <s v="CH04"/>
    <d v="2026-06-05T00:00:00"/>
    <d v="2026-06-19T00:00:00"/>
    <x v="1"/>
    <n v="7656"/>
    <x v="0"/>
    <b v="0"/>
    <x v="3"/>
    <x v="1"/>
    <n v="2026"/>
    <n v="4"/>
    <n v="6"/>
    <n v="2026"/>
    <n v="4"/>
    <s v="No"/>
    <x v="1"/>
    <s v="India"/>
    <x v="0"/>
    <s v="StayNest Airport"/>
    <x v="9"/>
    <s v="Business"/>
    <n v="160"/>
    <x v="4"/>
    <s v="Partner"/>
    <d v="2026-06-19T00:00:00"/>
    <s v="No"/>
    <s v="No"/>
    <s v="Shoulder"/>
    <x v="1"/>
    <n v="0"/>
    <s v="8–30 days"/>
  </r>
  <r>
    <s v="B000688"/>
    <s v="G00194"/>
    <s v="H007"/>
    <s v="CH02"/>
    <d v="2026-09-01T00:00:00"/>
    <d v="2026-09-08T00:00:00"/>
    <x v="1"/>
    <n v="7647"/>
    <x v="1"/>
    <b v="0"/>
    <x v="4"/>
    <x v="10"/>
    <n v="2026"/>
    <n v="1"/>
    <n v="9"/>
    <n v="2026"/>
    <n v="1"/>
    <s v="No"/>
    <x v="0"/>
    <s v="India"/>
    <x v="0"/>
    <s v="StayNest Tech Park"/>
    <x v="6"/>
    <s v="Business"/>
    <n v="140"/>
    <x v="3"/>
    <s v="App Push"/>
    <d v="2026-09-08T00:00:00"/>
    <s v="No"/>
    <s v="No"/>
    <s v="Shoulder"/>
    <x v="1"/>
    <n v="1"/>
    <s v="0–7 days"/>
  </r>
  <r>
    <s v="B000689"/>
    <s v="G00118"/>
    <s v="H001"/>
    <s v="CH01"/>
    <d v="2026-08-13T00:00:00"/>
    <d v="2026-08-20T00:00:00"/>
    <x v="2"/>
    <n v="2406"/>
    <x v="0"/>
    <b v="0"/>
    <x v="4"/>
    <x v="7"/>
    <n v="2026"/>
    <n v="3"/>
    <n v="8"/>
    <n v="2026"/>
    <n v="3"/>
    <s v="No"/>
    <x v="3"/>
    <s v="Germany"/>
    <x v="1"/>
    <s v="StayNest Marina"/>
    <x v="1"/>
    <s v="Business"/>
    <n v="120"/>
    <x v="5"/>
    <s v="Direct"/>
    <d v="2026-08-20T00:00:00"/>
    <s v="No"/>
    <s v="No"/>
    <s v="Off-Peak"/>
    <x v="1"/>
    <n v="0"/>
    <s v="0–7 days"/>
  </r>
  <r>
    <s v="B000690"/>
    <s v="G00104"/>
    <s v="H004"/>
    <s v="CH06"/>
    <d v="2025-10-02T00:00:00"/>
    <d v="2025-11-01T00:00:00"/>
    <x v="0"/>
    <n v="4679"/>
    <x v="0"/>
    <b v="0"/>
    <x v="2"/>
    <x v="4"/>
    <n v="2025"/>
    <n v="5"/>
    <n v="10"/>
    <n v="2025"/>
    <n v="3"/>
    <s v="Yes"/>
    <x v="2"/>
    <s v="UAE"/>
    <x v="1"/>
    <s v="StayNest Lakeview"/>
    <x v="2"/>
    <s v="Resort"/>
    <n v="75"/>
    <x v="0"/>
    <s v="Retention"/>
    <d v="2025-11-01T00:00:00"/>
    <s v="Yes"/>
    <s v="No"/>
    <s v="Off-Peak"/>
    <x v="1"/>
    <n v="0"/>
    <s v="8–30 days"/>
  </r>
  <r>
    <s v="B000691"/>
    <s v="G00638"/>
    <s v="H008"/>
    <s v="CH06"/>
    <d v="2025-11-09T00:00:00"/>
    <d v="2026-02-17T00:00:00"/>
    <x v="0"/>
    <n v="3784"/>
    <x v="3"/>
    <b v="0"/>
    <x v="0"/>
    <x v="0"/>
    <n v="2026"/>
    <n v="1"/>
    <n v="11"/>
    <n v="2025"/>
    <n v="6"/>
    <s v="No"/>
    <x v="3"/>
    <s v="India"/>
    <x v="0"/>
    <s v="StayNest Palace"/>
    <x v="7"/>
    <s v="Heritage"/>
    <n v="85"/>
    <x v="0"/>
    <s v="Retention"/>
    <d v="2026-02-17T00:00:00"/>
    <s v="No"/>
    <s v="No"/>
    <s v="Shoulder"/>
    <x v="1"/>
    <n v="0"/>
    <s v="91–180 days"/>
  </r>
  <r>
    <s v="B000692"/>
    <s v="G00486"/>
    <s v="H007"/>
    <s v="CH03"/>
    <d v="2025-01-22T00:00:00"/>
    <d v="2025-01-25T00:00:00"/>
    <x v="3"/>
    <n v="11366"/>
    <x v="0"/>
    <b v="0"/>
    <x v="6"/>
    <x v="6"/>
    <n v="2025"/>
    <n v="5"/>
    <n v="1"/>
    <n v="2025"/>
    <n v="2"/>
    <s v="Yes"/>
    <x v="2"/>
    <s v="India"/>
    <x v="1"/>
    <s v="StayNest Tech Park"/>
    <x v="6"/>
    <s v="Business"/>
    <n v="140"/>
    <x v="1"/>
    <s v="OTA Promo"/>
    <d v="2025-01-25T00:00:00"/>
    <s v="Yes"/>
    <s v="No"/>
    <s v="Off-Peak"/>
    <x v="1"/>
    <n v="0"/>
    <s v="0–7 days"/>
  </r>
  <r>
    <s v="B000693"/>
    <s v="G00254"/>
    <s v="H008"/>
    <s v="CH01"/>
    <d v="2025-02-16T00:00:00"/>
    <d v="2025-05-27T00:00:00"/>
    <x v="3"/>
    <n v="7870"/>
    <x v="1"/>
    <b v="0"/>
    <x v="0"/>
    <x v="9"/>
    <n v="2025"/>
    <n v="1"/>
    <n v="2"/>
    <n v="2025"/>
    <n v="6"/>
    <s v="No"/>
    <x v="1"/>
    <s v="United States"/>
    <x v="0"/>
    <s v="StayNest Palace"/>
    <x v="7"/>
    <s v="Heritage"/>
    <n v="85"/>
    <x v="5"/>
    <s v="Direct"/>
    <d v="2025-05-27T00:00:00"/>
    <s v="No"/>
    <s v="No"/>
    <s v="Peak"/>
    <x v="1"/>
    <n v="1"/>
    <s v="91–180 days"/>
  </r>
  <r>
    <s v="B000694"/>
    <s v="G00312"/>
    <s v="H012"/>
    <s v="CH03"/>
    <d v="2026-04-09T00:00:00"/>
    <d v="2026-05-09T00:00:00"/>
    <x v="3"/>
    <n v="8576"/>
    <x v="0"/>
    <b v="0"/>
    <x v="2"/>
    <x v="9"/>
    <n v="2026"/>
    <n v="5"/>
    <n v="4"/>
    <n v="2026"/>
    <n v="3"/>
    <s v="Yes"/>
    <x v="1"/>
    <s v="India"/>
    <x v="0"/>
    <s v="StayNest Valley"/>
    <x v="4"/>
    <s v="Resort"/>
    <n v="65"/>
    <x v="1"/>
    <s v="OTA Promo"/>
    <d v="2026-05-09T00:00:00"/>
    <s v="Yes"/>
    <s v="No"/>
    <s v="Peak"/>
    <x v="1"/>
    <n v="0"/>
    <s v="8–30 days"/>
  </r>
  <r>
    <s v="B000695"/>
    <s v="G00342"/>
    <s v="H009"/>
    <s v="CH06"/>
    <d v="2026-09-03T00:00:00"/>
    <d v="2026-09-17T00:00:00"/>
    <x v="3"/>
    <n v="7711"/>
    <x v="0"/>
    <b v="0"/>
    <x v="3"/>
    <x v="10"/>
    <n v="2026"/>
    <n v="3"/>
    <n v="9"/>
    <n v="2026"/>
    <n v="3"/>
    <s v="No"/>
    <x v="1"/>
    <s v="India"/>
    <x v="0"/>
    <s v="StayNest Airport"/>
    <x v="9"/>
    <s v="Business"/>
    <n v="160"/>
    <x v="0"/>
    <s v="Retention"/>
    <d v="2026-09-17T00:00:00"/>
    <s v="No"/>
    <s v="No"/>
    <s v="Shoulder"/>
    <x v="1"/>
    <n v="0"/>
    <s v="8–30 days"/>
  </r>
  <r>
    <s v="B000696"/>
    <s v="G00510"/>
    <s v="H001"/>
    <s v="CH02"/>
    <d v="2026-08-15T00:00:00"/>
    <d v="2026-10-14T00:00:00"/>
    <x v="1"/>
    <n v="8770"/>
    <x v="3"/>
    <b v="0"/>
    <x v="1"/>
    <x v="11"/>
    <n v="2026"/>
    <n v="2"/>
    <n v="8"/>
    <n v="2026"/>
    <n v="5"/>
    <s v="No"/>
    <x v="1"/>
    <s v="India"/>
    <x v="0"/>
    <s v="StayNest Marina"/>
    <x v="1"/>
    <s v="Business"/>
    <n v="120"/>
    <x v="3"/>
    <s v="App Push"/>
    <d v="2026-10-14T00:00:00"/>
    <s v="No"/>
    <s v="No"/>
    <s v="Shoulder"/>
    <x v="1"/>
    <n v="0"/>
    <s v="31–90 days"/>
  </r>
  <r>
    <s v="B000697"/>
    <s v="G00642"/>
    <s v="H011"/>
    <s v="CH05"/>
    <d v="2026-04-06T00:00:00"/>
    <d v="2026-11-12T00:00:00"/>
    <x v="0"/>
    <n v="4928"/>
    <x v="0"/>
    <b v="0"/>
    <x v="8"/>
    <x v="4"/>
    <n v="2026"/>
    <n v="3"/>
    <n v="4"/>
    <n v="2026"/>
    <n v="0"/>
    <s v="No"/>
    <x v="3"/>
    <s v="India"/>
    <x v="0"/>
    <s v="StayNest Grand"/>
    <x v="8"/>
    <s v="Business"/>
    <n v="110"/>
    <x v="2"/>
    <s v="Corporate Rate"/>
    <d v="2026-11-12T00:00:00"/>
    <s v="No"/>
    <s v="No"/>
    <s v="Off-Peak"/>
    <x v="1"/>
    <n v="0"/>
    <s v="181+ days"/>
  </r>
  <r>
    <s v="B000698"/>
    <s v="G00196"/>
    <s v="H001"/>
    <s v="CH05"/>
    <d v="2026-06-17T00:00:00"/>
    <d v="2026-08-16T00:00:00"/>
    <x v="2"/>
    <n v="3828"/>
    <x v="0"/>
    <b v="0"/>
    <x v="1"/>
    <x v="7"/>
    <n v="2026"/>
    <n v="6"/>
    <n v="6"/>
    <n v="2026"/>
    <n v="2"/>
    <s v="Yes"/>
    <x v="1"/>
    <s v="India"/>
    <x v="0"/>
    <s v="StayNest Marina"/>
    <x v="1"/>
    <s v="Business"/>
    <n v="120"/>
    <x v="2"/>
    <s v="Corporate Rate"/>
    <d v="2026-08-16T00:00:00"/>
    <s v="Yes"/>
    <s v="No"/>
    <s v="Off-Peak"/>
    <x v="1"/>
    <n v="0"/>
    <s v="31–90 days"/>
  </r>
  <r>
    <s v="B000699"/>
    <s v="G00009"/>
    <s v="H008"/>
    <s v="CH06"/>
    <d v="2025-05-31T00:00:00"/>
    <d v="2025-06-14T00:00:00"/>
    <x v="0"/>
    <n v="4686"/>
    <x v="0"/>
    <b v="0"/>
    <x v="3"/>
    <x v="1"/>
    <n v="2025"/>
    <n v="5"/>
    <n v="5"/>
    <n v="2025"/>
    <n v="5"/>
    <s v="Yes"/>
    <x v="2"/>
    <s v="India"/>
    <x v="1"/>
    <s v="StayNest Palace"/>
    <x v="7"/>
    <s v="Heritage"/>
    <n v="85"/>
    <x v="0"/>
    <s v="Retention"/>
    <d v="2025-06-14T00:00:00"/>
    <s v="Yes"/>
    <s v="No"/>
    <s v="Shoulder"/>
    <x v="1"/>
    <n v="0"/>
    <s v="8–30 days"/>
  </r>
  <r>
    <s v="B000700"/>
    <s v="G00302"/>
    <s v="H001"/>
    <s v="CH04"/>
    <d v="2025-02-11T00:00:00"/>
    <d v="2025-02-18T00:00:00"/>
    <x v="2"/>
    <n v="3200"/>
    <x v="0"/>
    <b v="0"/>
    <x v="4"/>
    <x v="0"/>
    <n v="2025"/>
    <n v="1"/>
    <n v="2"/>
    <n v="2025"/>
    <n v="1"/>
    <s v="No"/>
    <x v="0"/>
    <s v="India"/>
    <x v="0"/>
    <s v="StayNest Marina"/>
    <x v="1"/>
    <s v="Business"/>
    <n v="120"/>
    <x v="4"/>
    <s v="Partner"/>
    <d v="2025-02-18T00:00:00"/>
    <s v="No"/>
    <s v="No"/>
    <s v="Shoulder"/>
    <x v="1"/>
    <n v="0"/>
    <s v="0–7 days"/>
  </r>
  <r>
    <s v="B000701"/>
    <s v="G00142"/>
    <s v="H006"/>
    <s v="CH03"/>
    <d v="2026-05-30T00:00:00"/>
    <d v="2026-06-29T00:00:00"/>
    <x v="0"/>
    <n v="4608"/>
    <x v="0"/>
    <b v="0"/>
    <x v="2"/>
    <x v="1"/>
    <n v="2026"/>
    <n v="0"/>
    <n v="5"/>
    <n v="2026"/>
    <n v="5"/>
    <s v="No"/>
    <x v="0"/>
    <s v="India"/>
    <x v="1"/>
    <s v="StayNest Beach"/>
    <x v="3"/>
    <s v="Resort"/>
    <n v="100"/>
    <x v="1"/>
    <s v="OTA Promo"/>
    <d v="2026-06-29T00:00:00"/>
    <s v="No"/>
    <s v="No"/>
    <s v="Shoulder"/>
    <x v="1"/>
    <n v="0"/>
    <s v="8–30 days"/>
  </r>
  <r>
    <s v="B000702"/>
    <s v="G00225"/>
    <s v="H001"/>
    <s v="CH04"/>
    <d v="2025-12-30T00:00:00"/>
    <d v="2026-01-06T00:00:00"/>
    <x v="1"/>
    <n v="8769"/>
    <x v="0"/>
    <b v="0"/>
    <x v="4"/>
    <x v="6"/>
    <n v="2026"/>
    <n v="1"/>
    <n v="12"/>
    <n v="2025"/>
    <n v="1"/>
    <s v="No"/>
    <x v="2"/>
    <s v="India"/>
    <x v="0"/>
    <s v="StayNest Marina"/>
    <x v="1"/>
    <s v="Business"/>
    <n v="120"/>
    <x v="4"/>
    <s v="Partner"/>
    <d v="2026-01-06T00:00:00"/>
    <s v="No"/>
    <s v="No"/>
    <s v="Off-Peak"/>
    <x v="1"/>
    <n v="0"/>
    <s v="0–7 days"/>
  </r>
  <r>
    <s v="B000703"/>
    <s v="G00331"/>
    <s v="H010"/>
    <s v="CH02"/>
    <d v="2026-12-01T00:00:00"/>
    <d v="2027-01-30T00:00:00"/>
    <x v="3"/>
    <n v="8134"/>
    <x v="2"/>
    <b v="0"/>
    <x v="1"/>
    <x v="6"/>
    <n v="2027"/>
    <n v="5"/>
    <n v="12"/>
    <n v="2026"/>
    <n v="1"/>
    <s v="Yes"/>
    <x v="3"/>
    <s v="India"/>
    <x v="0"/>
    <s v="StayNest Garden"/>
    <x v="10"/>
    <s v="Boutique"/>
    <n v="70"/>
    <x v="3"/>
    <s v="App Push"/>
    <m/>
    <s v="Unknown"/>
    <s v="Unknown"/>
    <s v="Unknown"/>
    <x v="0"/>
    <n v="0"/>
    <s v="31–90 days"/>
  </r>
  <r>
    <s v="B000704"/>
    <s v="G00473"/>
    <s v="H009"/>
    <s v="CH02"/>
    <d v="2026-01-20T00:00:00"/>
    <d v="2026-03-21T00:00:00"/>
    <x v="1"/>
    <n v="7843"/>
    <x v="2"/>
    <b v="0"/>
    <x v="1"/>
    <x v="3"/>
    <n v="2026"/>
    <n v="5"/>
    <n v="1"/>
    <n v="2026"/>
    <n v="1"/>
    <s v="Yes"/>
    <x v="0"/>
    <s v="India"/>
    <x v="0"/>
    <s v="StayNest Airport"/>
    <x v="9"/>
    <s v="Business"/>
    <n v="160"/>
    <x v="3"/>
    <s v="App Push"/>
    <d v="2026-03-21T00:00:00"/>
    <s v="Yes"/>
    <s v="No"/>
    <s v="Shoulder"/>
    <x v="1"/>
    <n v="0"/>
    <s v="31–90 days"/>
  </r>
  <r>
    <s v="B000705"/>
    <s v="G00480"/>
    <s v="H006"/>
    <s v="CH04"/>
    <d v="2026-04-23T00:00:00"/>
    <d v="2026-05-07T00:00:00"/>
    <x v="1"/>
    <n v="8921"/>
    <x v="1"/>
    <b v="0"/>
    <x v="3"/>
    <x v="9"/>
    <n v="2026"/>
    <n v="3"/>
    <n v="4"/>
    <n v="2026"/>
    <n v="3"/>
    <s v="No"/>
    <x v="1"/>
    <s v="India"/>
    <x v="0"/>
    <s v="StayNest Beach"/>
    <x v="3"/>
    <s v="Resort"/>
    <n v="100"/>
    <x v="4"/>
    <s v="Partner"/>
    <d v="2026-05-07T00:00:00"/>
    <s v="No"/>
    <s v="No"/>
    <s v="Peak"/>
    <x v="1"/>
    <n v="1"/>
    <s v="8–30 days"/>
  </r>
  <r>
    <s v="B000706"/>
    <s v="G00144"/>
    <s v="H010"/>
    <s v="CH03"/>
    <d v="2025-09-06T00:00:00"/>
    <d v="2025-10-06T00:00:00"/>
    <x v="3"/>
    <n v="11133"/>
    <x v="0"/>
    <b v="0"/>
    <x v="2"/>
    <x v="11"/>
    <n v="2025"/>
    <n v="0"/>
    <n v="9"/>
    <n v="2025"/>
    <n v="5"/>
    <s v="No"/>
    <x v="0"/>
    <s v="India"/>
    <x v="0"/>
    <s v="StayNest Garden"/>
    <x v="10"/>
    <s v="Boutique"/>
    <n v="70"/>
    <x v="1"/>
    <s v="OTA Promo"/>
    <d v="2025-10-06T00:00:00"/>
    <s v="No"/>
    <s v="No"/>
    <s v="Shoulder"/>
    <x v="1"/>
    <n v="0"/>
    <s v="8–30 days"/>
  </r>
  <r>
    <s v="B000707"/>
    <s v="G00413"/>
    <s v="H011"/>
    <s v="CH01"/>
    <d v="2026-04-19T00:00:00"/>
    <d v="2026-06-18T00:00:00"/>
    <x v="1"/>
    <n v="8399"/>
    <x v="1"/>
    <b v="0"/>
    <x v="1"/>
    <x v="1"/>
    <n v="2026"/>
    <n v="3"/>
    <n v="4"/>
    <n v="2026"/>
    <n v="6"/>
    <s v="No"/>
    <x v="1"/>
    <s v="India"/>
    <x v="0"/>
    <s v="StayNest Grand"/>
    <x v="8"/>
    <s v="Business"/>
    <n v="110"/>
    <x v="5"/>
    <s v="Direct"/>
    <d v="2026-06-18T00:00:00"/>
    <s v="No"/>
    <s v="No"/>
    <s v="Shoulder"/>
    <x v="1"/>
    <n v="1"/>
    <s v="31–90 days"/>
  </r>
  <r>
    <s v="B000708"/>
    <s v="G00609"/>
    <s v="H002"/>
    <s v="CH03"/>
    <d v="2026-08-03T00:00:00"/>
    <d v="2026-08-17T00:00:00"/>
    <x v="3"/>
    <n v="10684"/>
    <x v="0"/>
    <b v="0"/>
    <x v="3"/>
    <x v="7"/>
    <n v="2026"/>
    <n v="0"/>
    <n v="8"/>
    <n v="2026"/>
    <n v="0"/>
    <s v="No"/>
    <x v="2"/>
    <s v="India"/>
    <x v="0"/>
    <s v="StayNest Central"/>
    <x v="0"/>
    <s v="Business"/>
    <n v="150"/>
    <x v="1"/>
    <s v="OTA Promo"/>
    <d v="2026-08-17T00:00:00"/>
    <s v="No"/>
    <s v="No"/>
    <s v="Off-Peak"/>
    <x v="1"/>
    <n v="0"/>
    <s v="8–30 days"/>
  </r>
  <r>
    <s v="B000709"/>
    <s v="G00576"/>
    <s v="H012"/>
    <s v="CH04"/>
    <d v="2025-05-20T00:00:00"/>
    <d v="2025-05-27T00:00:00"/>
    <x v="0"/>
    <n v="4773"/>
    <x v="0"/>
    <b v="0"/>
    <x v="4"/>
    <x v="9"/>
    <n v="2025"/>
    <n v="1"/>
    <n v="5"/>
    <n v="2025"/>
    <n v="1"/>
    <s v="No"/>
    <x v="0"/>
    <s v="India"/>
    <x v="0"/>
    <s v="StayNest Valley"/>
    <x v="4"/>
    <s v="Resort"/>
    <n v="65"/>
    <x v="4"/>
    <s v="Partner"/>
    <d v="2025-05-27T00:00:00"/>
    <s v="No"/>
    <s v="No"/>
    <s v="Peak"/>
    <x v="1"/>
    <n v="0"/>
    <s v="0–7 days"/>
  </r>
  <r>
    <s v="B000710"/>
    <s v="G00001"/>
    <s v="H003"/>
    <s v="CH05"/>
    <d v="2025-05-04T00:00:00"/>
    <d v="2025-06-03T00:00:00"/>
    <x v="0"/>
    <n v="5440"/>
    <x v="2"/>
    <b v="0"/>
    <x v="2"/>
    <x v="1"/>
    <n v="2025"/>
    <n v="1"/>
    <n v="5"/>
    <n v="2025"/>
    <n v="6"/>
    <s v="No"/>
    <x v="0"/>
    <s v="India"/>
    <x v="0"/>
    <s v="StayNest Hills"/>
    <x v="5"/>
    <s v="Resort"/>
    <n v="80"/>
    <x v="2"/>
    <s v="Corporate Rate"/>
    <d v="2025-06-03T00:00:00"/>
    <s v="No"/>
    <s v="No"/>
    <s v="Shoulder"/>
    <x v="1"/>
    <n v="0"/>
    <s v="8–30 days"/>
  </r>
  <r>
    <s v="B000711"/>
    <s v="G00308"/>
    <s v="H007"/>
    <s v="CH04"/>
    <d v="2025-07-08T00:00:00"/>
    <d v="2025-10-16T00:00:00"/>
    <x v="3"/>
    <n v="11891"/>
    <x v="1"/>
    <b v="0"/>
    <x v="0"/>
    <x v="11"/>
    <n v="2025"/>
    <n v="3"/>
    <n v="7"/>
    <n v="2025"/>
    <n v="1"/>
    <s v="No"/>
    <x v="0"/>
    <s v="India"/>
    <x v="0"/>
    <s v="StayNest Tech Park"/>
    <x v="6"/>
    <s v="Business"/>
    <n v="140"/>
    <x v="4"/>
    <s v="Partner"/>
    <d v="2025-10-16T00:00:00"/>
    <s v="No"/>
    <s v="No"/>
    <s v="Shoulder"/>
    <x v="1"/>
    <n v="1"/>
    <s v="91–180 days"/>
  </r>
  <r>
    <s v="B000712"/>
    <s v="G00023"/>
    <s v="H003"/>
    <s v="CH02"/>
    <d v="2026-11-05T00:00:00"/>
    <d v="2026-11-12T00:00:00"/>
    <x v="0"/>
    <n v="4687"/>
    <x v="0"/>
    <b v="0"/>
    <x v="4"/>
    <x v="4"/>
    <n v="2026"/>
    <n v="3"/>
    <n v="11"/>
    <n v="2026"/>
    <n v="3"/>
    <s v="No"/>
    <x v="1"/>
    <s v="India"/>
    <x v="0"/>
    <s v="StayNest Hills"/>
    <x v="5"/>
    <s v="Resort"/>
    <n v="80"/>
    <x v="3"/>
    <s v="App Push"/>
    <d v="2026-11-12T00:00:00"/>
    <s v="No"/>
    <s v="No"/>
    <s v="Off-Peak"/>
    <x v="1"/>
    <n v="0"/>
    <s v="0–7 days"/>
  </r>
  <r>
    <s v="B000713"/>
    <s v="G00282"/>
    <s v="H007"/>
    <s v="CH04"/>
    <d v="2025-04-20T00:00:00"/>
    <d v="2025-05-04T00:00:00"/>
    <x v="1"/>
    <n v="5492"/>
    <x v="1"/>
    <b v="0"/>
    <x v="3"/>
    <x v="9"/>
    <n v="2025"/>
    <n v="6"/>
    <n v="4"/>
    <n v="2025"/>
    <n v="6"/>
    <s v="Yes"/>
    <x v="2"/>
    <s v="Singapore"/>
    <x v="0"/>
    <s v="StayNest Tech Park"/>
    <x v="6"/>
    <s v="Business"/>
    <n v="140"/>
    <x v="4"/>
    <s v="Partner"/>
    <d v="2025-05-04T00:00:00"/>
    <s v="Yes"/>
    <s v="No"/>
    <s v="Peak"/>
    <x v="1"/>
    <n v="1"/>
    <s v="8–30 days"/>
  </r>
  <r>
    <s v="B000714"/>
    <s v="G00311"/>
    <s v="H001"/>
    <s v="CH06"/>
    <d v="2026-10-29T00:00:00"/>
    <d v="2027-02-06T00:00:00"/>
    <x v="1"/>
    <n v="6916"/>
    <x v="0"/>
    <b v="0"/>
    <x v="0"/>
    <x v="0"/>
    <n v="2027"/>
    <n v="5"/>
    <n v="10"/>
    <n v="2026"/>
    <n v="3"/>
    <s v="Yes"/>
    <x v="1"/>
    <s v="United States"/>
    <x v="1"/>
    <s v="StayNest Marina"/>
    <x v="1"/>
    <s v="Business"/>
    <n v="120"/>
    <x v="0"/>
    <s v="Retention"/>
    <m/>
    <s v="Unknown"/>
    <s v="Unknown"/>
    <s v="Unknown"/>
    <x v="0"/>
    <n v="0"/>
    <s v="91–180 days"/>
  </r>
  <r>
    <s v="B000715"/>
    <s v="G00163"/>
    <s v="H006"/>
    <s v="CH05"/>
    <d v="2026-05-31T00:00:00"/>
    <d v="2026-06-07T00:00:00"/>
    <x v="1"/>
    <n v="5620"/>
    <x v="0"/>
    <b v="0"/>
    <x v="4"/>
    <x v="1"/>
    <n v="2026"/>
    <n v="6"/>
    <n v="5"/>
    <n v="2026"/>
    <n v="6"/>
    <s v="Yes"/>
    <x v="3"/>
    <s v="United States"/>
    <x v="0"/>
    <s v="StayNest Beach"/>
    <x v="3"/>
    <s v="Resort"/>
    <n v="100"/>
    <x v="2"/>
    <s v="Corporate Rate"/>
    <d v="2026-06-07T00:00:00"/>
    <s v="Yes"/>
    <s v="No"/>
    <s v="Shoulder"/>
    <x v="1"/>
    <n v="0"/>
    <s v="0–7 days"/>
  </r>
  <r>
    <s v="B000716"/>
    <s v="G00144"/>
    <s v="H005"/>
    <s v="CH06"/>
    <d v="2025-11-07T00:00:00"/>
    <d v="2026-04-06T00:00:00"/>
    <x v="2"/>
    <n v="2971"/>
    <x v="0"/>
    <b v="0"/>
    <x v="5"/>
    <x v="2"/>
    <n v="2026"/>
    <n v="0"/>
    <n v="11"/>
    <n v="2025"/>
    <n v="4"/>
    <s v="No"/>
    <x v="0"/>
    <s v="India"/>
    <x v="0"/>
    <s v="StayNest Heritage"/>
    <x v="11"/>
    <s v="Heritage"/>
    <n v="90"/>
    <x v="0"/>
    <s v="Retention"/>
    <d v="2026-04-06T00:00:00"/>
    <s v="No"/>
    <s v="No"/>
    <s v="Peak"/>
    <x v="1"/>
    <n v="0"/>
    <s v="91–180 days"/>
  </r>
  <r>
    <s v="B000717"/>
    <s v="G00539"/>
    <s v="H005"/>
    <s v="CH02"/>
    <d v="2025-11-28T00:00:00"/>
    <d v="2025-12-28T00:00:00"/>
    <x v="3"/>
    <n v="7053"/>
    <x v="0"/>
    <b v="0"/>
    <x v="2"/>
    <x v="5"/>
    <n v="2025"/>
    <n v="6"/>
    <n v="11"/>
    <n v="2025"/>
    <n v="4"/>
    <s v="Yes"/>
    <x v="3"/>
    <s v="India"/>
    <x v="0"/>
    <s v="StayNest Heritage"/>
    <x v="11"/>
    <s v="Heritage"/>
    <n v="90"/>
    <x v="3"/>
    <s v="App Push"/>
    <d v="2025-12-28T00:00:00"/>
    <s v="Yes"/>
    <s v="No"/>
    <s v="Peak"/>
    <x v="1"/>
    <n v="0"/>
    <s v="8–30 days"/>
  </r>
  <r>
    <s v="B000718"/>
    <s v="G00109"/>
    <s v="H008"/>
    <s v="CH06"/>
    <d v="2026-05-03T00:00:00"/>
    <d v="2026-05-17T00:00:00"/>
    <x v="0"/>
    <n v="4212"/>
    <x v="0"/>
    <b v="0"/>
    <x v="3"/>
    <x v="9"/>
    <n v="2026"/>
    <n v="6"/>
    <n v="5"/>
    <n v="2026"/>
    <n v="6"/>
    <s v="Yes"/>
    <x v="1"/>
    <s v="United States"/>
    <x v="0"/>
    <s v="StayNest Palace"/>
    <x v="7"/>
    <s v="Heritage"/>
    <n v="85"/>
    <x v="0"/>
    <s v="Retention"/>
    <d v="2026-05-17T00:00:00"/>
    <s v="Yes"/>
    <s v="No"/>
    <s v="Peak"/>
    <x v="1"/>
    <n v="0"/>
    <s v="8–30 days"/>
  </r>
  <r>
    <s v="B000719"/>
    <s v="G00257"/>
    <s v="H002"/>
    <s v="CH01"/>
    <d v="2025-03-16T00:00:00"/>
    <d v="2025-03-30T00:00:00"/>
    <x v="3"/>
    <n v="7925"/>
    <x v="0"/>
    <b v="0"/>
    <x v="3"/>
    <x v="3"/>
    <n v="2025"/>
    <n v="6"/>
    <n v="3"/>
    <n v="2025"/>
    <n v="6"/>
    <s v="Yes"/>
    <x v="1"/>
    <s v="Unknown"/>
    <x v="0"/>
    <s v="StayNest Central"/>
    <x v="0"/>
    <s v="Business"/>
    <n v="150"/>
    <x v="5"/>
    <s v="Direct"/>
    <d v="2025-03-30T00:00:00"/>
    <s v="Yes"/>
    <s v="No"/>
    <s v="Shoulder"/>
    <x v="1"/>
    <n v="0"/>
    <s v="8–30 days"/>
  </r>
  <r>
    <s v="B000720"/>
    <s v="G00588"/>
    <s v="H009"/>
    <s v="CH02"/>
    <d v="2025-07-20T00:00:00"/>
    <d v="2025-07-27T00:00:00"/>
    <x v="1"/>
    <n v="6777"/>
    <x v="0"/>
    <b v="0"/>
    <x v="4"/>
    <x v="8"/>
    <n v="2025"/>
    <n v="6"/>
    <n v="7"/>
    <n v="2025"/>
    <n v="6"/>
    <s v="Yes"/>
    <x v="0"/>
    <s v="India"/>
    <x v="1"/>
    <s v="StayNest Airport"/>
    <x v="9"/>
    <s v="Business"/>
    <n v="160"/>
    <x v="3"/>
    <s v="App Push"/>
    <d v="2025-07-27T00:00:00"/>
    <s v="Yes"/>
    <s v="No"/>
    <s v="Off-Peak"/>
    <x v="1"/>
    <n v="0"/>
    <s v="0–7 days"/>
  </r>
  <r>
    <s v="B000721"/>
    <s v="G00597"/>
    <s v="H001"/>
    <s v="CH06"/>
    <d v="2026-11-16T00:00:00"/>
    <d v="2026-11-19T00:00:00"/>
    <x v="2"/>
    <n v="4029"/>
    <x v="0"/>
    <b v="0"/>
    <x v="6"/>
    <x v="4"/>
    <n v="2026"/>
    <n v="3"/>
    <n v="11"/>
    <n v="2026"/>
    <n v="0"/>
    <s v="No"/>
    <x v="3"/>
    <s v="India"/>
    <x v="0"/>
    <s v="StayNest Marina"/>
    <x v="1"/>
    <s v="Business"/>
    <n v="120"/>
    <x v="0"/>
    <s v="Retention"/>
    <d v="2026-11-19T00:00:00"/>
    <s v="No"/>
    <s v="No"/>
    <s v="Off-Peak"/>
    <x v="1"/>
    <n v="0"/>
    <s v="0–7 days"/>
  </r>
  <r>
    <s v="B000722"/>
    <s v="G00190"/>
    <s v="H011"/>
    <s v="CH06"/>
    <d v="2026-10-20T00:00:00"/>
    <d v="2026-11-19T00:00:00"/>
    <x v="0"/>
    <n v="5440"/>
    <x v="2"/>
    <b v="0"/>
    <x v="2"/>
    <x v="4"/>
    <n v="2026"/>
    <n v="3"/>
    <n v="10"/>
    <n v="2026"/>
    <n v="1"/>
    <s v="No"/>
    <x v="2"/>
    <s v="India"/>
    <x v="0"/>
    <s v="StayNest Grand"/>
    <x v="8"/>
    <s v="Business"/>
    <n v="110"/>
    <x v="0"/>
    <s v="Retention"/>
    <d v="2026-11-19T00:00:00"/>
    <s v="No"/>
    <s v="No"/>
    <s v="Off-Peak"/>
    <x v="1"/>
    <n v="0"/>
    <s v="8–30 days"/>
  </r>
  <r>
    <s v="B000723"/>
    <s v="G00069"/>
    <s v="H008"/>
    <s v="CH04"/>
    <d v="2026-10-03T00:00:00"/>
    <d v="2026-10-17T00:00:00"/>
    <x v="2"/>
    <n v="2360"/>
    <x v="0"/>
    <b v="0"/>
    <x v="3"/>
    <x v="11"/>
    <n v="2026"/>
    <n v="5"/>
    <n v="10"/>
    <n v="2026"/>
    <n v="5"/>
    <s v="Yes"/>
    <x v="3"/>
    <s v="India"/>
    <x v="0"/>
    <s v="StayNest Palace"/>
    <x v="7"/>
    <s v="Heritage"/>
    <n v="85"/>
    <x v="4"/>
    <s v="Partner"/>
    <d v="2026-10-17T00:00:00"/>
    <s v="Yes"/>
    <s v="No"/>
    <s v="Shoulder"/>
    <x v="1"/>
    <n v="0"/>
    <s v="8–30 days"/>
  </r>
  <r>
    <s v="B000724"/>
    <s v="G00554"/>
    <s v="H006"/>
    <s v="CH01"/>
    <d v="2025-08-18T00:00:00"/>
    <d v="2025-11-26T00:00:00"/>
    <x v="3"/>
    <n v="7056"/>
    <x v="0"/>
    <b v="0"/>
    <x v="0"/>
    <x v="4"/>
    <n v="2025"/>
    <n v="2"/>
    <n v="8"/>
    <n v="2025"/>
    <n v="0"/>
    <s v="No"/>
    <x v="3"/>
    <s v="Germany"/>
    <x v="1"/>
    <s v="StayNest Beach"/>
    <x v="3"/>
    <s v="Resort"/>
    <n v="100"/>
    <x v="5"/>
    <s v="Direct"/>
    <d v="2025-11-26T00:00:00"/>
    <s v="No"/>
    <s v="No"/>
    <s v="Off-Peak"/>
    <x v="1"/>
    <n v="0"/>
    <s v="91–180 days"/>
  </r>
  <r>
    <s v="B000725"/>
    <s v="G00590"/>
    <s v="H004"/>
    <s v="CH05"/>
    <d v="2026-09-18T00:00:00"/>
    <d v="2026-10-18T00:00:00"/>
    <x v="1"/>
    <n v="7387"/>
    <x v="0"/>
    <b v="0"/>
    <x v="2"/>
    <x v="11"/>
    <n v="2026"/>
    <n v="6"/>
    <n v="9"/>
    <n v="2026"/>
    <n v="4"/>
    <s v="Yes"/>
    <x v="2"/>
    <s v="India"/>
    <x v="0"/>
    <s v="StayNest Lakeview"/>
    <x v="2"/>
    <s v="Resort"/>
    <n v="75"/>
    <x v="2"/>
    <s v="Corporate Rate"/>
    <d v="2026-10-18T00:00:00"/>
    <s v="Yes"/>
    <s v="No"/>
    <s v="Shoulder"/>
    <x v="1"/>
    <n v="0"/>
    <s v="8–30 days"/>
  </r>
  <r>
    <s v="B000726"/>
    <s v="G00031"/>
    <s v="H001"/>
    <s v="CH03"/>
    <d v="2026-03-08T00:00:00"/>
    <d v="2026-03-15T00:00:00"/>
    <x v="3"/>
    <n v="10981"/>
    <x v="2"/>
    <b v="0"/>
    <x v="4"/>
    <x v="3"/>
    <n v="2026"/>
    <n v="6"/>
    <n v="3"/>
    <n v="2026"/>
    <n v="6"/>
    <s v="Yes"/>
    <x v="1"/>
    <s v="India"/>
    <x v="0"/>
    <s v="StayNest Marina"/>
    <x v="1"/>
    <s v="Business"/>
    <n v="120"/>
    <x v="1"/>
    <s v="OTA Promo"/>
    <d v="2026-03-15T00:00:00"/>
    <s v="Yes"/>
    <s v="No"/>
    <s v="Shoulder"/>
    <x v="1"/>
    <n v="0"/>
    <s v="0–7 days"/>
  </r>
  <r>
    <s v="B000727"/>
    <s v="G00064"/>
    <s v="H004"/>
    <s v="CH04"/>
    <d v="2025-03-16T00:00:00"/>
    <d v="2025-05-15T00:00:00"/>
    <x v="2"/>
    <n v="2344"/>
    <x v="1"/>
    <b v="0"/>
    <x v="1"/>
    <x v="9"/>
    <n v="2025"/>
    <n v="3"/>
    <n v="3"/>
    <n v="2025"/>
    <n v="6"/>
    <s v="No"/>
    <x v="3"/>
    <s v="India"/>
    <x v="0"/>
    <s v="StayNest Lakeview"/>
    <x v="2"/>
    <s v="Resort"/>
    <n v="75"/>
    <x v="4"/>
    <s v="Partner"/>
    <d v="2025-05-15T00:00:00"/>
    <s v="No"/>
    <s v="No"/>
    <s v="Peak"/>
    <x v="1"/>
    <n v="1"/>
    <s v="31–90 days"/>
  </r>
  <r>
    <s v="B000728"/>
    <s v="G00565"/>
    <s v="H008"/>
    <s v="CH02"/>
    <d v="2025-10-05T00:00:00"/>
    <d v="2025-12-04T00:00:00"/>
    <x v="2"/>
    <n v="3217"/>
    <x v="2"/>
    <b v="0"/>
    <x v="1"/>
    <x v="5"/>
    <n v="2025"/>
    <n v="3"/>
    <n v="10"/>
    <n v="2025"/>
    <n v="6"/>
    <s v="No"/>
    <x v="1"/>
    <s v="India"/>
    <x v="0"/>
    <s v="StayNest Palace"/>
    <x v="7"/>
    <s v="Heritage"/>
    <n v="85"/>
    <x v="3"/>
    <s v="App Push"/>
    <d v="2025-12-04T00:00:00"/>
    <s v="No"/>
    <s v="No"/>
    <s v="Peak"/>
    <x v="1"/>
    <n v="0"/>
    <s v="31–90 days"/>
  </r>
  <r>
    <s v="B000729"/>
    <s v="G00234"/>
    <s v="H001"/>
    <s v="CH01"/>
    <d v="2025-01-27T00:00:00"/>
    <d v="2025-03-28T00:00:00"/>
    <x v="0"/>
    <n v="5053"/>
    <x v="0"/>
    <b v="0"/>
    <x v="1"/>
    <x v="3"/>
    <n v="2025"/>
    <n v="4"/>
    <n v="1"/>
    <n v="2025"/>
    <n v="0"/>
    <s v="No"/>
    <x v="3"/>
    <s v="India"/>
    <x v="0"/>
    <s v="StayNest Marina"/>
    <x v="1"/>
    <s v="Business"/>
    <n v="120"/>
    <x v="5"/>
    <s v="Direct"/>
    <d v="2025-03-28T00:00:00"/>
    <s v="No"/>
    <s v="No"/>
    <s v="Shoulder"/>
    <x v="1"/>
    <n v="0"/>
    <s v="31–90 days"/>
  </r>
  <r>
    <s v="B000730"/>
    <s v="G00129"/>
    <s v="H007"/>
    <s v="CH06"/>
    <d v="2026-03-14T00:00:00"/>
    <d v="2026-04-13T00:00:00"/>
    <x v="2"/>
    <n v="2441"/>
    <x v="0"/>
    <b v="0"/>
    <x v="2"/>
    <x v="2"/>
    <n v="2026"/>
    <n v="0"/>
    <n v="3"/>
    <n v="2026"/>
    <n v="5"/>
    <s v="No"/>
    <x v="3"/>
    <s v="India"/>
    <x v="1"/>
    <s v="StayNest Tech Park"/>
    <x v="6"/>
    <s v="Business"/>
    <n v="140"/>
    <x v="0"/>
    <s v="Retention"/>
    <d v="2026-04-13T00:00:00"/>
    <s v="No"/>
    <s v="No"/>
    <s v="Peak"/>
    <x v="1"/>
    <n v="0"/>
    <s v="8–30 days"/>
  </r>
  <r>
    <s v="B000731"/>
    <s v="G00095"/>
    <s v="H010"/>
    <s v="CH01"/>
    <d v="2025-08-21T00:00:00"/>
    <d v="2025-09-04T00:00:00"/>
    <x v="2"/>
    <n v="3988"/>
    <x v="0"/>
    <b v="0"/>
    <x v="3"/>
    <x v="10"/>
    <n v="2025"/>
    <n v="3"/>
    <n v="8"/>
    <n v="2025"/>
    <n v="3"/>
    <s v="No"/>
    <x v="0"/>
    <s v="India"/>
    <x v="0"/>
    <s v="StayNest Garden"/>
    <x v="10"/>
    <s v="Boutique"/>
    <n v="70"/>
    <x v="5"/>
    <s v="Direct"/>
    <d v="2025-09-04T00:00:00"/>
    <s v="No"/>
    <s v="No"/>
    <s v="Shoulder"/>
    <x v="1"/>
    <n v="0"/>
    <s v="8–30 days"/>
  </r>
  <r>
    <s v="B000732"/>
    <s v="G00322"/>
    <s v="H006"/>
    <s v="CH05"/>
    <d v="2026-11-02T00:00:00"/>
    <d v="2027-02-10T00:00:00"/>
    <x v="3"/>
    <n v="10421"/>
    <x v="1"/>
    <b v="0"/>
    <x v="0"/>
    <x v="0"/>
    <n v="2027"/>
    <n v="2"/>
    <n v="11"/>
    <n v="2026"/>
    <n v="0"/>
    <s v="No"/>
    <x v="2"/>
    <s v="India"/>
    <x v="1"/>
    <s v="StayNest Beach"/>
    <x v="3"/>
    <s v="Resort"/>
    <n v="100"/>
    <x v="2"/>
    <s v="Corporate Rate"/>
    <m/>
    <s v="Unknown"/>
    <s v="Unknown"/>
    <s v="Unknown"/>
    <x v="0"/>
    <n v="1"/>
    <s v="91–180 days"/>
  </r>
  <r>
    <s v="B000733"/>
    <s v="G00257"/>
    <s v="H009"/>
    <s v="CH02"/>
    <d v="2026-05-22T00:00:00"/>
    <d v="2026-07-21T00:00:00"/>
    <x v="3"/>
    <n v="9505"/>
    <x v="0"/>
    <b v="0"/>
    <x v="1"/>
    <x v="8"/>
    <n v="2026"/>
    <n v="1"/>
    <n v="5"/>
    <n v="2026"/>
    <n v="4"/>
    <s v="No"/>
    <x v="1"/>
    <s v="Unknown"/>
    <x v="0"/>
    <s v="StayNest Airport"/>
    <x v="9"/>
    <s v="Business"/>
    <n v="160"/>
    <x v="3"/>
    <s v="App Push"/>
    <d v="2026-07-21T00:00:00"/>
    <s v="No"/>
    <s v="No"/>
    <s v="Off-Peak"/>
    <x v="1"/>
    <n v="0"/>
    <s v="31–90 days"/>
  </r>
  <r>
    <s v="B000734"/>
    <s v="G00274"/>
    <s v="H006"/>
    <s v="CH06"/>
    <d v="2026-07-09T00:00:00"/>
    <d v="2026-08-08T00:00:00"/>
    <x v="2"/>
    <n v="4044"/>
    <x v="0"/>
    <b v="0"/>
    <x v="2"/>
    <x v="7"/>
    <n v="2026"/>
    <n v="5"/>
    <n v="7"/>
    <n v="2026"/>
    <n v="3"/>
    <s v="Yes"/>
    <x v="0"/>
    <s v="United Kingdom"/>
    <x v="0"/>
    <s v="StayNest Beach"/>
    <x v="3"/>
    <s v="Resort"/>
    <n v="100"/>
    <x v="0"/>
    <s v="Retention"/>
    <d v="2026-08-08T00:00:00"/>
    <s v="Yes"/>
    <s v="No"/>
    <s v="Off-Peak"/>
    <x v="1"/>
    <n v="0"/>
    <s v="8–30 days"/>
  </r>
  <r>
    <s v="B000735"/>
    <s v="G00534"/>
    <s v="H004"/>
    <s v="CH03"/>
    <d v="2026-07-21T00:00:00"/>
    <d v="2026-07-28T00:00:00"/>
    <x v="3"/>
    <n v="10106"/>
    <x v="0"/>
    <b v="0"/>
    <x v="4"/>
    <x v="8"/>
    <n v="2026"/>
    <n v="1"/>
    <n v="7"/>
    <n v="2026"/>
    <n v="1"/>
    <s v="No"/>
    <x v="1"/>
    <s v="Germany"/>
    <x v="1"/>
    <s v="StayNest Lakeview"/>
    <x v="2"/>
    <s v="Resort"/>
    <n v="75"/>
    <x v="1"/>
    <s v="OTA Promo"/>
    <d v="2026-07-28T00:00:00"/>
    <s v="No"/>
    <s v="No"/>
    <s v="Off-Peak"/>
    <x v="1"/>
    <n v="0"/>
    <s v="0–7 days"/>
  </r>
  <r>
    <s v="B000736"/>
    <s v="G00035"/>
    <s v="H005"/>
    <s v="CH03"/>
    <d v="2026-08-26T00:00:00"/>
    <d v="2026-09-09T00:00:00"/>
    <x v="2"/>
    <n v="2771"/>
    <x v="0"/>
    <b v="0"/>
    <x v="3"/>
    <x v="10"/>
    <n v="2026"/>
    <n v="2"/>
    <n v="8"/>
    <n v="2026"/>
    <n v="2"/>
    <s v="No"/>
    <x v="0"/>
    <s v="India"/>
    <x v="1"/>
    <s v="StayNest Heritage"/>
    <x v="11"/>
    <s v="Heritage"/>
    <n v="90"/>
    <x v="1"/>
    <s v="OTA Promo"/>
    <d v="2026-09-09T00:00:00"/>
    <s v="No"/>
    <s v="No"/>
    <s v="Shoulder"/>
    <x v="1"/>
    <n v="0"/>
    <s v="8–30 days"/>
  </r>
  <r>
    <s v="B000737"/>
    <s v="G00230"/>
    <s v="H004"/>
    <s v="CH04"/>
    <d v="2025-07-08T00:00:00"/>
    <d v="2025-08-07T00:00:00"/>
    <x v="2"/>
    <n v="2264"/>
    <x v="2"/>
    <b v="0"/>
    <x v="2"/>
    <x v="7"/>
    <n v="2025"/>
    <n v="3"/>
    <n v="7"/>
    <n v="2025"/>
    <n v="1"/>
    <s v="No"/>
    <x v="1"/>
    <s v="India"/>
    <x v="0"/>
    <s v="StayNest Lakeview"/>
    <x v="2"/>
    <s v="Resort"/>
    <n v="75"/>
    <x v="4"/>
    <s v="Partner"/>
    <d v="2025-08-07T00:00:00"/>
    <s v="No"/>
    <s v="No"/>
    <s v="Off-Peak"/>
    <x v="1"/>
    <n v="0"/>
    <s v="8–30 days"/>
  </r>
  <r>
    <s v="B000738"/>
    <s v="G00269"/>
    <s v="H010"/>
    <s v="CH02"/>
    <d v="2025-01-29T00:00:00"/>
    <d v="2025-02-12T00:00:00"/>
    <x v="1"/>
    <n v="7266"/>
    <x v="2"/>
    <b v="0"/>
    <x v="3"/>
    <x v="0"/>
    <n v="2025"/>
    <n v="2"/>
    <n v="1"/>
    <n v="2025"/>
    <n v="2"/>
    <s v="No"/>
    <x v="3"/>
    <s v="India"/>
    <x v="0"/>
    <s v="StayNest Garden"/>
    <x v="10"/>
    <s v="Boutique"/>
    <n v="70"/>
    <x v="3"/>
    <s v="App Push"/>
    <d v="2025-02-12T00:00:00"/>
    <s v="No"/>
    <s v="No"/>
    <s v="Shoulder"/>
    <x v="1"/>
    <n v="0"/>
    <s v="8–30 days"/>
  </r>
  <r>
    <s v="B000739"/>
    <s v="G00548"/>
    <s v="H008"/>
    <s v="CH04"/>
    <d v="2026-08-10T00:00:00"/>
    <d v="2026-10-09T00:00:00"/>
    <x v="3"/>
    <n v="10328"/>
    <x v="2"/>
    <b v="0"/>
    <x v="1"/>
    <x v="11"/>
    <n v="2026"/>
    <n v="4"/>
    <n v="8"/>
    <n v="2026"/>
    <n v="0"/>
    <s v="No"/>
    <x v="1"/>
    <s v="India"/>
    <x v="0"/>
    <s v="StayNest Palace"/>
    <x v="7"/>
    <s v="Heritage"/>
    <n v="85"/>
    <x v="4"/>
    <s v="Partner"/>
    <d v="2026-10-09T00:00:00"/>
    <s v="No"/>
    <s v="No"/>
    <s v="Shoulder"/>
    <x v="1"/>
    <n v="0"/>
    <s v="31–90 days"/>
  </r>
  <r>
    <s v="B000740"/>
    <s v="G00288"/>
    <s v="H011"/>
    <s v="CH03"/>
    <d v="2025-03-29T00:00:00"/>
    <d v="2025-11-04T00:00:00"/>
    <x v="3"/>
    <n v="6816"/>
    <x v="1"/>
    <b v="0"/>
    <x v="8"/>
    <x v="4"/>
    <n v="2025"/>
    <n v="1"/>
    <n v="3"/>
    <n v="2025"/>
    <n v="5"/>
    <s v="No"/>
    <x v="3"/>
    <s v="United States"/>
    <x v="0"/>
    <s v="StayNest Grand"/>
    <x v="8"/>
    <s v="Business"/>
    <n v="110"/>
    <x v="1"/>
    <s v="OTA Promo"/>
    <d v="2025-11-04T00:00:00"/>
    <s v="No"/>
    <s v="No"/>
    <s v="Off-Peak"/>
    <x v="1"/>
    <n v="1"/>
    <s v="181+ days"/>
  </r>
  <r>
    <s v="B000741"/>
    <s v="G00257"/>
    <s v="H011"/>
    <s v="CH05"/>
    <d v="2025-01-13T00:00:00"/>
    <d v="2025-01-16T00:00:00"/>
    <x v="3"/>
    <n v="10135"/>
    <x v="1"/>
    <b v="0"/>
    <x v="6"/>
    <x v="6"/>
    <n v="2025"/>
    <n v="3"/>
    <n v="1"/>
    <n v="2025"/>
    <n v="0"/>
    <s v="No"/>
    <x v="1"/>
    <s v="Unknown"/>
    <x v="0"/>
    <s v="StayNest Grand"/>
    <x v="8"/>
    <s v="Business"/>
    <n v="110"/>
    <x v="2"/>
    <s v="Corporate Rate"/>
    <d v="2025-01-16T00:00:00"/>
    <s v="No"/>
    <s v="No"/>
    <s v="Off-Peak"/>
    <x v="1"/>
    <n v="1"/>
    <s v="0–7 days"/>
  </r>
  <r>
    <s v="B000742"/>
    <s v="G00038"/>
    <s v="H006"/>
    <s v="CH04"/>
    <d v="2026-10-16T00:00:00"/>
    <d v="2027-01-24T00:00:00"/>
    <x v="0"/>
    <n v="5873"/>
    <x v="3"/>
    <b v="0"/>
    <x v="0"/>
    <x v="6"/>
    <n v="2027"/>
    <n v="6"/>
    <n v="10"/>
    <n v="2026"/>
    <n v="4"/>
    <s v="Yes"/>
    <x v="1"/>
    <s v="India"/>
    <x v="1"/>
    <s v="StayNest Beach"/>
    <x v="3"/>
    <s v="Resort"/>
    <n v="100"/>
    <x v="4"/>
    <s v="Partner"/>
    <m/>
    <s v="Unknown"/>
    <s v="Unknown"/>
    <s v="Unknown"/>
    <x v="0"/>
    <n v="0"/>
    <s v="91–180 days"/>
  </r>
  <r>
    <s v="B000743"/>
    <s v="G00452"/>
    <s v="H003"/>
    <s v="CH03"/>
    <d v="2025-10-10T00:00:00"/>
    <d v="2025-10-17T00:00:00"/>
    <x v="1"/>
    <n v="8568"/>
    <x v="1"/>
    <b v="0"/>
    <x v="4"/>
    <x v="11"/>
    <n v="2025"/>
    <n v="4"/>
    <n v="10"/>
    <n v="2025"/>
    <n v="4"/>
    <s v="No"/>
    <x v="0"/>
    <s v="United Kingdom"/>
    <x v="1"/>
    <s v="StayNest Hills"/>
    <x v="5"/>
    <s v="Resort"/>
    <n v="80"/>
    <x v="1"/>
    <s v="OTA Promo"/>
    <d v="2025-10-17T00:00:00"/>
    <s v="No"/>
    <s v="No"/>
    <s v="Shoulder"/>
    <x v="1"/>
    <n v="1"/>
    <s v="0–7 days"/>
  </r>
  <r>
    <s v="B000744"/>
    <s v="G00118"/>
    <s v="H011"/>
    <s v="CH01"/>
    <d v="2025-07-08T00:00:00"/>
    <d v="2025-09-06T00:00:00"/>
    <x v="1"/>
    <n v="7938"/>
    <x v="3"/>
    <b v="0"/>
    <x v="1"/>
    <x v="10"/>
    <n v="2025"/>
    <n v="5"/>
    <n v="7"/>
    <n v="2025"/>
    <n v="1"/>
    <s v="Yes"/>
    <x v="3"/>
    <s v="Germany"/>
    <x v="1"/>
    <s v="StayNest Grand"/>
    <x v="8"/>
    <s v="Business"/>
    <n v="110"/>
    <x v="5"/>
    <s v="Direct"/>
    <d v="2025-09-06T00:00:00"/>
    <s v="Yes"/>
    <s v="No"/>
    <s v="Shoulder"/>
    <x v="1"/>
    <n v="0"/>
    <s v="31–90 days"/>
  </r>
  <r>
    <s v="B000745"/>
    <s v="G00264"/>
    <s v="H001"/>
    <s v="CH06"/>
    <d v="2025-12-28T00:00:00"/>
    <d v="2026-01-27T00:00:00"/>
    <x v="2"/>
    <n v="2680"/>
    <x v="1"/>
    <b v="0"/>
    <x v="2"/>
    <x v="6"/>
    <n v="2026"/>
    <n v="1"/>
    <n v="12"/>
    <n v="2025"/>
    <n v="6"/>
    <s v="No"/>
    <x v="3"/>
    <s v="UAE"/>
    <x v="0"/>
    <s v="StayNest Marina"/>
    <x v="1"/>
    <s v="Business"/>
    <n v="120"/>
    <x v="0"/>
    <s v="Retention"/>
    <d v="2026-01-27T00:00:00"/>
    <s v="No"/>
    <s v="No"/>
    <s v="Off-Peak"/>
    <x v="1"/>
    <n v="1"/>
    <s v="8–30 days"/>
  </r>
  <r>
    <s v="B000746"/>
    <s v="G00080"/>
    <s v="H004"/>
    <s v="CH02"/>
    <d v="2025-11-30T00:00:00"/>
    <d v="2025-12-30T00:00:00"/>
    <x v="1"/>
    <n v="5586"/>
    <x v="0"/>
    <b v="0"/>
    <x v="2"/>
    <x v="5"/>
    <n v="2025"/>
    <n v="1"/>
    <n v="11"/>
    <n v="2025"/>
    <n v="6"/>
    <s v="No"/>
    <x v="1"/>
    <s v="India"/>
    <x v="0"/>
    <s v="StayNest Lakeview"/>
    <x v="2"/>
    <s v="Resort"/>
    <n v="75"/>
    <x v="3"/>
    <s v="App Push"/>
    <d v="2025-12-30T00:00:00"/>
    <s v="No"/>
    <s v="No"/>
    <s v="Peak"/>
    <x v="1"/>
    <n v="0"/>
    <s v="8–30 days"/>
  </r>
  <r>
    <s v="B000747"/>
    <s v="G00418"/>
    <s v="H011"/>
    <s v="CH03"/>
    <d v="2026-04-27T00:00:00"/>
    <d v="2026-09-24T00:00:00"/>
    <x v="3"/>
    <n v="9517"/>
    <x v="1"/>
    <b v="0"/>
    <x v="5"/>
    <x v="10"/>
    <n v="2026"/>
    <n v="3"/>
    <n v="4"/>
    <n v="2026"/>
    <n v="0"/>
    <s v="No"/>
    <x v="3"/>
    <s v="India"/>
    <x v="0"/>
    <s v="StayNest Grand"/>
    <x v="8"/>
    <s v="Business"/>
    <n v="110"/>
    <x v="1"/>
    <s v="OTA Promo"/>
    <d v="2026-09-24T00:00:00"/>
    <s v="No"/>
    <s v="No"/>
    <s v="Shoulder"/>
    <x v="1"/>
    <n v="1"/>
    <s v="91–180 days"/>
  </r>
  <r>
    <s v="B000748"/>
    <s v="G00606"/>
    <s v="H001"/>
    <s v="CH01"/>
    <d v="2026-09-16T00:00:00"/>
    <d v="2026-09-23T00:00:00"/>
    <x v="3"/>
    <n v="11263"/>
    <x v="2"/>
    <b v="0"/>
    <x v="4"/>
    <x v="10"/>
    <n v="2026"/>
    <n v="2"/>
    <n v="9"/>
    <n v="2026"/>
    <n v="2"/>
    <s v="No"/>
    <x v="2"/>
    <s v="India"/>
    <x v="0"/>
    <s v="StayNest Marina"/>
    <x v="1"/>
    <s v="Business"/>
    <n v="120"/>
    <x v="5"/>
    <s v="Direct"/>
    <d v="2026-09-23T00:00:00"/>
    <s v="No"/>
    <s v="No"/>
    <s v="Shoulder"/>
    <x v="1"/>
    <n v="0"/>
    <s v="0–7 days"/>
  </r>
  <r>
    <s v="B000749"/>
    <s v="G00034"/>
    <s v="H011"/>
    <s v="CH06"/>
    <d v="2025-06-03T00:00:00"/>
    <d v="2025-06-17T00:00:00"/>
    <x v="2"/>
    <n v="4163"/>
    <x v="2"/>
    <b v="0"/>
    <x v="3"/>
    <x v="1"/>
    <n v="2025"/>
    <n v="1"/>
    <n v="6"/>
    <n v="2025"/>
    <n v="1"/>
    <s v="No"/>
    <x v="2"/>
    <s v="India"/>
    <x v="0"/>
    <s v="StayNest Grand"/>
    <x v="8"/>
    <s v="Business"/>
    <n v="110"/>
    <x v="0"/>
    <s v="Retention"/>
    <d v="2025-06-17T00:00:00"/>
    <s v="No"/>
    <s v="No"/>
    <s v="Shoulder"/>
    <x v="1"/>
    <n v="0"/>
    <s v="8–30 days"/>
  </r>
  <r>
    <s v="B000750"/>
    <s v="G00552"/>
    <s v="H012"/>
    <s v="CH01"/>
    <d v="2026-06-25T00:00:00"/>
    <d v="2026-08-24T00:00:00"/>
    <x v="1"/>
    <n v="6102"/>
    <x v="2"/>
    <b v="0"/>
    <x v="1"/>
    <x v="7"/>
    <n v="2026"/>
    <n v="0"/>
    <n v="6"/>
    <n v="2026"/>
    <n v="3"/>
    <s v="No"/>
    <x v="3"/>
    <s v="India"/>
    <x v="0"/>
    <s v="StayNest Valley"/>
    <x v="4"/>
    <s v="Resort"/>
    <n v="65"/>
    <x v="5"/>
    <s v="Direct"/>
    <d v="2026-08-24T00:00:00"/>
    <s v="No"/>
    <s v="No"/>
    <s v="Off-Peak"/>
    <x v="1"/>
    <n v="0"/>
    <s v="31–90 days"/>
  </r>
  <r>
    <s v="B000751"/>
    <s v="G00337"/>
    <s v="H004"/>
    <s v="CH03"/>
    <d v="2025-08-25T00:00:00"/>
    <d v="2025-09-08T00:00:00"/>
    <x v="2"/>
    <n v="3111"/>
    <x v="2"/>
    <b v="0"/>
    <x v="3"/>
    <x v="10"/>
    <n v="2025"/>
    <n v="0"/>
    <n v="8"/>
    <n v="2025"/>
    <n v="0"/>
    <s v="No"/>
    <x v="0"/>
    <s v="India"/>
    <x v="0"/>
    <s v="StayNest Lakeview"/>
    <x v="2"/>
    <s v="Resort"/>
    <n v="75"/>
    <x v="1"/>
    <s v="OTA Promo"/>
    <d v="2025-09-08T00:00:00"/>
    <s v="No"/>
    <s v="No"/>
    <s v="Shoulder"/>
    <x v="1"/>
    <n v="0"/>
    <s v="8–30 days"/>
  </r>
  <r>
    <s v="B000752"/>
    <s v="G00496"/>
    <s v="H010"/>
    <s v="CH02"/>
    <d v="2026-04-05T00:00:00"/>
    <d v="2026-06-04T00:00:00"/>
    <x v="0"/>
    <n v="4013"/>
    <x v="0"/>
    <b v="0"/>
    <x v="1"/>
    <x v="1"/>
    <n v="2026"/>
    <n v="3"/>
    <n v="4"/>
    <n v="2026"/>
    <n v="6"/>
    <s v="No"/>
    <x v="3"/>
    <s v="India"/>
    <x v="0"/>
    <s v="StayNest Garden"/>
    <x v="10"/>
    <s v="Boutique"/>
    <n v="70"/>
    <x v="3"/>
    <s v="App Push"/>
    <d v="2026-06-04T00:00:00"/>
    <s v="No"/>
    <s v="No"/>
    <s v="Shoulder"/>
    <x v="1"/>
    <n v="0"/>
    <s v="31–90 days"/>
  </r>
  <r>
    <s v="B000753"/>
    <s v="G00142"/>
    <s v="H010"/>
    <s v="CH03"/>
    <d v="2025-10-21T00:00:00"/>
    <d v="2025-11-04T00:00:00"/>
    <x v="2"/>
    <n v="3036"/>
    <x v="2"/>
    <b v="0"/>
    <x v="3"/>
    <x v="4"/>
    <n v="2025"/>
    <n v="1"/>
    <n v="10"/>
    <n v="2025"/>
    <n v="1"/>
    <s v="No"/>
    <x v="0"/>
    <s v="India"/>
    <x v="1"/>
    <s v="StayNest Garden"/>
    <x v="10"/>
    <s v="Boutique"/>
    <n v="70"/>
    <x v="1"/>
    <s v="OTA Promo"/>
    <d v="2025-11-04T00:00:00"/>
    <s v="No"/>
    <s v="No"/>
    <s v="Off-Peak"/>
    <x v="1"/>
    <n v="0"/>
    <s v="8–30 days"/>
  </r>
  <r>
    <s v="B000754"/>
    <s v="G00185"/>
    <s v="H008"/>
    <s v="CH01"/>
    <d v="2025-06-20T00:00:00"/>
    <d v="2025-06-23T00:00:00"/>
    <x v="3"/>
    <n v="7327"/>
    <x v="0"/>
    <b v="0"/>
    <x v="6"/>
    <x v="1"/>
    <n v="2025"/>
    <n v="0"/>
    <n v="6"/>
    <n v="2025"/>
    <n v="4"/>
    <s v="No"/>
    <x v="1"/>
    <s v="United Kingdom"/>
    <x v="0"/>
    <s v="StayNest Palace"/>
    <x v="7"/>
    <s v="Heritage"/>
    <n v="85"/>
    <x v="5"/>
    <s v="Direct"/>
    <d v="2025-06-23T00:00:00"/>
    <s v="No"/>
    <s v="No"/>
    <s v="Shoulder"/>
    <x v="1"/>
    <n v="0"/>
    <s v="0–7 days"/>
  </r>
  <r>
    <s v="B000755"/>
    <s v="G00171"/>
    <s v="H002"/>
    <s v="CH02"/>
    <d v="2026-06-12T00:00:00"/>
    <d v="2026-09-20T00:00:00"/>
    <x v="1"/>
    <n v="7854"/>
    <x v="0"/>
    <b v="0"/>
    <x v="0"/>
    <x v="10"/>
    <n v="2026"/>
    <n v="6"/>
    <n v="6"/>
    <n v="2026"/>
    <n v="4"/>
    <s v="Yes"/>
    <x v="1"/>
    <s v="India"/>
    <x v="0"/>
    <s v="StayNest Central"/>
    <x v="0"/>
    <s v="Business"/>
    <n v="150"/>
    <x v="3"/>
    <s v="App Push"/>
    <d v="2026-09-20T00:00:00"/>
    <s v="Yes"/>
    <s v="No"/>
    <s v="Shoulder"/>
    <x v="1"/>
    <n v="0"/>
    <s v="91–180 days"/>
  </r>
  <r>
    <s v="B000756"/>
    <s v="G00345"/>
    <s v="H010"/>
    <s v="CH05"/>
    <d v="2026-09-24T00:00:00"/>
    <d v="2026-09-27T00:00:00"/>
    <x v="2"/>
    <n v="3712"/>
    <x v="2"/>
    <b v="0"/>
    <x v="6"/>
    <x v="10"/>
    <n v="2026"/>
    <n v="6"/>
    <n v="9"/>
    <n v="2026"/>
    <n v="3"/>
    <s v="Yes"/>
    <x v="0"/>
    <s v="India"/>
    <x v="1"/>
    <s v="StayNest Garden"/>
    <x v="10"/>
    <s v="Boutique"/>
    <n v="70"/>
    <x v="2"/>
    <s v="Corporate Rate"/>
    <d v="2026-09-27T00:00:00"/>
    <s v="Yes"/>
    <s v="No"/>
    <s v="Shoulder"/>
    <x v="1"/>
    <n v="0"/>
    <s v="0–7 days"/>
  </r>
  <r>
    <s v="B000757"/>
    <s v="G00297"/>
    <s v="H008"/>
    <s v="CH06"/>
    <d v="2025-05-18T00:00:00"/>
    <d v="2025-07-17T00:00:00"/>
    <x v="2"/>
    <n v="4034"/>
    <x v="0"/>
    <b v="0"/>
    <x v="1"/>
    <x v="8"/>
    <n v="2025"/>
    <n v="3"/>
    <n v="5"/>
    <n v="2025"/>
    <n v="6"/>
    <s v="No"/>
    <x v="1"/>
    <s v="Unknown"/>
    <x v="0"/>
    <s v="StayNest Palace"/>
    <x v="7"/>
    <s v="Heritage"/>
    <n v="85"/>
    <x v="0"/>
    <s v="Retention"/>
    <d v="2025-07-17T00:00:00"/>
    <s v="No"/>
    <s v="No"/>
    <s v="Off-Peak"/>
    <x v="1"/>
    <n v="0"/>
    <s v="31–90 days"/>
  </r>
  <r>
    <s v="B000758"/>
    <s v="G00450"/>
    <s v="H003"/>
    <s v="CH05"/>
    <d v="2026-08-26T00:00:00"/>
    <d v="2026-09-02T00:00:00"/>
    <x v="2"/>
    <n v="2808"/>
    <x v="0"/>
    <b v="0"/>
    <x v="4"/>
    <x v="10"/>
    <n v="2026"/>
    <n v="2"/>
    <n v="8"/>
    <n v="2026"/>
    <n v="2"/>
    <s v="No"/>
    <x v="2"/>
    <s v="India"/>
    <x v="0"/>
    <s v="StayNest Hills"/>
    <x v="5"/>
    <s v="Resort"/>
    <n v="80"/>
    <x v="2"/>
    <s v="Corporate Rate"/>
    <d v="2026-09-02T00:00:00"/>
    <s v="No"/>
    <s v="No"/>
    <s v="Shoulder"/>
    <x v="1"/>
    <n v="0"/>
    <s v="0–7 days"/>
  </r>
  <r>
    <s v="B000759"/>
    <s v="G00437"/>
    <s v="H005"/>
    <s v="CH03"/>
    <d v="2026-01-29T00:00:00"/>
    <d v="2026-02-05T00:00:00"/>
    <x v="0"/>
    <n v="4362"/>
    <x v="0"/>
    <b v="0"/>
    <x v="4"/>
    <x v="0"/>
    <n v="2026"/>
    <n v="3"/>
    <n v="1"/>
    <n v="2026"/>
    <n v="3"/>
    <s v="No"/>
    <x v="1"/>
    <s v="India"/>
    <x v="1"/>
    <s v="StayNest Heritage"/>
    <x v="11"/>
    <s v="Heritage"/>
    <n v="90"/>
    <x v="1"/>
    <s v="OTA Promo"/>
    <d v="2026-02-05T00:00:00"/>
    <s v="No"/>
    <s v="No"/>
    <s v="Shoulder"/>
    <x v="1"/>
    <n v="0"/>
    <s v="0–7 days"/>
  </r>
  <r>
    <s v="B000760"/>
    <s v="G00356"/>
    <s v="H005"/>
    <s v="CH02"/>
    <d v="2025-05-02T00:00:00"/>
    <d v="2025-05-09T00:00:00"/>
    <x v="1"/>
    <n v="8846"/>
    <x v="2"/>
    <b v="0"/>
    <x v="4"/>
    <x v="9"/>
    <n v="2025"/>
    <n v="4"/>
    <n v="5"/>
    <n v="2025"/>
    <n v="4"/>
    <s v="No"/>
    <x v="1"/>
    <s v="India"/>
    <x v="0"/>
    <s v="StayNest Heritage"/>
    <x v="11"/>
    <s v="Heritage"/>
    <n v="90"/>
    <x v="3"/>
    <s v="App Push"/>
    <d v="2025-05-09T00:00:00"/>
    <s v="No"/>
    <s v="No"/>
    <s v="Peak"/>
    <x v="1"/>
    <n v="0"/>
    <s v="0–7 days"/>
  </r>
  <r>
    <s v="B000761"/>
    <s v="G00238"/>
    <s v="H011"/>
    <s v="CH03"/>
    <d v="2025-05-25T00:00:00"/>
    <d v="2025-05-28T00:00:00"/>
    <x v="0"/>
    <n v="3662"/>
    <x v="1"/>
    <b v="0"/>
    <x v="6"/>
    <x v="9"/>
    <n v="2025"/>
    <n v="2"/>
    <n v="5"/>
    <n v="2025"/>
    <n v="6"/>
    <s v="No"/>
    <x v="0"/>
    <s v="Germany"/>
    <x v="0"/>
    <s v="StayNest Grand"/>
    <x v="8"/>
    <s v="Business"/>
    <n v="110"/>
    <x v="1"/>
    <s v="OTA Promo"/>
    <d v="2025-05-28T00:00:00"/>
    <s v="No"/>
    <s v="No"/>
    <s v="Peak"/>
    <x v="1"/>
    <n v="1"/>
    <s v="0–7 days"/>
  </r>
  <r>
    <s v="B000762"/>
    <s v="G00027"/>
    <s v="H006"/>
    <s v="CH02"/>
    <d v="2025-10-16T00:00:00"/>
    <d v="2026-03-15T00:00:00"/>
    <x v="1"/>
    <n v="6208"/>
    <x v="2"/>
    <b v="0"/>
    <x v="5"/>
    <x v="3"/>
    <n v="2026"/>
    <n v="6"/>
    <n v="10"/>
    <n v="2025"/>
    <n v="3"/>
    <s v="Yes"/>
    <x v="1"/>
    <s v="India"/>
    <x v="0"/>
    <s v="StayNest Beach"/>
    <x v="3"/>
    <s v="Resort"/>
    <n v="100"/>
    <x v="3"/>
    <s v="App Push"/>
    <d v="2026-03-15T00:00:00"/>
    <s v="Yes"/>
    <s v="No"/>
    <s v="Shoulder"/>
    <x v="1"/>
    <n v="0"/>
    <s v="91–180 days"/>
  </r>
  <r>
    <s v="B000763"/>
    <s v="G00123"/>
    <s v="H008"/>
    <s v="CH04"/>
    <d v="2026-05-21T00:00:00"/>
    <d v="2026-05-28T00:00:00"/>
    <x v="0"/>
    <n v="3977"/>
    <x v="2"/>
    <b v="0"/>
    <x v="4"/>
    <x v="9"/>
    <n v="2026"/>
    <n v="3"/>
    <n v="5"/>
    <n v="2026"/>
    <n v="3"/>
    <s v="No"/>
    <x v="1"/>
    <s v="United States"/>
    <x v="1"/>
    <s v="StayNest Palace"/>
    <x v="7"/>
    <s v="Heritage"/>
    <n v="85"/>
    <x v="4"/>
    <s v="Partner"/>
    <d v="2026-05-28T00:00:00"/>
    <s v="No"/>
    <s v="No"/>
    <s v="Peak"/>
    <x v="1"/>
    <n v="0"/>
    <s v="0–7 days"/>
  </r>
  <r>
    <s v="B000764"/>
    <s v="G00335"/>
    <s v="H003"/>
    <s v="CH05"/>
    <d v="2025-12-10T00:00:00"/>
    <d v="2025-12-17T00:00:00"/>
    <x v="2"/>
    <n v="4027"/>
    <x v="0"/>
    <b v="0"/>
    <x v="4"/>
    <x v="5"/>
    <n v="2025"/>
    <n v="2"/>
    <n v="12"/>
    <n v="2025"/>
    <n v="2"/>
    <s v="No"/>
    <x v="3"/>
    <s v="Unknown"/>
    <x v="0"/>
    <s v="StayNest Hills"/>
    <x v="5"/>
    <s v="Resort"/>
    <n v="80"/>
    <x v="2"/>
    <s v="Corporate Rate"/>
    <d v="2025-12-17T00:00:00"/>
    <s v="No"/>
    <s v="No"/>
    <s v="Peak"/>
    <x v="1"/>
    <n v="0"/>
    <s v="0–7 days"/>
  </r>
  <r>
    <s v="B000765"/>
    <s v="G00572"/>
    <s v="H011"/>
    <s v="CH06"/>
    <d v="2025-02-06T00:00:00"/>
    <d v="2025-07-06T00:00:00"/>
    <x v="2"/>
    <n v="2480"/>
    <x v="0"/>
    <b v="0"/>
    <x v="5"/>
    <x v="8"/>
    <n v="2025"/>
    <n v="6"/>
    <n v="2"/>
    <n v="2025"/>
    <n v="3"/>
    <s v="Yes"/>
    <x v="0"/>
    <s v="India"/>
    <x v="0"/>
    <s v="StayNest Grand"/>
    <x v="8"/>
    <s v="Business"/>
    <n v="110"/>
    <x v="0"/>
    <s v="Retention"/>
    <d v="2025-07-06T00:00:00"/>
    <s v="Yes"/>
    <s v="No"/>
    <s v="Off-Peak"/>
    <x v="1"/>
    <n v="0"/>
    <s v="91–180 days"/>
  </r>
  <r>
    <s v="B000766"/>
    <s v="G00156"/>
    <s v="H008"/>
    <s v="CH02"/>
    <d v="2026-05-24T00:00:00"/>
    <d v="2026-05-31T00:00:00"/>
    <x v="0"/>
    <n v="5614"/>
    <x v="0"/>
    <b v="0"/>
    <x v="4"/>
    <x v="9"/>
    <n v="2026"/>
    <n v="6"/>
    <n v="5"/>
    <n v="2026"/>
    <n v="6"/>
    <s v="Yes"/>
    <x v="1"/>
    <s v="India"/>
    <x v="0"/>
    <s v="StayNest Palace"/>
    <x v="7"/>
    <s v="Heritage"/>
    <n v="85"/>
    <x v="3"/>
    <s v="App Push"/>
    <d v="2026-05-31T00:00:00"/>
    <s v="Yes"/>
    <s v="No"/>
    <s v="Peak"/>
    <x v="1"/>
    <n v="0"/>
    <s v="0–7 days"/>
  </r>
  <r>
    <s v="B000767"/>
    <s v="G00183"/>
    <s v="H001"/>
    <s v="CH04"/>
    <d v="2025-09-27T00:00:00"/>
    <d v="2025-10-27T00:00:00"/>
    <x v="0"/>
    <n v="5672"/>
    <x v="0"/>
    <b v="0"/>
    <x v="2"/>
    <x v="11"/>
    <n v="2025"/>
    <n v="0"/>
    <n v="9"/>
    <n v="2025"/>
    <n v="5"/>
    <s v="No"/>
    <x v="2"/>
    <s v="India"/>
    <x v="0"/>
    <s v="StayNest Marina"/>
    <x v="1"/>
    <s v="Business"/>
    <n v="120"/>
    <x v="4"/>
    <s v="Partner"/>
    <d v="2025-10-27T00:00:00"/>
    <s v="No"/>
    <s v="No"/>
    <s v="Shoulder"/>
    <x v="1"/>
    <n v="0"/>
    <s v="8–30 days"/>
  </r>
  <r>
    <s v="B000768"/>
    <s v="G00300"/>
    <s v="H011"/>
    <s v="CH04"/>
    <d v="2026-05-17T00:00:00"/>
    <d v="2026-07-16T00:00:00"/>
    <x v="1"/>
    <n v="6210"/>
    <x v="1"/>
    <b v="0"/>
    <x v="1"/>
    <x v="8"/>
    <n v="2026"/>
    <n v="3"/>
    <n v="5"/>
    <n v="2026"/>
    <n v="6"/>
    <s v="No"/>
    <x v="1"/>
    <s v="India"/>
    <x v="0"/>
    <s v="StayNest Grand"/>
    <x v="8"/>
    <s v="Business"/>
    <n v="110"/>
    <x v="4"/>
    <s v="Partner"/>
    <d v="2026-07-16T00:00:00"/>
    <s v="No"/>
    <s v="No"/>
    <s v="Off-Peak"/>
    <x v="1"/>
    <n v="1"/>
    <s v="31–90 days"/>
  </r>
  <r>
    <s v="B000769"/>
    <s v="G00295"/>
    <s v="H007"/>
    <s v="CH04"/>
    <d v="2025-11-30T00:00:00"/>
    <d v="2025-12-07T00:00:00"/>
    <x v="1"/>
    <n v="7705"/>
    <x v="2"/>
    <b v="0"/>
    <x v="4"/>
    <x v="5"/>
    <n v="2025"/>
    <n v="6"/>
    <n v="11"/>
    <n v="2025"/>
    <n v="6"/>
    <s v="Yes"/>
    <x v="1"/>
    <s v="United Kingdom"/>
    <x v="0"/>
    <s v="StayNest Tech Park"/>
    <x v="6"/>
    <s v="Business"/>
    <n v="140"/>
    <x v="4"/>
    <s v="Partner"/>
    <d v="2025-12-07T00:00:00"/>
    <s v="Yes"/>
    <s v="No"/>
    <s v="Peak"/>
    <x v="1"/>
    <n v="0"/>
    <s v="0–7 days"/>
  </r>
  <r>
    <s v="B000770"/>
    <s v="G00496"/>
    <s v="H008"/>
    <s v="CH05"/>
    <d v="2026-02-26T00:00:00"/>
    <d v="2026-04-27T00:00:00"/>
    <x v="2"/>
    <n v="2748"/>
    <x v="0"/>
    <b v="0"/>
    <x v="1"/>
    <x v="2"/>
    <n v="2026"/>
    <n v="0"/>
    <n v="2"/>
    <n v="2026"/>
    <n v="3"/>
    <s v="No"/>
    <x v="3"/>
    <s v="India"/>
    <x v="0"/>
    <s v="StayNest Palace"/>
    <x v="7"/>
    <s v="Heritage"/>
    <n v="85"/>
    <x v="2"/>
    <s v="Corporate Rate"/>
    <d v="2026-04-27T00:00:00"/>
    <s v="No"/>
    <s v="No"/>
    <s v="Peak"/>
    <x v="1"/>
    <n v="0"/>
    <s v="31–90 days"/>
  </r>
  <r>
    <s v="B000771"/>
    <s v="G00331"/>
    <s v="H005"/>
    <s v="CH06"/>
    <d v="2025-11-22T00:00:00"/>
    <d v="2025-12-06T00:00:00"/>
    <x v="1"/>
    <n v="6099"/>
    <x v="0"/>
    <b v="0"/>
    <x v="3"/>
    <x v="5"/>
    <n v="2025"/>
    <n v="5"/>
    <n v="11"/>
    <n v="2025"/>
    <n v="5"/>
    <s v="Yes"/>
    <x v="3"/>
    <s v="India"/>
    <x v="0"/>
    <s v="StayNest Heritage"/>
    <x v="11"/>
    <s v="Heritage"/>
    <n v="90"/>
    <x v="0"/>
    <s v="Retention"/>
    <d v="2025-12-06T00:00:00"/>
    <s v="Yes"/>
    <s v="No"/>
    <s v="Peak"/>
    <x v="1"/>
    <n v="0"/>
    <s v="8–30 days"/>
  </r>
  <r>
    <s v="B000772"/>
    <s v="G00047"/>
    <s v="H005"/>
    <s v="CH04"/>
    <d v="2026-02-24T00:00:00"/>
    <d v="2026-03-03T00:00:00"/>
    <x v="0"/>
    <n v="3951"/>
    <x v="0"/>
    <b v="0"/>
    <x v="4"/>
    <x v="3"/>
    <n v="2026"/>
    <n v="1"/>
    <n v="2"/>
    <n v="2026"/>
    <n v="1"/>
    <s v="No"/>
    <x v="0"/>
    <s v="India"/>
    <x v="0"/>
    <s v="StayNest Heritage"/>
    <x v="11"/>
    <s v="Heritage"/>
    <n v="90"/>
    <x v="4"/>
    <s v="Partner"/>
    <d v="2026-03-03T00:00:00"/>
    <s v="No"/>
    <s v="No"/>
    <s v="Shoulder"/>
    <x v="1"/>
    <n v="0"/>
    <s v="0–7 days"/>
  </r>
  <r>
    <s v="B000773"/>
    <s v="G00022"/>
    <s v="H007"/>
    <s v="CH01"/>
    <d v="2025-12-08T00:00:00"/>
    <d v="2026-05-07T00:00:00"/>
    <x v="2"/>
    <n v="3262"/>
    <x v="1"/>
    <b v="0"/>
    <x v="5"/>
    <x v="9"/>
    <n v="2026"/>
    <n v="3"/>
    <n v="12"/>
    <n v="2025"/>
    <n v="0"/>
    <s v="No"/>
    <x v="0"/>
    <s v="Singapore"/>
    <x v="0"/>
    <s v="StayNest Tech Park"/>
    <x v="6"/>
    <s v="Business"/>
    <n v="140"/>
    <x v="5"/>
    <s v="Direct"/>
    <d v="2026-05-07T00:00:00"/>
    <s v="No"/>
    <s v="No"/>
    <s v="Peak"/>
    <x v="1"/>
    <n v="1"/>
    <s v="91–180 days"/>
  </r>
  <r>
    <s v="B000774"/>
    <s v="G00549"/>
    <s v="H007"/>
    <s v="CH06"/>
    <d v="2025-08-23T00:00:00"/>
    <d v="2025-08-30T00:00:00"/>
    <x v="0"/>
    <n v="5193"/>
    <x v="0"/>
    <b v="0"/>
    <x v="4"/>
    <x v="7"/>
    <n v="2025"/>
    <n v="5"/>
    <n v="8"/>
    <n v="2025"/>
    <n v="5"/>
    <s v="Yes"/>
    <x v="3"/>
    <s v="India"/>
    <x v="1"/>
    <s v="StayNest Tech Park"/>
    <x v="6"/>
    <s v="Business"/>
    <n v="140"/>
    <x v="0"/>
    <s v="Retention"/>
    <d v="2025-08-30T00:00:00"/>
    <s v="Yes"/>
    <s v="No"/>
    <s v="Off-Peak"/>
    <x v="1"/>
    <n v="0"/>
    <s v="0–7 days"/>
  </r>
  <r>
    <s v="B000775"/>
    <s v="G00021"/>
    <s v="H009"/>
    <s v="CH01"/>
    <d v="2026-05-29T00:00:00"/>
    <d v="2026-06-12T00:00:00"/>
    <x v="1"/>
    <n v="5099"/>
    <x v="0"/>
    <b v="0"/>
    <x v="3"/>
    <x v="1"/>
    <n v="2026"/>
    <n v="4"/>
    <n v="5"/>
    <n v="2026"/>
    <n v="4"/>
    <s v="No"/>
    <x v="2"/>
    <s v="India"/>
    <x v="0"/>
    <s v="StayNest Airport"/>
    <x v="9"/>
    <s v="Business"/>
    <n v="160"/>
    <x v="5"/>
    <s v="Direct"/>
    <d v="2026-06-12T00:00:00"/>
    <s v="No"/>
    <s v="No"/>
    <s v="Shoulder"/>
    <x v="1"/>
    <n v="0"/>
    <s v="8–30 days"/>
  </r>
  <r>
    <s v="B000776"/>
    <s v="G00279"/>
    <s v="H012"/>
    <s v="CH01"/>
    <d v="2026-01-22T00:00:00"/>
    <d v="2026-02-21T00:00:00"/>
    <x v="0"/>
    <n v="3847"/>
    <x v="2"/>
    <b v="0"/>
    <x v="2"/>
    <x v="0"/>
    <n v="2026"/>
    <n v="5"/>
    <n v="1"/>
    <n v="2026"/>
    <n v="3"/>
    <s v="Yes"/>
    <x v="0"/>
    <s v="India"/>
    <x v="0"/>
    <s v="StayNest Valley"/>
    <x v="4"/>
    <s v="Resort"/>
    <n v="65"/>
    <x v="5"/>
    <s v="Direct"/>
    <d v="2026-02-21T00:00:00"/>
    <s v="Yes"/>
    <s v="No"/>
    <s v="Shoulder"/>
    <x v="1"/>
    <n v="0"/>
    <s v="8–30 days"/>
  </r>
  <r>
    <s v="B000777"/>
    <s v="G00021"/>
    <s v="H001"/>
    <s v="CH06"/>
    <d v="2026-07-09T00:00:00"/>
    <d v="2026-08-08T00:00:00"/>
    <x v="0"/>
    <n v="5909"/>
    <x v="2"/>
    <b v="0"/>
    <x v="2"/>
    <x v="7"/>
    <n v="2026"/>
    <n v="5"/>
    <n v="7"/>
    <n v="2026"/>
    <n v="3"/>
    <s v="Yes"/>
    <x v="2"/>
    <s v="India"/>
    <x v="0"/>
    <s v="StayNest Marina"/>
    <x v="1"/>
    <s v="Business"/>
    <n v="120"/>
    <x v="0"/>
    <s v="Retention"/>
    <d v="2026-08-08T00:00:00"/>
    <s v="Yes"/>
    <s v="No"/>
    <s v="Off-Peak"/>
    <x v="1"/>
    <n v="0"/>
    <s v="8–30 days"/>
  </r>
  <r>
    <s v="B000778"/>
    <s v="G00436"/>
    <s v="H009"/>
    <s v="CH06"/>
    <d v="2025-01-24T00:00:00"/>
    <d v="2025-01-31T00:00:00"/>
    <x v="1"/>
    <n v="7360"/>
    <x v="0"/>
    <b v="0"/>
    <x v="4"/>
    <x v="6"/>
    <n v="2025"/>
    <n v="4"/>
    <n v="1"/>
    <n v="2025"/>
    <n v="4"/>
    <s v="No"/>
    <x v="3"/>
    <s v="India"/>
    <x v="0"/>
    <s v="StayNest Airport"/>
    <x v="9"/>
    <s v="Business"/>
    <n v="160"/>
    <x v="0"/>
    <s v="Retention"/>
    <d v="2025-01-31T00:00:00"/>
    <s v="No"/>
    <s v="No"/>
    <s v="Off-Peak"/>
    <x v="1"/>
    <n v="0"/>
    <s v="0–7 days"/>
  </r>
  <r>
    <s v="B000779"/>
    <s v="G00417"/>
    <s v="H009"/>
    <s v="CH03"/>
    <d v="2026-05-10T00:00:00"/>
    <d v="2026-05-17T00:00:00"/>
    <x v="0"/>
    <n v="5535"/>
    <x v="0"/>
    <b v="0"/>
    <x v="4"/>
    <x v="9"/>
    <n v="2026"/>
    <n v="6"/>
    <n v="5"/>
    <n v="2026"/>
    <n v="6"/>
    <s v="Yes"/>
    <x v="2"/>
    <s v="India"/>
    <x v="0"/>
    <s v="StayNest Airport"/>
    <x v="9"/>
    <s v="Business"/>
    <n v="160"/>
    <x v="1"/>
    <s v="OTA Promo"/>
    <d v="2026-05-17T00:00:00"/>
    <s v="Yes"/>
    <s v="No"/>
    <s v="Peak"/>
    <x v="1"/>
    <n v="0"/>
    <s v="0–7 days"/>
  </r>
  <r>
    <s v="B000780"/>
    <s v="G00230"/>
    <s v="H010"/>
    <s v="CH01"/>
    <d v="2026-02-11T00:00:00"/>
    <d v="2026-04-12T00:00:00"/>
    <x v="1"/>
    <n v="7632"/>
    <x v="0"/>
    <b v="0"/>
    <x v="1"/>
    <x v="2"/>
    <n v="2026"/>
    <n v="6"/>
    <n v="2"/>
    <n v="2026"/>
    <n v="2"/>
    <s v="Yes"/>
    <x v="1"/>
    <s v="India"/>
    <x v="0"/>
    <s v="StayNest Garden"/>
    <x v="10"/>
    <s v="Boutique"/>
    <n v="70"/>
    <x v="5"/>
    <s v="Direct"/>
    <d v="2026-04-12T00:00:00"/>
    <s v="Yes"/>
    <s v="No"/>
    <s v="Peak"/>
    <x v="1"/>
    <n v="0"/>
    <s v="31–90 days"/>
  </r>
  <r>
    <s v="B000781"/>
    <s v="G00086"/>
    <s v="H002"/>
    <s v="CH05"/>
    <d v="2025-06-23T00:00:00"/>
    <d v="2025-06-30T00:00:00"/>
    <x v="1"/>
    <n v="6651"/>
    <x v="2"/>
    <b v="0"/>
    <x v="4"/>
    <x v="1"/>
    <n v="2025"/>
    <n v="0"/>
    <n v="6"/>
    <n v="2025"/>
    <n v="0"/>
    <s v="No"/>
    <x v="2"/>
    <s v="India"/>
    <x v="1"/>
    <s v="StayNest Central"/>
    <x v="0"/>
    <s v="Business"/>
    <n v="150"/>
    <x v="2"/>
    <s v="Corporate Rate"/>
    <d v="2025-06-30T00:00:00"/>
    <s v="No"/>
    <s v="No"/>
    <s v="Shoulder"/>
    <x v="1"/>
    <n v="0"/>
    <s v="0–7 days"/>
  </r>
  <r>
    <s v="B000782"/>
    <s v="G00581"/>
    <s v="H004"/>
    <s v="CH01"/>
    <d v="2026-05-21T00:00:00"/>
    <d v="2026-05-28T00:00:00"/>
    <x v="3"/>
    <n v="6799"/>
    <x v="2"/>
    <b v="0"/>
    <x v="4"/>
    <x v="9"/>
    <n v="2026"/>
    <n v="3"/>
    <n v="5"/>
    <n v="2026"/>
    <n v="3"/>
    <s v="No"/>
    <x v="1"/>
    <s v="United States"/>
    <x v="0"/>
    <s v="StayNest Lakeview"/>
    <x v="2"/>
    <s v="Resort"/>
    <n v="75"/>
    <x v="5"/>
    <s v="Direct"/>
    <d v="2026-05-28T00:00:00"/>
    <s v="No"/>
    <s v="No"/>
    <s v="Peak"/>
    <x v="1"/>
    <n v="0"/>
    <s v="0–7 days"/>
  </r>
  <r>
    <s v="B000783"/>
    <s v="G00275"/>
    <s v="H012"/>
    <s v="CH02"/>
    <d v="2026-07-30T00:00:00"/>
    <d v="2026-09-28T00:00:00"/>
    <x v="1"/>
    <n v="6889"/>
    <x v="2"/>
    <b v="0"/>
    <x v="1"/>
    <x v="10"/>
    <n v="2026"/>
    <n v="0"/>
    <n v="7"/>
    <n v="2026"/>
    <n v="3"/>
    <s v="No"/>
    <x v="0"/>
    <s v="United Kingdom"/>
    <x v="0"/>
    <s v="StayNest Valley"/>
    <x v="4"/>
    <s v="Resort"/>
    <n v="65"/>
    <x v="3"/>
    <s v="App Push"/>
    <d v="2026-09-28T00:00:00"/>
    <s v="No"/>
    <s v="No"/>
    <s v="Shoulder"/>
    <x v="1"/>
    <n v="0"/>
    <s v="31–90 days"/>
  </r>
  <r>
    <s v="B000784"/>
    <s v="G00084"/>
    <s v="H002"/>
    <s v="CH04"/>
    <d v="2025-03-21T00:00:00"/>
    <d v="2025-04-04T00:00:00"/>
    <x v="2"/>
    <n v="3264"/>
    <x v="0"/>
    <b v="0"/>
    <x v="3"/>
    <x v="2"/>
    <n v="2025"/>
    <n v="4"/>
    <n v="3"/>
    <n v="2025"/>
    <n v="4"/>
    <s v="No"/>
    <x v="1"/>
    <s v="India"/>
    <x v="0"/>
    <s v="StayNest Central"/>
    <x v="0"/>
    <s v="Business"/>
    <n v="150"/>
    <x v="4"/>
    <s v="Partner"/>
    <d v="2025-04-04T00:00:00"/>
    <s v="No"/>
    <s v="No"/>
    <s v="Peak"/>
    <x v="1"/>
    <n v="0"/>
    <s v="8–30 days"/>
  </r>
  <r>
    <s v="B000785"/>
    <s v="G00435"/>
    <s v="H008"/>
    <s v="CH02"/>
    <d v="2026-10-04T00:00:00"/>
    <d v="2026-12-03T00:00:00"/>
    <x v="1"/>
    <n v="33175"/>
    <x v="0"/>
    <b v="0"/>
    <x v="1"/>
    <x v="5"/>
    <n v="2026"/>
    <n v="3"/>
    <n v="10"/>
    <n v="2026"/>
    <n v="6"/>
    <s v="No"/>
    <x v="0"/>
    <s v="United States"/>
    <x v="0"/>
    <s v="StayNest Palace"/>
    <x v="7"/>
    <s v="Heritage"/>
    <n v="85"/>
    <x v="3"/>
    <s v="App Push"/>
    <d v="2026-12-03T00:00:00"/>
    <s v="No"/>
    <s v="No"/>
    <s v="Peak"/>
    <x v="1"/>
    <n v="0"/>
    <s v="31–90 days"/>
  </r>
  <r>
    <s v="B000786"/>
    <s v="G00278"/>
    <s v="H009"/>
    <s v="CH03"/>
    <d v="2026-09-22T00:00:00"/>
    <d v="2026-12-31T00:00:00"/>
    <x v="0"/>
    <n v="5643"/>
    <x v="0"/>
    <b v="0"/>
    <x v="0"/>
    <x v="5"/>
    <n v="2026"/>
    <n v="3"/>
    <n v="9"/>
    <n v="2026"/>
    <n v="1"/>
    <s v="No"/>
    <x v="3"/>
    <s v="India"/>
    <x v="0"/>
    <s v="StayNest Airport"/>
    <x v="9"/>
    <s v="Business"/>
    <n v="160"/>
    <x v="1"/>
    <s v="OTA Promo"/>
    <d v="2026-12-31T00:00:00"/>
    <s v="No"/>
    <s v="No"/>
    <s v="Peak"/>
    <x v="1"/>
    <n v="0"/>
    <s v="91–180 days"/>
  </r>
  <r>
    <s v="B000787"/>
    <s v="G00258"/>
    <s v="H008"/>
    <s v="CH04"/>
    <d v="2025-08-04T00:00:00"/>
    <d v="2026-01-01T00:00:00"/>
    <x v="0"/>
    <n v="5440"/>
    <x v="1"/>
    <b v="0"/>
    <x v="5"/>
    <x v="6"/>
    <n v="2026"/>
    <n v="3"/>
    <n v="8"/>
    <n v="2025"/>
    <n v="0"/>
    <s v="No"/>
    <x v="1"/>
    <s v="India"/>
    <x v="0"/>
    <s v="StayNest Palace"/>
    <x v="7"/>
    <s v="Heritage"/>
    <n v="85"/>
    <x v="4"/>
    <s v="Partner"/>
    <d v="2026-01-01T00:00:00"/>
    <s v="No"/>
    <s v="Yes"/>
    <s v="Off-Peak"/>
    <x v="2"/>
    <n v="1"/>
    <s v="91–180 days"/>
  </r>
  <r>
    <s v="B000788"/>
    <s v="G00069"/>
    <s v="H001"/>
    <s v="CH03"/>
    <d v="2025-07-12T00:00:00"/>
    <d v="2025-07-19T00:00:00"/>
    <x v="2"/>
    <n v="3139"/>
    <x v="0"/>
    <b v="0"/>
    <x v="4"/>
    <x v="8"/>
    <n v="2025"/>
    <n v="5"/>
    <n v="7"/>
    <n v="2025"/>
    <n v="5"/>
    <s v="Yes"/>
    <x v="3"/>
    <s v="India"/>
    <x v="0"/>
    <s v="StayNest Marina"/>
    <x v="1"/>
    <s v="Business"/>
    <n v="120"/>
    <x v="1"/>
    <s v="OTA Promo"/>
    <d v="2025-07-19T00:00:00"/>
    <s v="Yes"/>
    <s v="No"/>
    <s v="Off-Peak"/>
    <x v="1"/>
    <n v="0"/>
    <s v="0–7 days"/>
  </r>
  <r>
    <s v="B000789"/>
    <s v="G00573"/>
    <s v="H004"/>
    <s v="CH03"/>
    <d v="2026-10-06T00:00:00"/>
    <d v="2026-10-07T00:00:00"/>
    <x v="0"/>
    <n v="5245"/>
    <x v="0"/>
    <b v="0"/>
    <x v="7"/>
    <x v="11"/>
    <n v="2026"/>
    <n v="2"/>
    <n v="10"/>
    <n v="2026"/>
    <n v="1"/>
    <s v="No"/>
    <x v="2"/>
    <s v="India"/>
    <x v="0"/>
    <s v="StayNest Lakeview"/>
    <x v="2"/>
    <s v="Resort"/>
    <n v="75"/>
    <x v="1"/>
    <s v="OTA Promo"/>
    <d v="2026-10-07T00:00:00"/>
    <s v="No"/>
    <s v="No"/>
    <s v="Shoulder"/>
    <x v="1"/>
    <n v="0"/>
    <s v="0–7 days"/>
  </r>
  <r>
    <s v="B000790"/>
    <s v="G00261"/>
    <s v="H009"/>
    <s v="CH05"/>
    <d v="2026-10-19T00:00:00"/>
    <d v="2026-11-18T00:00:00"/>
    <x v="2"/>
    <n v="2512"/>
    <x v="0"/>
    <b v="0"/>
    <x v="2"/>
    <x v="4"/>
    <n v="2026"/>
    <n v="2"/>
    <n v="10"/>
    <n v="2026"/>
    <n v="0"/>
    <s v="No"/>
    <x v="0"/>
    <s v="India"/>
    <x v="0"/>
    <s v="StayNest Airport"/>
    <x v="9"/>
    <s v="Business"/>
    <n v="160"/>
    <x v="2"/>
    <s v="Corporate Rate"/>
    <d v="2026-11-18T00:00:00"/>
    <s v="No"/>
    <s v="No"/>
    <s v="Off-Peak"/>
    <x v="1"/>
    <n v="0"/>
    <s v="8–30 days"/>
  </r>
  <r>
    <s v="B000791"/>
    <s v="G00535"/>
    <s v="H010"/>
    <s v="CH06"/>
    <d v="2026-01-28T00:00:00"/>
    <d v="2026-02-11T00:00:00"/>
    <x v="3"/>
    <n v="39808"/>
    <x v="0"/>
    <b v="1"/>
    <x v="3"/>
    <x v="0"/>
    <n v="2026"/>
    <n v="2"/>
    <n v="1"/>
    <n v="2026"/>
    <n v="2"/>
    <s v="No"/>
    <x v="0"/>
    <s v="United States"/>
    <x v="0"/>
    <s v="StayNest Garden"/>
    <x v="10"/>
    <s v="Boutique"/>
    <n v="70"/>
    <x v="0"/>
    <s v="Retention"/>
    <d v="2026-02-11T00:00:00"/>
    <s v="No"/>
    <s v="No"/>
    <s v="Shoulder"/>
    <x v="1"/>
    <n v="0"/>
    <s v="8–30 days"/>
  </r>
  <r>
    <s v="B000792"/>
    <s v="G00630"/>
    <s v="H003"/>
    <s v="CH02"/>
    <d v="2025-06-18T00:00:00"/>
    <d v="2025-07-02T00:00:00"/>
    <x v="2"/>
    <n v="2359"/>
    <x v="0"/>
    <b v="0"/>
    <x v="3"/>
    <x v="8"/>
    <n v="2025"/>
    <n v="2"/>
    <n v="6"/>
    <n v="2025"/>
    <n v="2"/>
    <s v="No"/>
    <x v="1"/>
    <s v="India"/>
    <x v="1"/>
    <s v="StayNest Hills"/>
    <x v="5"/>
    <s v="Resort"/>
    <n v="80"/>
    <x v="3"/>
    <s v="App Push"/>
    <d v="2025-07-02T00:00:00"/>
    <s v="No"/>
    <s v="No"/>
    <s v="Off-Peak"/>
    <x v="1"/>
    <n v="0"/>
    <s v="8–30 days"/>
  </r>
  <r>
    <s v="B000793"/>
    <s v="G00310"/>
    <s v="H009"/>
    <s v="CH01"/>
    <d v="2025-09-04T00:00:00"/>
    <d v="2025-10-04T00:00:00"/>
    <x v="1"/>
    <n v="6276"/>
    <x v="0"/>
    <b v="0"/>
    <x v="2"/>
    <x v="11"/>
    <n v="2025"/>
    <n v="5"/>
    <n v="9"/>
    <n v="2025"/>
    <n v="3"/>
    <s v="Yes"/>
    <x v="3"/>
    <s v="United States"/>
    <x v="1"/>
    <s v="StayNest Airport"/>
    <x v="9"/>
    <s v="Business"/>
    <n v="160"/>
    <x v="5"/>
    <s v="Direct"/>
    <d v="2025-10-04T00:00:00"/>
    <s v="Yes"/>
    <s v="No"/>
    <s v="Shoulder"/>
    <x v="1"/>
    <n v="0"/>
    <s v="8–30 days"/>
  </r>
  <r>
    <s v="B000794"/>
    <s v="G00620"/>
    <s v="H004"/>
    <s v="CH02"/>
    <d v="2026-10-11T00:00:00"/>
    <d v="2027-01-19T00:00:00"/>
    <x v="0"/>
    <n v="5308"/>
    <x v="0"/>
    <b v="0"/>
    <x v="0"/>
    <x v="6"/>
    <n v="2027"/>
    <n v="1"/>
    <n v="10"/>
    <n v="2026"/>
    <n v="6"/>
    <s v="No"/>
    <x v="1"/>
    <s v="Singapore"/>
    <x v="0"/>
    <s v="StayNest Lakeview"/>
    <x v="2"/>
    <s v="Resort"/>
    <n v="75"/>
    <x v="3"/>
    <s v="App Push"/>
    <m/>
    <s v="Unknown"/>
    <s v="Unknown"/>
    <s v="Unknown"/>
    <x v="0"/>
    <n v="0"/>
    <s v="91–180 days"/>
  </r>
  <r>
    <s v="B000795"/>
    <s v="G00446"/>
    <s v="H011"/>
    <s v="CH03"/>
    <d v="2025-07-02T00:00:00"/>
    <d v="2025-07-03T00:00:00"/>
    <x v="3"/>
    <n v="9974"/>
    <x v="2"/>
    <b v="0"/>
    <x v="7"/>
    <x v="8"/>
    <n v="2025"/>
    <n v="3"/>
    <n v="7"/>
    <n v="2025"/>
    <n v="2"/>
    <s v="No"/>
    <x v="1"/>
    <s v="India"/>
    <x v="0"/>
    <s v="StayNest Grand"/>
    <x v="8"/>
    <s v="Business"/>
    <n v="110"/>
    <x v="1"/>
    <s v="OTA Promo"/>
    <d v="2025-07-03T00:00:00"/>
    <s v="No"/>
    <s v="No"/>
    <s v="Off-Peak"/>
    <x v="1"/>
    <n v="0"/>
    <s v="0–7 days"/>
  </r>
  <r>
    <s v="B000796"/>
    <s v="G00196"/>
    <s v="H007"/>
    <s v="CH03"/>
    <d v="2025-07-03T00:00:00"/>
    <d v="2025-11-30T00:00:00"/>
    <x v="2"/>
    <n v="18088"/>
    <x v="1"/>
    <b v="1"/>
    <x v="5"/>
    <x v="4"/>
    <n v="2025"/>
    <n v="6"/>
    <n v="7"/>
    <n v="2025"/>
    <n v="3"/>
    <s v="Yes"/>
    <x v="1"/>
    <s v="India"/>
    <x v="0"/>
    <s v="StayNest Tech Park"/>
    <x v="6"/>
    <s v="Business"/>
    <n v="140"/>
    <x v="1"/>
    <s v="OTA Promo"/>
    <d v="2025-11-30T00:00:00"/>
    <s v="Yes"/>
    <s v="No"/>
    <s v="Off-Peak"/>
    <x v="1"/>
    <n v="1"/>
    <s v="91–180 days"/>
  </r>
  <r>
    <s v="B000797"/>
    <s v="G00378"/>
    <s v="H005"/>
    <s v="CH05"/>
    <d v="2025-01-14T00:00:00"/>
    <d v="2025-02-13T00:00:00"/>
    <x v="2"/>
    <n v="3514"/>
    <x v="0"/>
    <b v="0"/>
    <x v="2"/>
    <x v="0"/>
    <n v="2025"/>
    <n v="3"/>
    <n v="1"/>
    <n v="2025"/>
    <n v="1"/>
    <s v="No"/>
    <x v="1"/>
    <s v="India"/>
    <x v="1"/>
    <s v="StayNest Heritage"/>
    <x v="11"/>
    <s v="Heritage"/>
    <n v="90"/>
    <x v="2"/>
    <s v="Corporate Rate"/>
    <d v="2025-02-13T00:00:00"/>
    <s v="No"/>
    <s v="No"/>
    <s v="Shoulder"/>
    <x v="1"/>
    <n v="0"/>
    <s v="8–30 days"/>
  </r>
  <r>
    <s v="B000798"/>
    <s v="G00059"/>
    <s v="H010"/>
    <s v="CH01"/>
    <d v="2026-04-28T00:00:00"/>
    <d v="2026-12-04T00:00:00"/>
    <x v="1"/>
    <n v="8074"/>
    <x v="1"/>
    <b v="0"/>
    <x v="8"/>
    <x v="5"/>
    <n v="2026"/>
    <n v="4"/>
    <n v="4"/>
    <n v="2026"/>
    <n v="1"/>
    <s v="No"/>
    <x v="0"/>
    <s v="India"/>
    <x v="1"/>
    <s v="StayNest Garden"/>
    <x v="10"/>
    <s v="Boutique"/>
    <n v="70"/>
    <x v="5"/>
    <s v="Direct"/>
    <d v="2026-12-04T00:00:00"/>
    <s v="No"/>
    <s v="No"/>
    <s v="Peak"/>
    <x v="1"/>
    <n v="1"/>
    <s v="181+ days"/>
  </r>
  <r>
    <s v="B000799"/>
    <s v="G00379"/>
    <s v="H001"/>
    <s v="CH05"/>
    <d v="2025-06-06T00:00:00"/>
    <d v="2025-08-05T00:00:00"/>
    <x v="0"/>
    <n v="5218"/>
    <x v="0"/>
    <b v="0"/>
    <x v="1"/>
    <x v="7"/>
    <n v="2025"/>
    <n v="1"/>
    <n v="6"/>
    <n v="2025"/>
    <n v="4"/>
    <s v="No"/>
    <x v="2"/>
    <s v="India"/>
    <x v="0"/>
    <s v="StayNest Marina"/>
    <x v="1"/>
    <s v="Business"/>
    <n v="120"/>
    <x v="2"/>
    <s v="Corporate Rate"/>
    <d v="2025-08-05T00:00:00"/>
    <s v="No"/>
    <s v="No"/>
    <s v="Off-Peak"/>
    <x v="1"/>
    <n v="0"/>
    <s v="31–90 days"/>
  </r>
  <r>
    <s v="B000800"/>
    <s v="G00558"/>
    <s v="H005"/>
    <s v="CH02"/>
    <d v="2026-11-02T00:00:00"/>
    <d v="2026-12-02T00:00:00"/>
    <x v="2"/>
    <n v="3914"/>
    <x v="0"/>
    <b v="0"/>
    <x v="2"/>
    <x v="5"/>
    <n v="2026"/>
    <n v="2"/>
    <n v="11"/>
    <n v="2026"/>
    <n v="0"/>
    <s v="No"/>
    <x v="2"/>
    <s v="United States"/>
    <x v="0"/>
    <s v="StayNest Heritage"/>
    <x v="11"/>
    <s v="Heritage"/>
    <n v="90"/>
    <x v="3"/>
    <s v="App Push"/>
    <d v="2026-12-02T00:00:00"/>
    <s v="No"/>
    <s v="No"/>
    <s v="Peak"/>
    <x v="1"/>
    <n v="0"/>
    <s v="8–30 days"/>
  </r>
  <r>
    <s v="B000801"/>
    <s v="G00015"/>
    <s v="H011"/>
    <s v="CH04"/>
    <d v="2026-03-03T00:00:00"/>
    <d v="2026-06-11T00:00:00"/>
    <x v="2"/>
    <n v="2595"/>
    <x v="1"/>
    <b v="0"/>
    <x v="0"/>
    <x v="1"/>
    <n v="2026"/>
    <n v="3"/>
    <n v="3"/>
    <n v="2026"/>
    <n v="1"/>
    <s v="No"/>
    <x v="1"/>
    <s v="India"/>
    <x v="1"/>
    <s v="StayNest Grand"/>
    <x v="8"/>
    <s v="Business"/>
    <n v="110"/>
    <x v="4"/>
    <s v="Partner"/>
    <d v="2026-06-11T00:00:00"/>
    <s v="No"/>
    <s v="No"/>
    <s v="Shoulder"/>
    <x v="1"/>
    <n v="1"/>
    <s v="91–180 days"/>
  </r>
  <r>
    <s v="B000802"/>
    <s v="G00046"/>
    <s v="H005"/>
    <s v="CH05"/>
    <d v="2025-07-23T00:00:00"/>
    <d v="2025-09-21T00:00:00"/>
    <x v="1"/>
    <n v="6121"/>
    <x v="1"/>
    <b v="0"/>
    <x v="1"/>
    <x v="10"/>
    <n v="2025"/>
    <n v="6"/>
    <n v="7"/>
    <n v="2025"/>
    <n v="2"/>
    <s v="Yes"/>
    <x v="3"/>
    <s v="Unknown"/>
    <x v="0"/>
    <s v="StayNest Heritage"/>
    <x v="11"/>
    <s v="Heritage"/>
    <n v="90"/>
    <x v="2"/>
    <s v="Corporate Rate"/>
    <d v="2025-09-21T00:00:00"/>
    <s v="Yes"/>
    <s v="No"/>
    <s v="Shoulder"/>
    <x v="1"/>
    <n v="1"/>
    <s v="31–90 days"/>
  </r>
  <r>
    <s v="B000803"/>
    <s v="G00478"/>
    <s v="H010"/>
    <s v="CH06"/>
    <d v="2025-03-30T00:00:00"/>
    <d v="2025-04-29T00:00:00"/>
    <x v="1"/>
    <n v="7988"/>
    <x v="0"/>
    <b v="0"/>
    <x v="2"/>
    <x v="2"/>
    <n v="2025"/>
    <n v="1"/>
    <n v="3"/>
    <n v="2025"/>
    <n v="6"/>
    <s v="No"/>
    <x v="1"/>
    <s v="United States"/>
    <x v="0"/>
    <s v="StayNest Garden"/>
    <x v="10"/>
    <s v="Boutique"/>
    <n v="70"/>
    <x v="0"/>
    <s v="Retention"/>
    <d v="2025-04-29T00:00:00"/>
    <s v="No"/>
    <s v="No"/>
    <s v="Peak"/>
    <x v="1"/>
    <n v="0"/>
    <s v="8–30 days"/>
  </r>
  <r>
    <s v="B000804"/>
    <s v="G00021"/>
    <s v="H003"/>
    <s v="CH01"/>
    <d v="2025-08-11T00:00:00"/>
    <d v="2025-09-10T00:00:00"/>
    <x v="1"/>
    <n v="8429"/>
    <x v="2"/>
    <b v="0"/>
    <x v="2"/>
    <x v="10"/>
    <n v="2025"/>
    <n v="2"/>
    <n v="8"/>
    <n v="2025"/>
    <n v="0"/>
    <s v="No"/>
    <x v="2"/>
    <s v="India"/>
    <x v="0"/>
    <s v="StayNest Hills"/>
    <x v="5"/>
    <s v="Resort"/>
    <n v="80"/>
    <x v="5"/>
    <s v="Direct"/>
    <d v="2025-09-10T00:00:00"/>
    <s v="No"/>
    <s v="No"/>
    <s v="Shoulder"/>
    <x v="1"/>
    <n v="0"/>
    <s v="8–30 days"/>
  </r>
  <r>
    <s v="B000805"/>
    <s v="G00136"/>
    <s v="H005"/>
    <s v="CH01"/>
    <d v="2026-01-24T00:00:00"/>
    <d v="2026-03-25T00:00:00"/>
    <x v="0"/>
    <n v="5814"/>
    <x v="2"/>
    <b v="0"/>
    <x v="1"/>
    <x v="3"/>
    <n v="2026"/>
    <n v="2"/>
    <n v="1"/>
    <n v="2026"/>
    <n v="5"/>
    <s v="No"/>
    <x v="1"/>
    <s v="India"/>
    <x v="0"/>
    <s v="StayNest Heritage"/>
    <x v="11"/>
    <s v="Heritage"/>
    <n v="90"/>
    <x v="5"/>
    <s v="Direct"/>
    <d v="2026-03-25T00:00:00"/>
    <s v="No"/>
    <s v="No"/>
    <s v="Shoulder"/>
    <x v="1"/>
    <n v="0"/>
    <s v="31–90 days"/>
  </r>
  <r>
    <s v="B000806"/>
    <s v="G00182"/>
    <s v="H005"/>
    <s v="CH03"/>
    <d v="2026-03-27T00:00:00"/>
    <d v="2026-04-03T00:00:00"/>
    <x v="1"/>
    <n v="8163"/>
    <x v="0"/>
    <b v="0"/>
    <x v="4"/>
    <x v="2"/>
    <n v="2026"/>
    <n v="4"/>
    <n v="3"/>
    <n v="2026"/>
    <n v="4"/>
    <s v="No"/>
    <x v="1"/>
    <s v="India"/>
    <x v="0"/>
    <s v="StayNest Heritage"/>
    <x v="11"/>
    <s v="Heritage"/>
    <n v="90"/>
    <x v="1"/>
    <s v="OTA Promo"/>
    <d v="2026-04-03T00:00:00"/>
    <s v="No"/>
    <s v="No"/>
    <s v="Peak"/>
    <x v="1"/>
    <n v="0"/>
    <s v="0–7 days"/>
  </r>
  <r>
    <s v="B000807"/>
    <s v="G00175"/>
    <s v="H001"/>
    <s v="CH05"/>
    <d v="2026-01-30T00:00:00"/>
    <d v="2026-02-02T00:00:00"/>
    <x v="0"/>
    <n v="4682"/>
    <x v="2"/>
    <b v="0"/>
    <x v="6"/>
    <x v="0"/>
    <n v="2026"/>
    <n v="0"/>
    <n v="1"/>
    <n v="2026"/>
    <n v="4"/>
    <s v="No"/>
    <x v="0"/>
    <s v="United Kingdom"/>
    <x v="0"/>
    <s v="StayNest Marina"/>
    <x v="1"/>
    <s v="Business"/>
    <n v="120"/>
    <x v="2"/>
    <s v="Corporate Rate"/>
    <d v="2026-02-02T00:00:00"/>
    <s v="No"/>
    <s v="No"/>
    <s v="Shoulder"/>
    <x v="1"/>
    <n v="0"/>
    <s v="0–7 days"/>
  </r>
  <r>
    <s v="B000808"/>
    <s v="G00276"/>
    <s v="H002"/>
    <s v="CH05"/>
    <d v="2025-08-04T00:00:00"/>
    <d v="2025-08-11T00:00:00"/>
    <x v="1"/>
    <n v="7696"/>
    <x v="0"/>
    <b v="0"/>
    <x v="4"/>
    <x v="7"/>
    <n v="2025"/>
    <n v="0"/>
    <n v="8"/>
    <n v="2025"/>
    <n v="0"/>
    <s v="No"/>
    <x v="3"/>
    <s v="India"/>
    <x v="0"/>
    <s v="StayNest Central"/>
    <x v="0"/>
    <s v="Business"/>
    <n v="150"/>
    <x v="2"/>
    <s v="Corporate Rate"/>
    <d v="2025-08-11T00:00:00"/>
    <s v="No"/>
    <s v="No"/>
    <s v="Off-Peak"/>
    <x v="1"/>
    <n v="0"/>
    <s v="0–7 days"/>
  </r>
  <r>
    <s v="B000809"/>
    <s v="G00331"/>
    <s v="H006"/>
    <s v="CH05"/>
    <d v="2026-01-22T00:00:00"/>
    <d v="2026-02-21T00:00:00"/>
    <x v="2"/>
    <n v="3636"/>
    <x v="1"/>
    <b v="0"/>
    <x v="2"/>
    <x v="0"/>
    <n v="2026"/>
    <n v="5"/>
    <n v="1"/>
    <n v="2026"/>
    <n v="3"/>
    <s v="Yes"/>
    <x v="3"/>
    <s v="India"/>
    <x v="0"/>
    <s v="StayNest Beach"/>
    <x v="3"/>
    <s v="Resort"/>
    <n v="100"/>
    <x v="2"/>
    <s v="Corporate Rate"/>
    <d v="2026-02-21T00:00:00"/>
    <s v="Yes"/>
    <s v="No"/>
    <s v="Shoulder"/>
    <x v="1"/>
    <n v="1"/>
    <s v="8–30 days"/>
  </r>
  <r>
    <s v="B000810"/>
    <s v="G00432"/>
    <s v="H008"/>
    <s v="CH03"/>
    <d v="2025-12-11T00:00:00"/>
    <d v="2026-01-10T00:00:00"/>
    <x v="2"/>
    <n v="4070"/>
    <x v="1"/>
    <b v="0"/>
    <x v="2"/>
    <x v="6"/>
    <n v="2026"/>
    <n v="5"/>
    <n v="12"/>
    <n v="2025"/>
    <n v="3"/>
    <s v="Yes"/>
    <x v="0"/>
    <s v="India"/>
    <x v="0"/>
    <s v="StayNest Palace"/>
    <x v="7"/>
    <s v="Heritage"/>
    <n v="85"/>
    <x v="1"/>
    <s v="OTA Promo"/>
    <d v="2026-01-10T00:00:00"/>
    <s v="Yes"/>
    <s v="No"/>
    <s v="Off-Peak"/>
    <x v="1"/>
    <n v="1"/>
    <s v="8–30 days"/>
  </r>
  <r>
    <s v="B000811"/>
    <s v="G00023"/>
    <s v="H008"/>
    <s v="CH05"/>
    <d v="2026-04-13T00:00:00"/>
    <d v="2026-05-13T00:00:00"/>
    <x v="1"/>
    <n v="7962"/>
    <x v="2"/>
    <b v="0"/>
    <x v="2"/>
    <x v="9"/>
    <n v="2026"/>
    <n v="2"/>
    <n v="4"/>
    <n v="2026"/>
    <n v="0"/>
    <s v="No"/>
    <x v="1"/>
    <s v="India"/>
    <x v="0"/>
    <s v="StayNest Palace"/>
    <x v="7"/>
    <s v="Heritage"/>
    <n v="85"/>
    <x v="2"/>
    <s v="Corporate Rate"/>
    <d v="2026-05-13T00:00:00"/>
    <s v="No"/>
    <s v="No"/>
    <s v="Peak"/>
    <x v="1"/>
    <n v="0"/>
    <s v="8–30 days"/>
  </r>
  <r>
    <s v="B000812"/>
    <s v="G00308"/>
    <s v="H001"/>
    <s v="CH02"/>
    <d v="2026-06-04T00:00:00"/>
    <d v="2026-06-07T00:00:00"/>
    <x v="1"/>
    <n v="7429"/>
    <x v="2"/>
    <b v="0"/>
    <x v="6"/>
    <x v="1"/>
    <n v="2026"/>
    <n v="6"/>
    <n v="6"/>
    <n v="2026"/>
    <n v="3"/>
    <s v="Yes"/>
    <x v="0"/>
    <s v="India"/>
    <x v="0"/>
    <s v="StayNest Marina"/>
    <x v="1"/>
    <s v="Business"/>
    <n v="120"/>
    <x v="3"/>
    <s v="App Push"/>
    <d v="2026-06-07T00:00:00"/>
    <s v="Yes"/>
    <s v="No"/>
    <s v="Shoulder"/>
    <x v="1"/>
    <n v="0"/>
    <s v="0–7 days"/>
  </r>
  <r>
    <s v="B000813"/>
    <s v="G00612"/>
    <s v="H012"/>
    <s v="CH05"/>
    <d v="2025-07-23T00:00:00"/>
    <d v="2025-12-20T00:00:00"/>
    <x v="0"/>
    <n v="4864"/>
    <x v="0"/>
    <b v="0"/>
    <x v="5"/>
    <x v="5"/>
    <n v="2025"/>
    <n v="5"/>
    <n v="7"/>
    <n v="2025"/>
    <n v="2"/>
    <s v="Yes"/>
    <x v="2"/>
    <s v="UAE"/>
    <x v="0"/>
    <s v="StayNest Valley"/>
    <x v="4"/>
    <s v="Resort"/>
    <n v="65"/>
    <x v="2"/>
    <s v="Corporate Rate"/>
    <d v="2025-12-20T00:00:00"/>
    <s v="Yes"/>
    <s v="No"/>
    <s v="Peak"/>
    <x v="1"/>
    <n v="0"/>
    <s v="91–180 days"/>
  </r>
  <r>
    <s v="B000814"/>
    <s v="G00355"/>
    <s v="H008"/>
    <s v="CH04"/>
    <d v="2025-06-19T00:00:00"/>
    <d v="2025-07-03T00:00:00"/>
    <x v="0"/>
    <n v="4204"/>
    <x v="0"/>
    <b v="0"/>
    <x v="3"/>
    <x v="8"/>
    <n v="2025"/>
    <n v="3"/>
    <n v="6"/>
    <n v="2025"/>
    <n v="3"/>
    <s v="No"/>
    <x v="1"/>
    <s v="India"/>
    <x v="1"/>
    <s v="StayNest Palace"/>
    <x v="7"/>
    <s v="Heritage"/>
    <n v="85"/>
    <x v="4"/>
    <s v="Partner"/>
    <d v="2025-07-03T00:00:00"/>
    <s v="No"/>
    <s v="No"/>
    <s v="Off-Peak"/>
    <x v="1"/>
    <n v="0"/>
    <s v="8–30 days"/>
  </r>
  <r>
    <s v="B000815"/>
    <s v="G00093"/>
    <s v="H012"/>
    <s v="CH02"/>
    <d v="2025-06-07T00:00:00"/>
    <d v="2025-08-06T00:00:00"/>
    <x v="3"/>
    <n v="9323"/>
    <x v="2"/>
    <b v="0"/>
    <x v="1"/>
    <x v="7"/>
    <n v="2025"/>
    <n v="2"/>
    <n v="6"/>
    <n v="2025"/>
    <n v="5"/>
    <s v="No"/>
    <x v="1"/>
    <s v="India"/>
    <x v="0"/>
    <s v="StayNest Valley"/>
    <x v="4"/>
    <s v="Resort"/>
    <n v="65"/>
    <x v="3"/>
    <s v="App Push"/>
    <d v="2025-08-06T00:00:00"/>
    <s v="No"/>
    <s v="No"/>
    <s v="Off-Peak"/>
    <x v="1"/>
    <n v="0"/>
    <s v="31–90 days"/>
  </r>
  <r>
    <s v="B000816"/>
    <s v="G00484"/>
    <s v="H011"/>
    <s v="CH04"/>
    <d v="2026-04-20T00:00:00"/>
    <d v="2026-06-19T00:00:00"/>
    <x v="2"/>
    <n v="2463"/>
    <x v="2"/>
    <b v="0"/>
    <x v="1"/>
    <x v="1"/>
    <n v="2026"/>
    <n v="4"/>
    <n v="4"/>
    <n v="2026"/>
    <n v="0"/>
    <s v="No"/>
    <x v="1"/>
    <s v="India"/>
    <x v="1"/>
    <s v="StayNest Grand"/>
    <x v="8"/>
    <s v="Business"/>
    <n v="110"/>
    <x v="4"/>
    <s v="Partner"/>
    <d v="2026-06-19T00:00:00"/>
    <s v="No"/>
    <s v="No"/>
    <s v="Shoulder"/>
    <x v="1"/>
    <n v="0"/>
    <s v="31–90 days"/>
  </r>
  <r>
    <s v="B000817"/>
    <s v="G00435"/>
    <s v="H010"/>
    <s v="CH04"/>
    <d v="2026-07-01T00:00:00"/>
    <d v="2026-07-02T00:00:00"/>
    <x v="1"/>
    <n v="5729"/>
    <x v="0"/>
    <b v="0"/>
    <x v="7"/>
    <x v="8"/>
    <n v="2026"/>
    <n v="3"/>
    <n v="7"/>
    <n v="2026"/>
    <n v="2"/>
    <s v="No"/>
    <x v="0"/>
    <s v="United States"/>
    <x v="0"/>
    <s v="StayNest Garden"/>
    <x v="10"/>
    <s v="Boutique"/>
    <n v="70"/>
    <x v="4"/>
    <s v="Partner"/>
    <d v="2026-07-02T00:00:00"/>
    <s v="No"/>
    <s v="No"/>
    <s v="Off-Peak"/>
    <x v="1"/>
    <n v="0"/>
    <s v="0–7 days"/>
  </r>
  <r>
    <s v="B000818"/>
    <s v="G00002"/>
    <s v="H010"/>
    <s v="CH05"/>
    <d v="2026-02-12T00:00:00"/>
    <d v="2026-07-12T00:00:00"/>
    <x v="0"/>
    <n v="4269"/>
    <x v="1"/>
    <b v="0"/>
    <x v="5"/>
    <x v="8"/>
    <n v="2026"/>
    <n v="6"/>
    <n v="2"/>
    <n v="2026"/>
    <n v="3"/>
    <s v="Yes"/>
    <x v="1"/>
    <s v="United States"/>
    <x v="0"/>
    <s v="StayNest Garden"/>
    <x v="10"/>
    <s v="Boutique"/>
    <n v="70"/>
    <x v="2"/>
    <s v="Corporate Rate"/>
    <d v="2026-07-12T00:00:00"/>
    <s v="Yes"/>
    <s v="No"/>
    <s v="Off-Peak"/>
    <x v="1"/>
    <n v="1"/>
    <s v="91–180 days"/>
  </r>
  <r>
    <s v="B000819"/>
    <s v="G00394"/>
    <s v="H011"/>
    <s v="CH02"/>
    <d v="2026-03-12T00:00:00"/>
    <d v="2026-03-15T00:00:00"/>
    <x v="3"/>
    <n v="6785"/>
    <x v="0"/>
    <b v="0"/>
    <x v="6"/>
    <x v="3"/>
    <n v="2026"/>
    <n v="6"/>
    <n v="3"/>
    <n v="2026"/>
    <n v="3"/>
    <s v="Yes"/>
    <x v="3"/>
    <s v="Singapore"/>
    <x v="0"/>
    <s v="StayNest Grand"/>
    <x v="8"/>
    <s v="Business"/>
    <n v="110"/>
    <x v="3"/>
    <s v="App Push"/>
    <d v="2026-03-15T00:00:00"/>
    <s v="Yes"/>
    <s v="No"/>
    <s v="Shoulder"/>
    <x v="1"/>
    <n v="0"/>
    <s v="0–7 days"/>
  </r>
  <r>
    <s v="B000820"/>
    <s v="G00530"/>
    <s v="H002"/>
    <s v="CH04"/>
    <d v="2025-03-26T00:00:00"/>
    <d v="2025-04-09T00:00:00"/>
    <x v="2"/>
    <n v="3845"/>
    <x v="2"/>
    <b v="0"/>
    <x v="3"/>
    <x v="2"/>
    <n v="2025"/>
    <n v="2"/>
    <n v="3"/>
    <n v="2025"/>
    <n v="2"/>
    <s v="No"/>
    <x v="0"/>
    <s v="India"/>
    <x v="0"/>
    <s v="StayNest Central"/>
    <x v="0"/>
    <s v="Business"/>
    <n v="150"/>
    <x v="4"/>
    <s v="Partner"/>
    <d v="2025-04-09T00:00:00"/>
    <s v="No"/>
    <s v="No"/>
    <s v="Peak"/>
    <x v="1"/>
    <n v="0"/>
    <s v="8–30 days"/>
  </r>
  <r>
    <s v="B000821"/>
    <s v="G00012"/>
    <s v="H008"/>
    <s v="CH06"/>
    <d v="2026-11-18T00:00:00"/>
    <d v="2026-12-02T00:00:00"/>
    <x v="2"/>
    <n v="3070"/>
    <x v="0"/>
    <b v="0"/>
    <x v="3"/>
    <x v="5"/>
    <n v="2026"/>
    <n v="2"/>
    <n v="11"/>
    <n v="2026"/>
    <n v="2"/>
    <s v="No"/>
    <x v="2"/>
    <s v="India"/>
    <x v="0"/>
    <s v="StayNest Palace"/>
    <x v="7"/>
    <s v="Heritage"/>
    <n v="85"/>
    <x v="0"/>
    <s v="Retention"/>
    <d v="2026-12-02T00:00:00"/>
    <s v="No"/>
    <s v="No"/>
    <s v="Peak"/>
    <x v="1"/>
    <n v="0"/>
    <s v="8–30 days"/>
  </r>
  <r>
    <s v="B000822"/>
    <s v="G00382"/>
    <s v="H008"/>
    <s v="CH06"/>
    <d v="2025-12-10T00:00:00"/>
    <d v="2026-03-20T00:00:00"/>
    <x v="3"/>
    <n v="9973"/>
    <x v="0"/>
    <b v="0"/>
    <x v="0"/>
    <x v="3"/>
    <n v="2026"/>
    <n v="4"/>
    <n v="12"/>
    <n v="2025"/>
    <n v="2"/>
    <s v="No"/>
    <x v="1"/>
    <s v="Unknown"/>
    <x v="0"/>
    <s v="StayNest Palace"/>
    <x v="7"/>
    <s v="Heritage"/>
    <n v="85"/>
    <x v="0"/>
    <s v="Retention"/>
    <d v="2026-03-20T00:00:00"/>
    <s v="No"/>
    <s v="No"/>
    <s v="Shoulder"/>
    <x v="1"/>
    <n v="0"/>
    <s v="91–180 days"/>
  </r>
  <r>
    <s v="B000823"/>
    <s v="G00008"/>
    <s v="H006"/>
    <s v="CH06"/>
    <d v="2026-08-28T00:00:00"/>
    <d v="2026-09-04T00:00:00"/>
    <x v="1"/>
    <n v="5163"/>
    <x v="0"/>
    <b v="0"/>
    <x v="4"/>
    <x v="10"/>
    <n v="2026"/>
    <n v="4"/>
    <n v="8"/>
    <n v="2026"/>
    <n v="4"/>
    <s v="No"/>
    <x v="0"/>
    <s v="India"/>
    <x v="1"/>
    <s v="StayNest Beach"/>
    <x v="3"/>
    <s v="Resort"/>
    <n v="100"/>
    <x v="0"/>
    <s v="Retention"/>
    <d v="2026-09-04T00:00:00"/>
    <s v="No"/>
    <s v="No"/>
    <s v="Shoulder"/>
    <x v="1"/>
    <n v="0"/>
    <s v="0–7 days"/>
  </r>
  <r>
    <s v="B000824"/>
    <s v="G00614"/>
    <s v="H011"/>
    <s v="CH03"/>
    <d v="2025-09-16T00:00:00"/>
    <d v="2025-09-30T00:00:00"/>
    <x v="3"/>
    <n v="7964"/>
    <x v="1"/>
    <b v="0"/>
    <x v="3"/>
    <x v="10"/>
    <n v="2025"/>
    <n v="1"/>
    <n v="9"/>
    <n v="2025"/>
    <n v="1"/>
    <s v="No"/>
    <x v="2"/>
    <s v="India"/>
    <x v="0"/>
    <s v="StayNest Grand"/>
    <x v="8"/>
    <s v="Business"/>
    <n v="110"/>
    <x v="1"/>
    <s v="OTA Promo"/>
    <d v="2025-09-30T00:00:00"/>
    <s v="No"/>
    <s v="No"/>
    <s v="Shoulder"/>
    <x v="1"/>
    <n v="1"/>
    <s v="8–30 days"/>
  </r>
  <r>
    <s v="B000825"/>
    <s v="G00333"/>
    <s v="H005"/>
    <s v="CH06"/>
    <d v="2025-02-06T00:00:00"/>
    <d v="2025-03-08T00:00:00"/>
    <x v="3"/>
    <n v="8536"/>
    <x v="1"/>
    <b v="0"/>
    <x v="2"/>
    <x v="3"/>
    <n v="2025"/>
    <n v="5"/>
    <n v="2"/>
    <n v="2025"/>
    <n v="3"/>
    <s v="Yes"/>
    <x v="1"/>
    <s v="India"/>
    <x v="0"/>
    <s v="StayNest Heritage"/>
    <x v="11"/>
    <s v="Heritage"/>
    <n v="90"/>
    <x v="0"/>
    <s v="Retention"/>
    <d v="2025-03-08T00:00:00"/>
    <s v="Yes"/>
    <s v="No"/>
    <s v="Shoulder"/>
    <x v="1"/>
    <n v="1"/>
    <s v="8–30 days"/>
  </r>
  <r>
    <s v="B000826"/>
    <s v="G00149"/>
    <s v="H011"/>
    <s v="CH04"/>
    <d v="2026-03-18T00:00:00"/>
    <d v="2026-06-26T00:00:00"/>
    <x v="3"/>
    <n v="10788"/>
    <x v="1"/>
    <b v="0"/>
    <x v="0"/>
    <x v="1"/>
    <n v="2026"/>
    <n v="4"/>
    <n v="3"/>
    <n v="2026"/>
    <n v="2"/>
    <s v="No"/>
    <x v="2"/>
    <s v="India"/>
    <x v="0"/>
    <s v="StayNest Grand"/>
    <x v="8"/>
    <s v="Business"/>
    <n v="110"/>
    <x v="4"/>
    <s v="Partner"/>
    <d v="2026-06-26T00:00:00"/>
    <s v="No"/>
    <s v="No"/>
    <s v="Shoulder"/>
    <x v="1"/>
    <n v="1"/>
    <s v="91–180 days"/>
  </r>
  <r>
    <s v="B000827"/>
    <s v="G00382"/>
    <s v="H001"/>
    <s v="CH02"/>
    <d v="2026-09-16T00:00:00"/>
    <d v="2027-04-24T00:00:00"/>
    <x v="2"/>
    <n v="3249"/>
    <x v="0"/>
    <b v="0"/>
    <x v="8"/>
    <x v="2"/>
    <n v="2027"/>
    <n v="5"/>
    <n v="9"/>
    <n v="2026"/>
    <n v="2"/>
    <s v="Yes"/>
    <x v="1"/>
    <s v="Unknown"/>
    <x v="0"/>
    <s v="StayNest Marina"/>
    <x v="1"/>
    <s v="Business"/>
    <n v="120"/>
    <x v="3"/>
    <s v="App Push"/>
    <m/>
    <s v="Unknown"/>
    <s v="Unknown"/>
    <s v="Unknown"/>
    <x v="0"/>
    <n v="0"/>
    <s v="181+ days"/>
  </r>
  <r>
    <s v="B000828"/>
    <s v="G00189"/>
    <s v="H012"/>
    <s v="CH03"/>
    <d v="2026-10-31T00:00:00"/>
    <d v="2026-12-30T00:00:00"/>
    <x v="2"/>
    <n v="4176"/>
    <x v="0"/>
    <b v="0"/>
    <x v="1"/>
    <x v="5"/>
    <n v="2026"/>
    <n v="2"/>
    <n v="10"/>
    <n v="2026"/>
    <n v="5"/>
    <s v="No"/>
    <x v="0"/>
    <s v="United Kingdom"/>
    <x v="1"/>
    <s v="StayNest Valley"/>
    <x v="4"/>
    <s v="Resort"/>
    <n v="65"/>
    <x v="1"/>
    <s v="OTA Promo"/>
    <d v="2026-12-30T00:00:00"/>
    <s v="No"/>
    <s v="No"/>
    <s v="Peak"/>
    <x v="1"/>
    <n v="0"/>
    <s v="31–90 days"/>
  </r>
  <r>
    <s v="B000829"/>
    <s v="G00250"/>
    <s v="H012"/>
    <s v="CH01"/>
    <d v="2026-01-19T00:00:00"/>
    <d v="2026-02-18T00:00:00"/>
    <x v="0"/>
    <n v="4260"/>
    <x v="2"/>
    <b v="0"/>
    <x v="2"/>
    <x v="0"/>
    <n v="2026"/>
    <n v="2"/>
    <n v="1"/>
    <n v="2026"/>
    <n v="0"/>
    <s v="No"/>
    <x v="3"/>
    <s v="India"/>
    <x v="0"/>
    <s v="StayNest Valley"/>
    <x v="4"/>
    <s v="Resort"/>
    <n v="65"/>
    <x v="5"/>
    <s v="Direct"/>
    <d v="2026-02-18T00:00:00"/>
    <s v="No"/>
    <s v="No"/>
    <s v="Shoulder"/>
    <x v="1"/>
    <n v="0"/>
    <s v="8–30 days"/>
  </r>
  <r>
    <s v="B000830"/>
    <s v="G00292"/>
    <s v="H005"/>
    <s v="CH01"/>
    <d v="2026-02-21T00:00:00"/>
    <d v="2026-02-28T00:00:00"/>
    <x v="1"/>
    <n v="7453"/>
    <x v="0"/>
    <b v="0"/>
    <x v="4"/>
    <x v="0"/>
    <n v="2026"/>
    <n v="5"/>
    <n v="2"/>
    <n v="2026"/>
    <n v="5"/>
    <s v="Yes"/>
    <x v="1"/>
    <s v="Singapore"/>
    <x v="0"/>
    <s v="StayNest Heritage"/>
    <x v="11"/>
    <s v="Heritage"/>
    <n v="90"/>
    <x v="5"/>
    <s v="Direct"/>
    <d v="2026-02-28T00:00:00"/>
    <s v="Yes"/>
    <s v="No"/>
    <s v="Shoulder"/>
    <x v="1"/>
    <n v="0"/>
    <s v="0–7 days"/>
  </r>
  <r>
    <s v="B000831"/>
    <s v="G00231"/>
    <s v="H001"/>
    <s v="CH06"/>
    <d v="2025-11-29T00:00:00"/>
    <d v="2025-12-06T00:00:00"/>
    <x v="3"/>
    <n v="11316"/>
    <x v="0"/>
    <b v="0"/>
    <x v="4"/>
    <x v="5"/>
    <n v="2025"/>
    <n v="5"/>
    <n v="11"/>
    <n v="2025"/>
    <n v="5"/>
    <s v="Yes"/>
    <x v="0"/>
    <s v="India"/>
    <x v="0"/>
    <s v="StayNest Marina"/>
    <x v="1"/>
    <s v="Business"/>
    <n v="120"/>
    <x v="0"/>
    <s v="Retention"/>
    <d v="2025-12-06T00:00:00"/>
    <s v="Yes"/>
    <s v="No"/>
    <s v="Peak"/>
    <x v="1"/>
    <n v="0"/>
    <s v="0–7 days"/>
  </r>
  <r>
    <s v="B000832"/>
    <s v="G00572"/>
    <s v="H001"/>
    <s v="CH03"/>
    <d v="2025-12-15T00:00:00"/>
    <d v="2025-12-22T00:00:00"/>
    <x v="1"/>
    <n v="7180"/>
    <x v="0"/>
    <b v="0"/>
    <x v="4"/>
    <x v="5"/>
    <n v="2025"/>
    <n v="0"/>
    <n v="12"/>
    <n v="2025"/>
    <n v="0"/>
    <s v="No"/>
    <x v="0"/>
    <s v="India"/>
    <x v="0"/>
    <s v="StayNest Marina"/>
    <x v="1"/>
    <s v="Business"/>
    <n v="120"/>
    <x v="1"/>
    <s v="OTA Promo"/>
    <d v="2025-12-22T00:00:00"/>
    <s v="No"/>
    <s v="No"/>
    <s v="Peak"/>
    <x v="1"/>
    <n v="0"/>
    <s v="0–7 days"/>
  </r>
  <r>
    <s v="B000833"/>
    <s v="G00034"/>
    <s v="H011"/>
    <s v="CH05"/>
    <d v="2025-03-22T00:00:00"/>
    <d v="2025-04-21T00:00:00"/>
    <x v="3"/>
    <n v="9524"/>
    <x v="2"/>
    <b v="0"/>
    <x v="2"/>
    <x v="2"/>
    <n v="2025"/>
    <n v="0"/>
    <n v="3"/>
    <n v="2025"/>
    <n v="5"/>
    <s v="No"/>
    <x v="2"/>
    <s v="India"/>
    <x v="0"/>
    <s v="StayNest Grand"/>
    <x v="8"/>
    <s v="Business"/>
    <n v="110"/>
    <x v="2"/>
    <s v="Corporate Rate"/>
    <d v="2025-04-21T00:00:00"/>
    <s v="No"/>
    <s v="No"/>
    <s v="Peak"/>
    <x v="1"/>
    <n v="0"/>
    <s v="8–30 days"/>
  </r>
  <r>
    <s v="B000834"/>
    <s v="G00031"/>
    <s v="H003"/>
    <s v="CH05"/>
    <d v="2026-08-22T00:00:00"/>
    <d v="2026-08-25T00:00:00"/>
    <x v="3"/>
    <n v="6691"/>
    <x v="0"/>
    <b v="0"/>
    <x v="6"/>
    <x v="7"/>
    <n v="2026"/>
    <n v="1"/>
    <n v="8"/>
    <n v="2026"/>
    <n v="5"/>
    <s v="No"/>
    <x v="1"/>
    <s v="India"/>
    <x v="0"/>
    <s v="StayNest Hills"/>
    <x v="5"/>
    <s v="Resort"/>
    <n v="80"/>
    <x v="2"/>
    <s v="Corporate Rate"/>
    <d v="2026-08-25T00:00:00"/>
    <s v="No"/>
    <s v="No"/>
    <s v="Off-Peak"/>
    <x v="1"/>
    <n v="0"/>
    <s v="0–7 days"/>
  </r>
  <r>
    <s v="B000835"/>
    <s v="G00241"/>
    <s v="H007"/>
    <s v="CH05"/>
    <d v="2025-05-15T00:00:00"/>
    <d v="2025-05-29T00:00:00"/>
    <x v="2"/>
    <n v="3010"/>
    <x v="0"/>
    <b v="0"/>
    <x v="3"/>
    <x v="9"/>
    <n v="2025"/>
    <n v="3"/>
    <n v="5"/>
    <n v="2025"/>
    <n v="3"/>
    <s v="No"/>
    <x v="1"/>
    <s v="Germany"/>
    <x v="0"/>
    <s v="StayNest Tech Park"/>
    <x v="6"/>
    <s v="Business"/>
    <n v="140"/>
    <x v="2"/>
    <s v="Corporate Rate"/>
    <d v="2025-05-29T00:00:00"/>
    <s v="No"/>
    <s v="No"/>
    <s v="Peak"/>
    <x v="1"/>
    <n v="0"/>
    <s v="8–30 days"/>
  </r>
  <r>
    <s v="B000836"/>
    <s v="G00411"/>
    <s v="H009"/>
    <s v="CH04"/>
    <d v="2025-12-27T00:00:00"/>
    <d v="2026-02-25T00:00:00"/>
    <x v="1"/>
    <n v="7581"/>
    <x v="3"/>
    <b v="0"/>
    <x v="1"/>
    <x v="0"/>
    <n v="2026"/>
    <n v="2"/>
    <n v="12"/>
    <n v="2025"/>
    <n v="5"/>
    <s v="No"/>
    <x v="3"/>
    <s v="India"/>
    <x v="0"/>
    <s v="StayNest Airport"/>
    <x v="9"/>
    <s v="Business"/>
    <n v="160"/>
    <x v="4"/>
    <s v="Partner"/>
    <d v="2026-02-25T00:00:00"/>
    <s v="No"/>
    <s v="No"/>
    <s v="Shoulder"/>
    <x v="1"/>
    <n v="0"/>
    <s v="31–90 days"/>
  </r>
  <r>
    <s v="B000837"/>
    <s v="G00326"/>
    <s v="H009"/>
    <s v="CH05"/>
    <d v="2026-06-30T00:00:00"/>
    <d v="2026-07-14T00:00:00"/>
    <x v="1"/>
    <n v="8383"/>
    <x v="2"/>
    <b v="0"/>
    <x v="3"/>
    <x v="8"/>
    <n v="2026"/>
    <n v="1"/>
    <n v="6"/>
    <n v="2026"/>
    <n v="1"/>
    <s v="No"/>
    <x v="3"/>
    <s v="India"/>
    <x v="0"/>
    <s v="StayNest Airport"/>
    <x v="9"/>
    <s v="Business"/>
    <n v="160"/>
    <x v="2"/>
    <s v="Corporate Rate"/>
    <d v="2026-07-14T00:00:00"/>
    <s v="No"/>
    <s v="No"/>
    <s v="Off-Peak"/>
    <x v="1"/>
    <n v="0"/>
    <s v="8–30 days"/>
  </r>
  <r>
    <s v="B000838"/>
    <s v="G00410"/>
    <s v="H005"/>
    <s v="CH01"/>
    <d v="2026-06-30T00:00:00"/>
    <d v="2026-10-08T00:00:00"/>
    <x v="1"/>
    <n v="7376"/>
    <x v="0"/>
    <b v="0"/>
    <x v="0"/>
    <x v="11"/>
    <n v="2026"/>
    <n v="3"/>
    <n v="6"/>
    <n v="2026"/>
    <n v="1"/>
    <s v="No"/>
    <x v="0"/>
    <s v="India"/>
    <x v="0"/>
    <s v="StayNest Heritage"/>
    <x v="11"/>
    <s v="Heritage"/>
    <n v="90"/>
    <x v="5"/>
    <s v="Direct"/>
    <d v="2026-10-08T00:00:00"/>
    <s v="No"/>
    <s v="No"/>
    <s v="Shoulder"/>
    <x v="1"/>
    <n v="0"/>
    <s v="91–180 days"/>
  </r>
  <r>
    <s v="B000839"/>
    <s v="G00030"/>
    <s v="H010"/>
    <s v="CH02"/>
    <d v="2025-05-22T00:00:00"/>
    <d v="2025-06-21T00:00:00"/>
    <x v="2"/>
    <n v="3368"/>
    <x v="0"/>
    <b v="0"/>
    <x v="2"/>
    <x v="1"/>
    <n v="2025"/>
    <n v="5"/>
    <n v="5"/>
    <n v="2025"/>
    <n v="3"/>
    <s v="Yes"/>
    <x v="3"/>
    <s v="India"/>
    <x v="1"/>
    <s v="StayNest Garden"/>
    <x v="10"/>
    <s v="Boutique"/>
    <n v="70"/>
    <x v="3"/>
    <s v="App Push"/>
    <d v="2025-06-21T00:00:00"/>
    <s v="Yes"/>
    <s v="No"/>
    <s v="Shoulder"/>
    <x v="1"/>
    <n v="0"/>
    <s v="8–30 days"/>
  </r>
  <r>
    <s v="B000840"/>
    <s v="G00094"/>
    <s v="H006"/>
    <s v="CH01"/>
    <d v="2026-09-08T00:00:00"/>
    <d v="2026-12-17T00:00:00"/>
    <x v="1"/>
    <n v="6875"/>
    <x v="0"/>
    <b v="0"/>
    <x v="0"/>
    <x v="5"/>
    <n v="2026"/>
    <n v="3"/>
    <n v="9"/>
    <n v="2026"/>
    <n v="1"/>
    <s v="No"/>
    <x v="3"/>
    <s v="United States"/>
    <x v="1"/>
    <s v="StayNest Beach"/>
    <x v="3"/>
    <s v="Resort"/>
    <n v="100"/>
    <x v="5"/>
    <s v="Direct"/>
    <d v="2026-12-17T00:00:00"/>
    <s v="No"/>
    <s v="No"/>
    <s v="Peak"/>
    <x v="1"/>
    <n v="0"/>
    <s v="91–180 days"/>
  </r>
  <r>
    <s v="B000841"/>
    <s v="G00205"/>
    <s v="H006"/>
    <s v="CH02"/>
    <d v="2025-10-28T00:00:00"/>
    <d v="2025-10-29T00:00:00"/>
    <x v="2"/>
    <n v="3382"/>
    <x v="0"/>
    <b v="0"/>
    <x v="7"/>
    <x v="11"/>
    <n v="2025"/>
    <n v="2"/>
    <n v="10"/>
    <n v="2025"/>
    <n v="1"/>
    <s v="No"/>
    <x v="3"/>
    <s v="India"/>
    <x v="0"/>
    <s v="StayNest Beach"/>
    <x v="3"/>
    <s v="Resort"/>
    <n v="100"/>
    <x v="3"/>
    <s v="App Push"/>
    <d v="2025-10-29T00:00:00"/>
    <s v="No"/>
    <s v="No"/>
    <s v="Shoulder"/>
    <x v="1"/>
    <n v="0"/>
    <s v="0–7 days"/>
  </r>
  <r>
    <s v="B000842"/>
    <s v="G00182"/>
    <s v="H008"/>
    <s v="CH05"/>
    <d v="2026-10-19T00:00:00"/>
    <d v="2026-10-22T00:00:00"/>
    <x v="3"/>
    <n v="7072"/>
    <x v="0"/>
    <b v="0"/>
    <x v="6"/>
    <x v="11"/>
    <n v="2026"/>
    <n v="3"/>
    <n v="10"/>
    <n v="2026"/>
    <n v="0"/>
    <s v="No"/>
    <x v="1"/>
    <s v="India"/>
    <x v="0"/>
    <s v="StayNest Palace"/>
    <x v="7"/>
    <s v="Heritage"/>
    <n v="85"/>
    <x v="2"/>
    <s v="Corporate Rate"/>
    <d v="2026-10-22T00:00:00"/>
    <s v="No"/>
    <s v="No"/>
    <s v="Shoulder"/>
    <x v="1"/>
    <n v="0"/>
    <s v="0–7 days"/>
  </r>
  <r>
    <s v="B000843"/>
    <s v="G00533"/>
    <s v="H008"/>
    <s v="CH04"/>
    <d v="2025-03-14T00:00:00"/>
    <d v="2025-05-13T00:00:00"/>
    <x v="3"/>
    <n v="11800"/>
    <x v="2"/>
    <b v="0"/>
    <x v="1"/>
    <x v="9"/>
    <n v="2025"/>
    <n v="1"/>
    <n v="3"/>
    <n v="2025"/>
    <n v="4"/>
    <s v="No"/>
    <x v="1"/>
    <s v="India"/>
    <x v="0"/>
    <s v="StayNest Palace"/>
    <x v="7"/>
    <s v="Heritage"/>
    <n v="85"/>
    <x v="4"/>
    <s v="Partner"/>
    <d v="2025-05-13T00:00:00"/>
    <s v="No"/>
    <s v="No"/>
    <s v="Peak"/>
    <x v="1"/>
    <n v="0"/>
    <s v="31–90 days"/>
  </r>
  <r>
    <s v="B000844"/>
    <s v="G00062"/>
    <s v="H005"/>
    <s v="CH04"/>
    <d v="2025-02-10T00:00:00"/>
    <d v="2025-02-24T00:00:00"/>
    <x v="1"/>
    <n v="5597"/>
    <x v="0"/>
    <b v="0"/>
    <x v="3"/>
    <x v="0"/>
    <n v="2025"/>
    <n v="0"/>
    <n v="2"/>
    <n v="2025"/>
    <n v="0"/>
    <s v="No"/>
    <x v="1"/>
    <s v="India"/>
    <x v="0"/>
    <s v="StayNest Heritage"/>
    <x v="11"/>
    <s v="Heritage"/>
    <n v="90"/>
    <x v="4"/>
    <s v="Partner"/>
    <d v="2025-02-24T00:00:00"/>
    <s v="No"/>
    <s v="No"/>
    <s v="Shoulder"/>
    <x v="1"/>
    <n v="0"/>
    <s v="8–30 days"/>
  </r>
  <r>
    <s v="B000845"/>
    <s v="G00115"/>
    <s v="H012"/>
    <s v="CH02"/>
    <d v="2026-01-11T00:00:00"/>
    <d v="2026-01-25T00:00:00"/>
    <x v="3"/>
    <n v="10453"/>
    <x v="2"/>
    <b v="0"/>
    <x v="3"/>
    <x v="6"/>
    <n v="2026"/>
    <n v="6"/>
    <n v="1"/>
    <n v="2026"/>
    <n v="6"/>
    <s v="Yes"/>
    <x v="1"/>
    <s v="India"/>
    <x v="0"/>
    <s v="StayNest Valley"/>
    <x v="4"/>
    <s v="Resort"/>
    <n v="65"/>
    <x v="3"/>
    <s v="App Push"/>
    <d v="2026-01-25T00:00:00"/>
    <s v="Yes"/>
    <s v="No"/>
    <s v="Off-Peak"/>
    <x v="1"/>
    <n v="0"/>
    <s v="8–30 days"/>
  </r>
  <r>
    <s v="B000846"/>
    <s v="G00470"/>
    <s v="H012"/>
    <s v="CH04"/>
    <d v="2025-09-08T00:00:00"/>
    <d v="2025-11-07T00:00:00"/>
    <x v="3"/>
    <n v="9208"/>
    <x v="0"/>
    <b v="0"/>
    <x v="1"/>
    <x v="4"/>
    <n v="2025"/>
    <n v="4"/>
    <n v="9"/>
    <n v="2025"/>
    <n v="0"/>
    <s v="No"/>
    <x v="3"/>
    <s v="India"/>
    <x v="0"/>
    <s v="StayNest Valley"/>
    <x v="4"/>
    <s v="Resort"/>
    <n v="65"/>
    <x v="4"/>
    <s v="Partner"/>
    <d v="2025-11-07T00:00:00"/>
    <s v="No"/>
    <s v="No"/>
    <s v="Off-Peak"/>
    <x v="1"/>
    <n v="0"/>
    <s v="31–90 days"/>
  </r>
  <r>
    <s v="B000847"/>
    <s v="G00037"/>
    <s v="H003"/>
    <s v="CH02"/>
    <d v="2026-06-19T00:00:00"/>
    <d v="2026-06-26T00:00:00"/>
    <x v="0"/>
    <n v="4985"/>
    <x v="0"/>
    <b v="0"/>
    <x v="4"/>
    <x v="1"/>
    <n v="2026"/>
    <n v="4"/>
    <n v="6"/>
    <n v="2026"/>
    <n v="4"/>
    <s v="No"/>
    <x v="3"/>
    <s v="Germany"/>
    <x v="0"/>
    <s v="StayNest Hills"/>
    <x v="5"/>
    <s v="Resort"/>
    <n v="80"/>
    <x v="3"/>
    <s v="App Push"/>
    <d v="2026-06-26T00:00:00"/>
    <s v="No"/>
    <s v="No"/>
    <s v="Shoulder"/>
    <x v="1"/>
    <n v="0"/>
    <s v="0–7 days"/>
  </r>
  <r>
    <s v="B000848"/>
    <s v="G00487"/>
    <s v="H012"/>
    <s v="CH04"/>
    <d v="2026-11-21T00:00:00"/>
    <d v="2026-11-28T00:00:00"/>
    <x v="0"/>
    <n v="4697"/>
    <x v="1"/>
    <b v="0"/>
    <x v="4"/>
    <x v="4"/>
    <n v="2026"/>
    <n v="5"/>
    <n v="11"/>
    <n v="2026"/>
    <n v="5"/>
    <s v="Yes"/>
    <x v="0"/>
    <s v="India"/>
    <x v="0"/>
    <s v="StayNest Valley"/>
    <x v="4"/>
    <s v="Resort"/>
    <n v="65"/>
    <x v="4"/>
    <s v="Partner"/>
    <d v="2026-11-28T00:00:00"/>
    <s v="Yes"/>
    <s v="No"/>
    <s v="Off-Peak"/>
    <x v="1"/>
    <n v="1"/>
    <s v="0–7 days"/>
  </r>
  <r>
    <s v="B000849"/>
    <s v="G00217"/>
    <s v="H010"/>
    <s v="CH03"/>
    <d v="2025-06-01T00:00:00"/>
    <d v="2025-07-01T00:00:00"/>
    <x v="3"/>
    <n v="10733"/>
    <x v="3"/>
    <b v="0"/>
    <x v="2"/>
    <x v="8"/>
    <n v="2025"/>
    <n v="1"/>
    <n v="6"/>
    <n v="2025"/>
    <n v="6"/>
    <s v="No"/>
    <x v="3"/>
    <s v="India"/>
    <x v="1"/>
    <s v="StayNest Garden"/>
    <x v="10"/>
    <s v="Boutique"/>
    <n v="70"/>
    <x v="1"/>
    <s v="OTA Promo"/>
    <d v="2025-07-01T00:00:00"/>
    <s v="No"/>
    <s v="No"/>
    <s v="Off-Peak"/>
    <x v="1"/>
    <n v="0"/>
    <s v="8–30 days"/>
  </r>
  <r>
    <s v="B000850"/>
    <s v="G00160"/>
    <s v="H010"/>
    <s v="CH05"/>
    <d v="2025-11-18T00:00:00"/>
    <d v="2025-12-18T00:00:00"/>
    <x v="1"/>
    <n v="6974"/>
    <x v="0"/>
    <b v="0"/>
    <x v="2"/>
    <x v="5"/>
    <n v="2025"/>
    <n v="3"/>
    <n v="11"/>
    <n v="2025"/>
    <n v="1"/>
    <s v="No"/>
    <x v="0"/>
    <s v="Unknown"/>
    <x v="0"/>
    <s v="StayNest Garden"/>
    <x v="10"/>
    <s v="Boutique"/>
    <n v="70"/>
    <x v="2"/>
    <s v="Corporate Rate"/>
    <d v="2025-12-18T00:00:00"/>
    <s v="No"/>
    <s v="No"/>
    <s v="Peak"/>
    <x v="1"/>
    <n v="0"/>
    <s v="8–30 days"/>
  </r>
  <r>
    <s v="B000851"/>
    <s v="G00067"/>
    <s v="H006"/>
    <s v="CH02"/>
    <d v="2025-11-13T00:00:00"/>
    <d v="2025-11-20T00:00:00"/>
    <x v="0"/>
    <n v="3989"/>
    <x v="2"/>
    <b v="0"/>
    <x v="4"/>
    <x v="4"/>
    <n v="2025"/>
    <n v="3"/>
    <n v="11"/>
    <n v="2025"/>
    <n v="3"/>
    <s v="No"/>
    <x v="2"/>
    <s v="Singapore"/>
    <x v="0"/>
    <s v="StayNest Beach"/>
    <x v="3"/>
    <s v="Resort"/>
    <n v="100"/>
    <x v="3"/>
    <s v="App Push"/>
    <d v="2025-11-20T00:00:00"/>
    <s v="No"/>
    <s v="No"/>
    <s v="Off-Peak"/>
    <x v="1"/>
    <n v="0"/>
    <s v="0–7 days"/>
  </r>
  <r>
    <s v="B000852"/>
    <s v="G00013"/>
    <s v="H012"/>
    <s v="CH05"/>
    <d v="2025-08-22T00:00:00"/>
    <d v="2025-10-21T00:00:00"/>
    <x v="3"/>
    <n v="9199"/>
    <x v="0"/>
    <b v="0"/>
    <x v="1"/>
    <x v="11"/>
    <n v="2025"/>
    <n v="1"/>
    <n v="8"/>
    <n v="2025"/>
    <n v="4"/>
    <s v="No"/>
    <x v="0"/>
    <s v="India"/>
    <x v="0"/>
    <s v="StayNest Valley"/>
    <x v="4"/>
    <s v="Resort"/>
    <n v="65"/>
    <x v="2"/>
    <s v="Corporate Rate"/>
    <d v="2025-10-21T00:00:00"/>
    <s v="No"/>
    <s v="No"/>
    <s v="Shoulder"/>
    <x v="1"/>
    <n v="0"/>
    <s v="31–90 days"/>
  </r>
  <r>
    <s v="B000853"/>
    <s v="G00551"/>
    <s v="H002"/>
    <s v="CH01"/>
    <d v="2026-04-03T00:00:00"/>
    <d v="2026-05-03T00:00:00"/>
    <x v="0"/>
    <n v="4248"/>
    <x v="0"/>
    <b v="0"/>
    <x v="2"/>
    <x v="9"/>
    <n v="2026"/>
    <n v="6"/>
    <n v="4"/>
    <n v="2026"/>
    <n v="4"/>
    <s v="Yes"/>
    <x v="3"/>
    <s v="India"/>
    <x v="0"/>
    <s v="StayNest Central"/>
    <x v="0"/>
    <s v="Business"/>
    <n v="150"/>
    <x v="5"/>
    <s v="Direct"/>
    <d v="2026-05-03T00:00:00"/>
    <s v="Yes"/>
    <s v="No"/>
    <s v="Peak"/>
    <x v="1"/>
    <n v="0"/>
    <s v="8–30 days"/>
  </r>
  <r>
    <s v="B000854"/>
    <s v="G00042"/>
    <s v="H010"/>
    <s v="CH03"/>
    <d v="2026-07-20T00:00:00"/>
    <d v="2026-07-27T00:00:00"/>
    <x v="0"/>
    <n v="4042"/>
    <x v="1"/>
    <b v="0"/>
    <x v="4"/>
    <x v="8"/>
    <n v="2026"/>
    <n v="0"/>
    <n v="7"/>
    <n v="2026"/>
    <n v="0"/>
    <s v="No"/>
    <x v="3"/>
    <s v="India"/>
    <x v="0"/>
    <s v="StayNest Garden"/>
    <x v="10"/>
    <s v="Boutique"/>
    <n v="70"/>
    <x v="1"/>
    <s v="OTA Promo"/>
    <d v="2026-07-27T00:00:00"/>
    <s v="No"/>
    <s v="No"/>
    <s v="Off-Peak"/>
    <x v="1"/>
    <n v="1"/>
    <s v="0–7 days"/>
  </r>
  <r>
    <s v="B000855"/>
    <s v="G00600"/>
    <s v="H010"/>
    <s v="CH04"/>
    <d v="2026-04-21T00:00:00"/>
    <d v="2026-04-24T00:00:00"/>
    <x v="2"/>
    <n v="3817"/>
    <x v="1"/>
    <b v="0"/>
    <x v="6"/>
    <x v="2"/>
    <n v="2026"/>
    <n v="4"/>
    <n v="4"/>
    <n v="2026"/>
    <n v="1"/>
    <s v="No"/>
    <x v="3"/>
    <s v="India"/>
    <x v="0"/>
    <s v="StayNest Garden"/>
    <x v="10"/>
    <s v="Boutique"/>
    <n v="70"/>
    <x v="4"/>
    <s v="Partner"/>
    <d v="2026-04-24T00:00:00"/>
    <s v="No"/>
    <s v="No"/>
    <s v="Peak"/>
    <x v="1"/>
    <n v="1"/>
    <s v="0–7 days"/>
  </r>
  <r>
    <s v="B000856"/>
    <s v="G00203"/>
    <s v="H002"/>
    <s v="CH05"/>
    <d v="2026-08-27T00:00:00"/>
    <d v="2026-09-03T00:00:00"/>
    <x v="1"/>
    <n v="6760"/>
    <x v="2"/>
    <b v="0"/>
    <x v="4"/>
    <x v="10"/>
    <n v="2026"/>
    <n v="3"/>
    <n v="8"/>
    <n v="2026"/>
    <n v="3"/>
    <s v="No"/>
    <x v="3"/>
    <s v="United Kingdom"/>
    <x v="1"/>
    <s v="StayNest Central"/>
    <x v="0"/>
    <s v="Business"/>
    <n v="150"/>
    <x v="2"/>
    <s v="Corporate Rate"/>
    <d v="2026-09-03T00:00:00"/>
    <s v="No"/>
    <s v="No"/>
    <s v="Shoulder"/>
    <x v="1"/>
    <n v="0"/>
    <s v="0–7 days"/>
  </r>
  <r>
    <s v="B000857"/>
    <s v="G00200"/>
    <s v="H010"/>
    <s v="CH06"/>
    <d v="2026-09-22T00:00:00"/>
    <d v="2026-11-21T00:00:00"/>
    <x v="2"/>
    <n v="3745"/>
    <x v="0"/>
    <b v="0"/>
    <x v="1"/>
    <x v="4"/>
    <n v="2026"/>
    <n v="5"/>
    <n v="9"/>
    <n v="2026"/>
    <n v="1"/>
    <s v="Yes"/>
    <x v="1"/>
    <s v="India"/>
    <x v="0"/>
    <s v="StayNest Garden"/>
    <x v="10"/>
    <s v="Boutique"/>
    <n v="70"/>
    <x v="0"/>
    <s v="Retention"/>
    <d v="2026-11-21T00:00:00"/>
    <s v="Yes"/>
    <s v="No"/>
    <s v="Off-Peak"/>
    <x v="1"/>
    <n v="0"/>
    <s v="31–90 days"/>
  </r>
  <r>
    <s v="B000858"/>
    <s v="G00527"/>
    <s v="H005"/>
    <s v="CH06"/>
    <d v="2025-11-03T00:00:00"/>
    <d v="2025-11-10T00:00:00"/>
    <x v="0"/>
    <n v="5798"/>
    <x v="1"/>
    <b v="0"/>
    <x v="4"/>
    <x v="4"/>
    <n v="2025"/>
    <n v="0"/>
    <n v="11"/>
    <n v="2025"/>
    <n v="0"/>
    <s v="No"/>
    <x v="1"/>
    <s v="Germany"/>
    <x v="0"/>
    <s v="StayNest Heritage"/>
    <x v="11"/>
    <s v="Heritage"/>
    <n v="90"/>
    <x v="0"/>
    <s v="Retention"/>
    <d v="2025-11-10T00:00:00"/>
    <s v="No"/>
    <s v="No"/>
    <s v="Off-Peak"/>
    <x v="1"/>
    <n v="1"/>
    <s v="0–7 days"/>
  </r>
  <r>
    <s v="B000859"/>
    <s v="G00187"/>
    <s v="H008"/>
    <s v="CH01"/>
    <d v="2025-11-23T00:00:00"/>
    <d v="2026-03-03T00:00:00"/>
    <x v="1"/>
    <n v="8114"/>
    <x v="2"/>
    <b v="0"/>
    <x v="0"/>
    <x v="3"/>
    <n v="2026"/>
    <n v="1"/>
    <n v="11"/>
    <n v="2025"/>
    <n v="6"/>
    <s v="No"/>
    <x v="0"/>
    <s v="India"/>
    <x v="0"/>
    <s v="StayNest Palace"/>
    <x v="7"/>
    <s v="Heritage"/>
    <n v="85"/>
    <x v="5"/>
    <s v="Direct"/>
    <d v="2026-03-03T00:00:00"/>
    <s v="No"/>
    <s v="No"/>
    <s v="Shoulder"/>
    <x v="1"/>
    <n v="0"/>
    <s v="91–180 days"/>
  </r>
  <r>
    <s v="B000860"/>
    <s v="G00454"/>
    <s v="H006"/>
    <s v="CH06"/>
    <d v="2026-07-06T00:00:00"/>
    <d v="2026-10-14T00:00:00"/>
    <x v="0"/>
    <n v="4449"/>
    <x v="0"/>
    <b v="0"/>
    <x v="0"/>
    <x v="11"/>
    <n v="2026"/>
    <n v="2"/>
    <n v="7"/>
    <n v="2026"/>
    <n v="0"/>
    <s v="No"/>
    <x v="3"/>
    <s v="India"/>
    <x v="0"/>
    <s v="StayNest Beach"/>
    <x v="3"/>
    <s v="Resort"/>
    <n v="100"/>
    <x v="0"/>
    <s v="Retention"/>
    <d v="2026-10-14T00:00:00"/>
    <s v="No"/>
    <s v="No"/>
    <s v="Shoulder"/>
    <x v="1"/>
    <n v="0"/>
    <s v="91–180 days"/>
  </r>
  <r>
    <s v="B000861"/>
    <s v="G00106"/>
    <s v="H011"/>
    <s v="CH03"/>
    <d v="2026-09-17T00:00:00"/>
    <d v="2026-09-24T00:00:00"/>
    <x v="0"/>
    <n v="4286"/>
    <x v="1"/>
    <b v="0"/>
    <x v="4"/>
    <x v="10"/>
    <n v="2026"/>
    <n v="3"/>
    <n v="9"/>
    <n v="2026"/>
    <n v="3"/>
    <s v="No"/>
    <x v="2"/>
    <s v="India"/>
    <x v="0"/>
    <s v="StayNest Grand"/>
    <x v="8"/>
    <s v="Business"/>
    <n v="110"/>
    <x v="1"/>
    <s v="OTA Promo"/>
    <d v="2026-09-24T00:00:00"/>
    <s v="No"/>
    <s v="No"/>
    <s v="Shoulder"/>
    <x v="1"/>
    <n v="1"/>
    <s v="0–7 days"/>
  </r>
  <r>
    <s v="B000862"/>
    <s v="G00161"/>
    <s v="H006"/>
    <s v="CH05"/>
    <d v="2026-05-01T00:00:00"/>
    <d v="2026-05-31T00:00:00"/>
    <x v="1"/>
    <n v="8827"/>
    <x v="0"/>
    <b v="0"/>
    <x v="2"/>
    <x v="9"/>
    <n v="2026"/>
    <n v="6"/>
    <n v="5"/>
    <n v="2026"/>
    <n v="4"/>
    <s v="Yes"/>
    <x v="3"/>
    <s v="India"/>
    <x v="0"/>
    <s v="StayNest Beach"/>
    <x v="3"/>
    <s v="Resort"/>
    <n v="100"/>
    <x v="2"/>
    <s v="Corporate Rate"/>
    <d v="2026-05-31T00:00:00"/>
    <s v="Yes"/>
    <s v="No"/>
    <s v="Peak"/>
    <x v="1"/>
    <n v="0"/>
    <s v="8–30 days"/>
  </r>
  <r>
    <s v="B000863"/>
    <s v="G00342"/>
    <s v="H012"/>
    <s v="CH03"/>
    <d v="2025-11-19T00:00:00"/>
    <d v="2025-12-03T00:00:00"/>
    <x v="1"/>
    <n v="8122"/>
    <x v="1"/>
    <b v="0"/>
    <x v="3"/>
    <x v="5"/>
    <n v="2025"/>
    <n v="2"/>
    <n v="11"/>
    <n v="2025"/>
    <n v="2"/>
    <s v="No"/>
    <x v="1"/>
    <s v="India"/>
    <x v="0"/>
    <s v="StayNest Valley"/>
    <x v="4"/>
    <s v="Resort"/>
    <n v="65"/>
    <x v="1"/>
    <s v="OTA Promo"/>
    <d v="2025-12-03T00:00:00"/>
    <s v="No"/>
    <s v="No"/>
    <s v="Peak"/>
    <x v="1"/>
    <n v="1"/>
    <s v="8–30 days"/>
  </r>
  <r>
    <s v="B000864"/>
    <s v="G00419"/>
    <s v="H006"/>
    <s v="CH06"/>
    <d v="2025-05-24T00:00:00"/>
    <d v="2025-12-30T00:00:00"/>
    <x v="3"/>
    <n v="8208"/>
    <x v="1"/>
    <b v="0"/>
    <x v="8"/>
    <x v="5"/>
    <n v="2025"/>
    <n v="1"/>
    <n v="5"/>
    <n v="2025"/>
    <n v="5"/>
    <s v="No"/>
    <x v="2"/>
    <s v="India"/>
    <x v="0"/>
    <s v="StayNest Beach"/>
    <x v="3"/>
    <s v="Resort"/>
    <n v="100"/>
    <x v="0"/>
    <s v="Retention"/>
    <d v="2025-12-30T00:00:00"/>
    <s v="No"/>
    <s v="No"/>
    <s v="Peak"/>
    <x v="1"/>
    <n v="1"/>
    <s v="181+ days"/>
  </r>
  <r>
    <s v="B000865"/>
    <s v="G00383"/>
    <s v="H001"/>
    <s v="CH03"/>
    <d v="2026-03-14T00:00:00"/>
    <d v="2026-05-13T00:00:00"/>
    <x v="3"/>
    <n v="8261"/>
    <x v="0"/>
    <b v="0"/>
    <x v="1"/>
    <x v="9"/>
    <n v="2026"/>
    <n v="2"/>
    <n v="3"/>
    <n v="2026"/>
    <n v="5"/>
    <s v="No"/>
    <x v="0"/>
    <s v="India"/>
    <x v="1"/>
    <s v="StayNest Marina"/>
    <x v="1"/>
    <s v="Business"/>
    <n v="120"/>
    <x v="1"/>
    <s v="OTA Promo"/>
    <d v="2026-05-13T00:00:00"/>
    <s v="No"/>
    <s v="No"/>
    <s v="Peak"/>
    <x v="1"/>
    <n v="0"/>
    <s v="31–90 days"/>
  </r>
  <r>
    <s v="B000866"/>
    <s v="G00249"/>
    <s v="H003"/>
    <s v="CH03"/>
    <d v="2026-05-07T00:00:00"/>
    <d v="2026-10-04T00:00:00"/>
    <x v="1"/>
    <n v="6023"/>
    <x v="0"/>
    <b v="0"/>
    <x v="5"/>
    <x v="11"/>
    <n v="2026"/>
    <n v="6"/>
    <n v="5"/>
    <n v="2026"/>
    <n v="3"/>
    <s v="Yes"/>
    <x v="1"/>
    <s v="Germany"/>
    <x v="0"/>
    <s v="StayNest Hills"/>
    <x v="5"/>
    <s v="Resort"/>
    <n v="80"/>
    <x v="1"/>
    <s v="OTA Promo"/>
    <d v="2026-10-04T00:00:00"/>
    <s v="Yes"/>
    <s v="No"/>
    <s v="Shoulder"/>
    <x v="1"/>
    <n v="0"/>
    <s v="91–180 days"/>
  </r>
  <r>
    <s v="B000867"/>
    <s v="G00104"/>
    <s v="H001"/>
    <s v="CH06"/>
    <d v="2025-12-17T00:00:00"/>
    <d v="2025-12-24T00:00:00"/>
    <x v="3"/>
    <n v="7409"/>
    <x v="0"/>
    <b v="0"/>
    <x v="4"/>
    <x v="5"/>
    <n v="2025"/>
    <n v="2"/>
    <n v="12"/>
    <n v="2025"/>
    <n v="2"/>
    <s v="No"/>
    <x v="2"/>
    <s v="UAE"/>
    <x v="1"/>
    <s v="StayNest Marina"/>
    <x v="1"/>
    <s v="Business"/>
    <n v="120"/>
    <x v="0"/>
    <s v="Retention"/>
    <d v="2025-12-24T00:00:00"/>
    <s v="No"/>
    <s v="No"/>
    <s v="Peak"/>
    <x v="1"/>
    <n v="0"/>
    <s v="0–7 days"/>
  </r>
  <r>
    <s v="B000868"/>
    <s v="G00424"/>
    <s v="H003"/>
    <s v="CH02"/>
    <d v="2026-08-27T00:00:00"/>
    <d v="2026-09-03T00:00:00"/>
    <x v="0"/>
    <n v="5295"/>
    <x v="0"/>
    <b v="0"/>
    <x v="4"/>
    <x v="10"/>
    <n v="2026"/>
    <n v="3"/>
    <n v="8"/>
    <n v="2026"/>
    <n v="3"/>
    <s v="No"/>
    <x v="3"/>
    <s v="India"/>
    <x v="0"/>
    <s v="StayNest Hills"/>
    <x v="5"/>
    <s v="Resort"/>
    <n v="80"/>
    <x v="3"/>
    <s v="App Push"/>
    <d v="2026-09-03T00:00:00"/>
    <s v="No"/>
    <s v="No"/>
    <s v="Shoulder"/>
    <x v="1"/>
    <n v="0"/>
    <s v="0–7 days"/>
  </r>
  <r>
    <s v="B000869"/>
    <s v="G00544"/>
    <s v="H005"/>
    <s v="CH06"/>
    <d v="2025-01-23T00:00:00"/>
    <d v="2025-01-26T00:00:00"/>
    <x v="2"/>
    <n v="4160"/>
    <x v="0"/>
    <b v="0"/>
    <x v="6"/>
    <x v="6"/>
    <n v="2025"/>
    <n v="6"/>
    <n v="1"/>
    <n v="2025"/>
    <n v="3"/>
    <s v="Yes"/>
    <x v="3"/>
    <s v="India"/>
    <x v="0"/>
    <s v="StayNest Heritage"/>
    <x v="11"/>
    <s v="Heritage"/>
    <n v="90"/>
    <x v="0"/>
    <s v="Retention"/>
    <d v="2025-01-26T00:00:00"/>
    <s v="Yes"/>
    <s v="Yes"/>
    <s v="Off-Peak"/>
    <x v="1"/>
    <n v="0"/>
    <s v="0–7 days"/>
  </r>
  <r>
    <s v="B000870"/>
    <s v="G00472"/>
    <s v="H006"/>
    <s v="CH03"/>
    <d v="2025-07-23T00:00:00"/>
    <d v="2025-09-21T00:00:00"/>
    <x v="3"/>
    <n v="7649"/>
    <x v="2"/>
    <b v="0"/>
    <x v="1"/>
    <x v="10"/>
    <n v="2025"/>
    <n v="6"/>
    <n v="7"/>
    <n v="2025"/>
    <n v="2"/>
    <s v="Yes"/>
    <x v="3"/>
    <s v="India"/>
    <x v="0"/>
    <s v="StayNest Beach"/>
    <x v="3"/>
    <s v="Resort"/>
    <n v="100"/>
    <x v="1"/>
    <s v="OTA Promo"/>
    <d v="2025-09-21T00:00:00"/>
    <s v="Yes"/>
    <s v="No"/>
    <s v="Shoulder"/>
    <x v="1"/>
    <n v="0"/>
    <s v="31–90 days"/>
  </r>
  <r>
    <s v="B000871"/>
    <s v="G00050"/>
    <s v="H009"/>
    <s v="CH01"/>
    <d v="2026-06-09T00:00:00"/>
    <d v="2026-06-23T00:00:00"/>
    <x v="1"/>
    <n v="8236"/>
    <x v="0"/>
    <b v="0"/>
    <x v="3"/>
    <x v="1"/>
    <n v="2026"/>
    <n v="1"/>
    <n v="6"/>
    <n v="2026"/>
    <n v="1"/>
    <s v="No"/>
    <x v="0"/>
    <s v="India"/>
    <x v="0"/>
    <s v="StayNest Airport"/>
    <x v="9"/>
    <s v="Business"/>
    <n v="160"/>
    <x v="5"/>
    <s v="Direct"/>
    <d v="2026-06-23T00:00:00"/>
    <s v="No"/>
    <s v="No"/>
    <s v="Shoulder"/>
    <x v="1"/>
    <n v="0"/>
    <s v="8–30 days"/>
  </r>
  <r>
    <s v="B000872"/>
    <s v="G00069"/>
    <s v="H012"/>
    <s v="CH01"/>
    <d v="2026-08-02T00:00:00"/>
    <d v="2026-08-05T00:00:00"/>
    <x v="2"/>
    <n v="2524"/>
    <x v="3"/>
    <b v="0"/>
    <x v="6"/>
    <x v="7"/>
    <n v="2026"/>
    <n v="2"/>
    <n v="8"/>
    <n v="2026"/>
    <n v="6"/>
    <s v="No"/>
    <x v="3"/>
    <s v="India"/>
    <x v="0"/>
    <s v="StayNest Valley"/>
    <x v="4"/>
    <s v="Resort"/>
    <n v="65"/>
    <x v="5"/>
    <s v="Direct"/>
    <d v="2026-08-05T00:00:00"/>
    <s v="No"/>
    <s v="No"/>
    <s v="Off-Peak"/>
    <x v="1"/>
    <n v="0"/>
    <s v="0–7 days"/>
  </r>
  <r>
    <s v="B000873"/>
    <s v="G00075"/>
    <s v="H011"/>
    <s v="CH04"/>
    <d v="2025-10-11T00:00:00"/>
    <d v="2025-10-25T00:00:00"/>
    <x v="0"/>
    <n v="4244"/>
    <x v="2"/>
    <b v="0"/>
    <x v="3"/>
    <x v="11"/>
    <n v="2025"/>
    <n v="5"/>
    <n v="10"/>
    <n v="2025"/>
    <n v="5"/>
    <s v="Yes"/>
    <x v="3"/>
    <s v="United States"/>
    <x v="1"/>
    <s v="StayNest Grand"/>
    <x v="8"/>
    <s v="Business"/>
    <n v="110"/>
    <x v="4"/>
    <s v="Partner"/>
    <d v="2025-10-25T00:00:00"/>
    <s v="Yes"/>
    <s v="No"/>
    <s v="Shoulder"/>
    <x v="1"/>
    <n v="0"/>
    <s v="8–30 days"/>
  </r>
  <r>
    <s v="B000874"/>
    <s v="G00443"/>
    <s v="H001"/>
    <s v="CH04"/>
    <d v="2026-08-12T00:00:00"/>
    <d v="2026-08-19T00:00:00"/>
    <x v="1"/>
    <n v="6749"/>
    <x v="0"/>
    <b v="0"/>
    <x v="4"/>
    <x v="7"/>
    <n v="2026"/>
    <n v="2"/>
    <n v="8"/>
    <n v="2026"/>
    <n v="2"/>
    <s v="No"/>
    <x v="1"/>
    <s v="India"/>
    <x v="0"/>
    <s v="StayNest Marina"/>
    <x v="1"/>
    <s v="Business"/>
    <n v="120"/>
    <x v="4"/>
    <s v="Partner"/>
    <d v="2026-08-19T00:00:00"/>
    <s v="No"/>
    <s v="No"/>
    <s v="Off-Peak"/>
    <x v="1"/>
    <n v="0"/>
    <s v="0–7 days"/>
  </r>
  <r>
    <s v="B000875"/>
    <s v="G00335"/>
    <s v="H009"/>
    <s v="CH04"/>
    <d v="2026-11-01T00:00:00"/>
    <d v="2026-12-01T00:00:00"/>
    <x v="3"/>
    <n v="7714"/>
    <x v="1"/>
    <b v="0"/>
    <x v="2"/>
    <x v="5"/>
    <n v="2026"/>
    <n v="1"/>
    <n v="11"/>
    <n v="2026"/>
    <n v="6"/>
    <s v="No"/>
    <x v="3"/>
    <s v="Unknown"/>
    <x v="0"/>
    <s v="StayNest Airport"/>
    <x v="9"/>
    <s v="Business"/>
    <n v="160"/>
    <x v="4"/>
    <s v="Partner"/>
    <d v="2026-12-01T00:00:00"/>
    <s v="No"/>
    <s v="No"/>
    <s v="Peak"/>
    <x v="1"/>
    <n v="1"/>
    <s v="8–30 days"/>
  </r>
  <r>
    <s v="B000876"/>
    <s v="G00547"/>
    <s v="H010"/>
    <s v="CH01"/>
    <d v="2025-05-11T00:00:00"/>
    <d v="2025-06-10T00:00:00"/>
    <x v="2"/>
    <n v="3982"/>
    <x v="0"/>
    <b v="0"/>
    <x v="2"/>
    <x v="1"/>
    <n v="2025"/>
    <n v="1"/>
    <n v="5"/>
    <n v="2025"/>
    <n v="6"/>
    <s v="No"/>
    <x v="1"/>
    <s v="India"/>
    <x v="1"/>
    <s v="StayNest Garden"/>
    <x v="10"/>
    <s v="Boutique"/>
    <n v="70"/>
    <x v="5"/>
    <s v="Direct"/>
    <d v="2025-06-10T00:00:00"/>
    <s v="No"/>
    <s v="No"/>
    <s v="Shoulder"/>
    <x v="1"/>
    <n v="0"/>
    <s v="8–30 days"/>
  </r>
  <r>
    <s v="B000877"/>
    <s v="G00278"/>
    <s v="H004"/>
    <s v="CH02"/>
    <d v="2025-12-30T00:00:00"/>
    <d v="2025-12-31T00:00:00"/>
    <x v="1"/>
    <n v="6818"/>
    <x v="0"/>
    <b v="0"/>
    <x v="7"/>
    <x v="5"/>
    <n v="2025"/>
    <n v="2"/>
    <n v="12"/>
    <n v="2025"/>
    <n v="1"/>
    <s v="No"/>
    <x v="3"/>
    <s v="India"/>
    <x v="0"/>
    <s v="StayNest Lakeview"/>
    <x v="2"/>
    <s v="Resort"/>
    <n v="75"/>
    <x v="3"/>
    <s v="App Push"/>
    <d v="2025-12-31T00:00:00"/>
    <s v="No"/>
    <s v="No"/>
    <s v="Peak"/>
    <x v="1"/>
    <n v="0"/>
    <s v="0–7 days"/>
  </r>
  <r>
    <s v="B000878"/>
    <s v="G00051"/>
    <s v="H008"/>
    <s v="CH04"/>
    <d v="2026-02-13T00:00:00"/>
    <d v="2026-02-20T00:00:00"/>
    <x v="1"/>
    <n v="8970"/>
    <x v="2"/>
    <b v="0"/>
    <x v="4"/>
    <x v="0"/>
    <n v="2026"/>
    <n v="4"/>
    <n v="2"/>
    <n v="2026"/>
    <n v="4"/>
    <s v="No"/>
    <x v="2"/>
    <s v="India"/>
    <x v="0"/>
    <s v="StayNest Palace"/>
    <x v="7"/>
    <s v="Heritage"/>
    <n v="85"/>
    <x v="4"/>
    <s v="Partner"/>
    <d v="2026-02-20T00:00:00"/>
    <s v="No"/>
    <s v="No"/>
    <s v="Shoulder"/>
    <x v="1"/>
    <n v="0"/>
    <s v="0–7 days"/>
  </r>
  <r>
    <s v="B000879"/>
    <s v="G00125"/>
    <s v="H003"/>
    <s v="CH02"/>
    <d v="2025-05-04T00:00:00"/>
    <d v="2025-10-01T00:00:00"/>
    <x v="3"/>
    <n v="8223"/>
    <x v="0"/>
    <b v="0"/>
    <x v="5"/>
    <x v="11"/>
    <n v="2025"/>
    <n v="2"/>
    <n v="5"/>
    <n v="2025"/>
    <n v="6"/>
    <s v="No"/>
    <x v="0"/>
    <s v="India"/>
    <x v="0"/>
    <s v="StayNest Hills"/>
    <x v="5"/>
    <s v="Resort"/>
    <n v="80"/>
    <x v="3"/>
    <s v="App Push"/>
    <d v="2025-10-01T00:00:00"/>
    <s v="No"/>
    <s v="No"/>
    <s v="Shoulder"/>
    <x v="1"/>
    <n v="0"/>
    <s v="91–180 days"/>
  </r>
  <r>
    <s v="B000880"/>
    <s v="G00115"/>
    <s v="H008"/>
    <s v="CH01"/>
    <d v="2025-01-08T00:00:00"/>
    <d v="2025-01-22T00:00:00"/>
    <x v="1"/>
    <n v="6476"/>
    <x v="0"/>
    <b v="0"/>
    <x v="3"/>
    <x v="6"/>
    <n v="2025"/>
    <n v="2"/>
    <n v="1"/>
    <n v="2025"/>
    <n v="2"/>
    <s v="No"/>
    <x v="1"/>
    <s v="India"/>
    <x v="0"/>
    <s v="StayNest Palace"/>
    <x v="7"/>
    <s v="Heritage"/>
    <n v="85"/>
    <x v="5"/>
    <s v="Direct"/>
    <d v="2025-01-22T00:00:00"/>
    <s v="No"/>
    <s v="No"/>
    <s v="Off-Peak"/>
    <x v="1"/>
    <n v="0"/>
    <s v="8–30 days"/>
  </r>
  <r>
    <s v="B000881"/>
    <s v="G00308"/>
    <s v="H004"/>
    <s v="CH06"/>
    <d v="2025-03-28T00:00:00"/>
    <d v="2025-04-27T00:00:00"/>
    <x v="1"/>
    <n v="8675"/>
    <x v="0"/>
    <b v="0"/>
    <x v="2"/>
    <x v="2"/>
    <n v="2025"/>
    <n v="6"/>
    <n v="3"/>
    <n v="2025"/>
    <n v="4"/>
    <s v="Yes"/>
    <x v="0"/>
    <s v="India"/>
    <x v="0"/>
    <s v="StayNest Lakeview"/>
    <x v="2"/>
    <s v="Resort"/>
    <n v="75"/>
    <x v="0"/>
    <s v="Retention"/>
    <d v="2025-04-27T00:00:00"/>
    <s v="Yes"/>
    <s v="No"/>
    <s v="Peak"/>
    <x v="1"/>
    <n v="0"/>
    <s v="8–30 days"/>
  </r>
  <r>
    <s v="B000883"/>
    <s v="G00162"/>
    <s v="H007"/>
    <s v="CH02"/>
    <d v="2025-06-28T00:00:00"/>
    <d v="2025-11-25T00:00:00"/>
    <x v="0"/>
    <n v="3948"/>
    <x v="0"/>
    <b v="0"/>
    <x v="5"/>
    <x v="4"/>
    <n v="2025"/>
    <n v="1"/>
    <n v="6"/>
    <n v="2025"/>
    <n v="5"/>
    <s v="No"/>
    <x v="0"/>
    <s v="Singapore"/>
    <x v="0"/>
    <s v="StayNest Tech Park"/>
    <x v="6"/>
    <s v="Business"/>
    <n v="140"/>
    <x v="3"/>
    <s v="App Push"/>
    <d v="2025-11-25T00:00:00"/>
    <s v="No"/>
    <s v="No"/>
    <s v="Off-Peak"/>
    <x v="1"/>
    <n v="0"/>
    <s v="91–180 days"/>
  </r>
  <r>
    <s v="B000884"/>
    <s v="G00272"/>
    <s v="H010"/>
    <s v="CH03"/>
    <d v="2025-01-30T00:00:00"/>
    <d v="2025-03-31T00:00:00"/>
    <x v="3"/>
    <n v="6780"/>
    <x v="0"/>
    <b v="0"/>
    <x v="1"/>
    <x v="3"/>
    <n v="2025"/>
    <n v="0"/>
    <n v="1"/>
    <n v="2025"/>
    <n v="3"/>
    <s v="No"/>
    <x v="0"/>
    <s v="India"/>
    <x v="1"/>
    <s v="StayNest Garden"/>
    <x v="10"/>
    <s v="Boutique"/>
    <n v="70"/>
    <x v="1"/>
    <s v="OTA Promo"/>
    <d v="2025-03-31T00:00:00"/>
    <s v="No"/>
    <s v="No"/>
    <s v="Shoulder"/>
    <x v="1"/>
    <n v="0"/>
    <s v="31–90 days"/>
  </r>
  <r>
    <s v="B000885"/>
    <s v="G00387"/>
    <s v="H010"/>
    <s v="CH06"/>
    <d v="2026-06-22T00:00:00"/>
    <d v="2026-06-25T00:00:00"/>
    <x v="2"/>
    <n v="2914"/>
    <x v="1"/>
    <b v="0"/>
    <x v="6"/>
    <x v="1"/>
    <n v="2026"/>
    <n v="3"/>
    <n v="6"/>
    <n v="2026"/>
    <n v="0"/>
    <s v="No"/>
    <x v="0"/>
    <s v="India"/>
    <x v="0"/>
    <s v="StayNest Garden"/>
    <x v="10"/>
    <s v="Boutique"/>
    <n v="70"/>
    <x v="0"/>
    <s v="Retention"/>
    <d v="2026-06-25T00:00:00"/>
    <s v="No"/>
    <s v="No"/>
    <s v="Shoulder"/>
    <x v="1"/>
    <n v="1"/>
    <s v="0–7 days"/>
  </r>
  <r>
    <s v="B000886"/>
    <s v="G00488"/>
    <s v="H008"/>
    <s v="CH04"/>
    <d v="2026-07-04T00:00:00"/>
    <d v="2026-07-18T00:00:00"/>
    <x v="2"/>
    <n v="3175"/>
    <x v="3"/>
    <b v="0"/>
    <x v="3"/>
    <x v="8"/>
    <n v="2026"/>
    <n v="5"/>
    <n v="7"/>
    <n v="2026"/>
    <n v="5"/>
    <s v="Yes"/>
    <x v="0"/>
    <s v="Singapore"/>
    <x v="0"/>
    <s v="StayNest Palace"/>
    <x v="7"/>
    <s v="Heritage"/>
    <n v="85"/>
    <x v="4"/>
    <s v="Partner"/>
    <d v="2026-07-18T00:00:00"/>
    <s v="Yes"/>
    <s v="No"/>
    <s v="Off-Peak"/>
    <x v="1"/>
    <n v="0"/>
    <s v="8–30 days"/>
  </r>
  <r>
    <s v="B000887"/>
    <s v="G00099"/>
    <s v="H008"/>
    <s v="CH04"/>
    <d v="2026-08-08T00:00:00"/>
    <d v="2026-08-15T00:00:00"/>
    <x v="0"/>
    <n v="4084"/>
    <x v="1"/>
    <b v="0"/>
    <x v="4"/>
    <x v="7"/>
    <n v="2026"/>
    <n v="5"/>
    <n v="8"/>
    <n v="2026"/>
    <n v="5"/>
    <s v="Yes"/>
    <x v="0"/>
    <s v="India"/>
    <x v="0"/>
    <s v="StayNest Palace"/>
    <x v="7"/>
    <s v="Heritage"/>
    <n v="85"/>
    <x v="4"/>
    <s v="Partner"/>
    <d v="2026-08-15T00:00:00"/>
    <s v="Yes"/>
    <s v="Yes"/>
    <s v="Off-Peak"/>
    <x v="2"/>
    <n v="1"/>
    <s v="0–7 days"/>
  </r>
  <r>
    <s v="B000888"/>
    <s v="G00414"/>
    <s v="H005"/>
    <s v="CH05"/>
    <d v="2025-04-18T00:00:00"/>
    <d v="2025-04-25T00:00:00"/>
    <x v="3"/>
    <n v="9192"/>
    <x v="0"/>
    <b v="0"/>
    <x v="4"/>
    <x v="2"/>
    <n v="2025"/>
    <n v="4"/>
    <n v="4"/>
    <n v="2025"/>
    <n v="4"/>
    <s v="No"/>
    <x v="1"/>
    <s v="India"/>
    <x v="0"/>
    <s v="StayNest Heritage"/>
    <x v="11"/>
    <s v="Heritage"/>
    <n v="90"/>
    <x v="2"/>
    <s v="Corporate Rate"/>
    <d v="2025-04-25T00:00:00"/>
    <s v="No"/>
    <s v="No"/>
    <s v="Peak"/>
    <x v="1"/>
    <n v="0"/>
    <s v="0–7 days"/>
  </r>
  <r>
    <s v="B000889"/>
    <s v="G00592"/>
    <s v="H005"/>
    <s v="CH02"/>
    <d v="2025-12-02T00:00:00"/>
    <d v="2025-12-16T00:00:00"/>
    <x v="0"/>
    <n v="3640"/>
    <x v="0"/>
    <b v="0"/>
    <x v="3"/>
    <x v="5"/>
    <n v="2025"/>
    <n v="1"/>
    <n v="12"/>
    <n v="2025"/>
    <n v="1"/>
    <s v="No"/>
    <x v="1"/>
    <s v="Germany"/>
    <x v="0"/>
    <s v="StayNest Heritage"/>
    <x v="11"/>
    <s v="Heritage"/>
    <n v="90"/>
    <x v="3"/>
    <s v="App Push"/>
    <d v="2025-12-16T00:00:00"/>
    <s v="No"/>
    <s v="No"/>
    <s v="Peak"/>
    <x v="1"/>
    <n v="0"/>
    <s v="8–30 days"/>
  </r>
  <r>
    <s v="B000890"/>
    <s v="G00147"/>
    <s v="H011"/>
    <s v="CH01"/>
    <d v="2025-09-01T00:00:00"/>
    <d v="2025-09-04T00:00:00"/>
    <x v="3"/>
    <n v="10463"/>
    <x v="2"/>
    <b v="0"/>
    <x v="6"/>
    <x v="10"/>
    <n v="2025"/>
    <n v="3"/>
    <n v="9"/>
    <n v="2025"/>
    <n v="0"/>
    <s v="No"/>
    <x v="3"/>
    <s v="United Kingdom"/>
    <x v="0"/>
    <s v="StayNest Grand"/>
    <x v="8"/>
    <s v="Business"/>
    <n v="110"/>
    <x v="5"/>
    <s v="Direct"/>
    <d v="2025-09-04T00:00:00"/>
    <s v="No"/>
    <s v="No"/>
    <s v="Shoulder"/>
    <x v="1"/>
    <n v="0"/>
    <s v="0–7 days"/>
  </r>
  <r>
    <s v="B000891"/>
    <s v="G00592"/>
    <s v="H007"/>
    <s v="CH04"/>
    <d v="2025-08-08T00:00:00"/>
    <d v="2025-08-22T00:00:00"/>
    <x v="3"/>
    <n v="8788"/>
    <x v="0"/>
    <b v="0"/>
    <x v="3"/>
    <x v="7"/>
    <n v="2025"/>
    <n v="4"/>
    <n v="8"/>
    <n v="2025"/>
    <n v="4"/>
    <s v="No"/>
    <x v="1"/>
    <s v="Germany"/>
    <x v="0"/>
    <s v="StayNest Tech Park"/>
    <x v="6"/>
    <s v="Business"/>
    <n v="140"/>
    <x v="4"/>
    <s v="Partner"/>
    <d v="2025-08-22T00:00:00"/>
    <s v="No"/>
    <s v="No"/>
    <s v="Off-Peak"/>
    <x v="1"/>
    <n v="0"/>
    <s v="8–30 days"/>
  </r>
  <r>
    <s v="B000892"/>
    <s v="G00191"/>
    <s v="H005"/>
    <s v="CH03"/>
    <d v="2026-05-15T00:00:00"/>
    <d v="2026-07-14T00:00:00"/>
    <x v="1"/>
    <n v="6076"/>
    <x v="0"/>
    <b v="0"/>
    <x v="1"/>
    <x v="8"/>
    <n v="2026"/>
    <n v="1"/>
    <n v="5"/>
    <n v="2026"/>
    <n v="4"/>
    <s v="No"/>
    <x v="0"/>
    <s v="India"/>
    <x v="0"/>
    <s v="StayNest Heritage"/>
    <x v="11"/>
    <s v="Heritage"/>
    <n v="90"/>
    <x v="1"/>
    <s v="OTA Promo"/>
    <d v="2026-07-14T00:00:00"/>
    <s v="No"/>
    <s v="No"/>
    <s v="Off-Peak"/>
    <x v="1"/>
    <n v="0"/>
    <s v="31–90 days"/>
  </r>
  <r>
    <s v="B000893"/>
    <s v="G00557"/>
    <s v="H003"/>
    <s v="CH01"/>
    <d v="2025-08-21T00:00:00"/>
    <d v="2026-03-29T00:00:00"/>
    <x v="2"/>
    <n v="3327"/>
    <x v="0"/>
    <b v="0"/>
    <x v="8"/>
    <x v="3"/>
    <n v="2026"/>
    <n v="6"/>
    <n v="8"/>
    <n v="2025"/>
    <n v="3"/>
    <s v="Yes"/>
    <x v="3"/>
    <s v="Singapore"/>
    <x v="0"/>
    <s v="StayNest Hills"/>
    <x v="5"/>
    <s v="Resort"/>
    <n v="80"/>
    <x v="5"/>
    <s v="Direct"/>
    <d v="2026-03-29T00:00:00"/>
    <s v="Yes"/>
    <s v="No"/>
    <s v="Shoulder"/>
    <x v="1"/>
    <n v="0"/>
    <s v="181+ days"/>
  </r>
  <r>
    <s v="B000894"/>
    <s v="G00085"/>
    <s v="H009"/>
    <s v="CH02"/>
    <d v="2026-02-12T00:00:00"/>
    <d v="2026-05-23T00:00:00"/>
    <x v="0"/>
    <n v="4408"/>
    <x v="0"/>
    <b v="0"/>
    <x v="0"/>
    <x v="9"/>
    <n v="2026"/>
    <n v="5"/>
    <n v="2"/>
    <n v="2026"/>
    <n v="3"/>
    <s v="Yes"/>
    <x v="1"/>
    <s v="India"/>
    <x v="0"/>
    <s v="StayNest Airport"/>
    <x v="9"/>
    <s v="Business"/>
    <n v="160"/>
    <x v="3"/>
    <s v="App Push"/>
    <d v="2026-05-23T00:00:00"/>
    <s v="Yes"/>
    <s v="No"/>
    <s v="Peak"/>
    <x v="1"/>
    <n v="0"/>
    <s v="91–180 days"/>
  </r>
  <r>
    <s v="B000895"/>
    <s v="G00156"/>
    <s v="H010"/>
    <s v="CH05"/>
    <d v="2026-06-22T00:00:00"/>
    <d v="2026-06-23T00:00:00"/>
    <x v="3"/>
    <n v="7866"/>
    <x v="0"/>
    <b v="0"/>
    <x v="7"/>
    <x v="1"/>
    <n v="2026"/>
    <n v="1"/>
    <n v="6"/>
    <n v="2026"/>
    <n v="0"/>
    <s v="No"/>
    <x v="1"/>
    <s v="India"/>
    <x v="0"/>
    <s v="StayNest Garden"/>
    <x v="10"/>
    <s v="Boutique"/>
    <n v="70"/>
    <x v="2"/>
    <s v="Corporate Rate"/>
    <d v="2026-06-23T00:00:00"/>
    <s v="No"/>
    <s v="No"/>
    <s v="Shoulder"/>
    <x v="1"/>
    <n v="0"/>
    <s v="0–7 days"/>
  </r>
  <r>
    <s v="B000896"/>
    <s v="G00634"/>
    <s v="H004"/>
    <s v="CH06"/>
    <d v="2025-06-05T00:00:00"/>
    <d v="2025-07-05T00:00:00"/>
    <x v="1"/>
    <n v="6214"/>
    <x v="0"/>
    <b v="0"/>
    <x v="2"/>
    <x v="8"/>
    <n v="2025"/>
    <n v="5"/>
    <n v="6"/>
    <n v="2025"/>
    <n v="3"/>
    <s v="Yes"/>
    <x v="1"/>
    <s v="India"/>
    <x v="0"/>
    <s v="StayNest Lakeview"/>
    <x v="2"/>
    <s v="Resort"/>
    <n v="75"/>
    <x v="0"/>
    <s v="Retention"/>
    <d v="2025-07-05T00:00:00"/>
    <s v="Yes"/>
    <s v="No"/>
    <s v="Off-Peak"/>
    <x v="1"/>
    <n v="0"/>
    <s v="8–30 days"/>
  </r>
  <r>
    <s v="B000897"/>
    <s v="G00488"/>
    <s v="H008"/>
    <s v="CH03"/>
    <d v="2025-05-20T00:00:00"/>
    <d v="2025-07-19T00:00:00"/>
    <x v="3"/>
    <n v="11052"/>
    <x v="0"/>
    <b v="0"/>
    <x v="1"/>
    <x v="8"/>
    <n v="2025"/>
    <n v="5"/>
    <n v="5"/>
    <n v="2025"/>
    <n v="1"/>
    <s v="Yes"/>
    <x v="0"/>
    <s v="Singapore"/>
    <x v="0"/>
    <s v="StayNest Palace"/>
    <x v="7"/>
    <s v="Heritage"/>
    <n v="85"/>
    <x v="1"/>
    <s v="OTA Promo"/>
    <d v="2025-07-19T00:00:00"/>
    <s v="Yes"/>
    <s v="No"/>
    <s v="Off-Peak"/>
    <x v="1"/>
    <n v="0"/>
    <s v="31–90 days"/>
  </r>
  <r>
    <s v="B000898"/>
    <s v="G00069"/>
    <s v="H001"/>
    <s v="CH04"/>
    <d v="2025-05-24T00:00:00"/>
    <d v="2025-05-27T00:00:00"/>
    <x v="0"/>
    <n v="4153"/>
    <x v="2"/>
    <b v="0"/>
    <x v="6"/>
    <x v="9"/>
    <n v="2025"/>
    <n v="1"/>
    <n v="5"/>
    <n v="2025"/>
    <n v="5"/>
    <s v="No"/>
    <x v="3"/>
    <s v="India"/>
    <x v="0"/>
    <s v="StayNest Marina"/>
    <x v="1"/>
    <s v="Business"/>
    <n v="120"/>
    <x v="4"/>
    <s v="Partner"/>
    <d v="2025-05-27T00:00:00"/>
    <s v="No"/>
    <s v="No"/>
    <s v="Peak"/>
    <x v="1"/>
    <n v="0"/>
    <s v="0–7 days"/>
  </r>
  <r>
    <s v="B000899"/>
    <s v="G00073"/>
    <s v="H004"/>
    <s v="CH03"/>
    <d v="2025-05-24T00:00:00"/>
    <d v="2025-09-01T00:00:00"/>
    <x v="2"/>
    <n v="4134"/>
    <x v="1"/>
    <b v="0"/>
    <x v="0"/>
    <x v="10"/>
    <n v="2025"/>
    <n v="0"/>
    <n v="5"/>
    <n v="2025"/>
    <n v="5"/>
    <s v="No"/>
    <x v="3"/>
    <s v="United States"/>
    <x v="1"/>
    <s v="StayNest Lakeview"/>
    <x v="2"/>
    <s v="Resort"/>
    <n v="75"/>
    <x v="1"/>
    <s v="OTA Promo"/>
    <d v="2025-09-01T00:00:00"/>
    <s v="No"/>
    <s v="No"/>
    <s v="Shoulder"/>
    <x v="1"/>
    <n v="1"/>
    <s v="91–180 days"/>
  </r>
  <r>
    <s v="B000900"/>
    <s v="G00336"/>
    <s v="H001"/>
    <s v="CH06"/>
    <d v="2025-05-01T00:00:00"/>
    <d v="2025-05-31T00:00:00"/>
    <x v="2"/>
    <n v="3164"/>
    <x v="2"/>
    <b v="0"/>
    <x v="2"/>
    <x v="9"/>
    <n v="2025"/>
    <n v="5"/>
    <n v="5"/>
    <n v="2025"/>
    <n v="3"/>
    <s v="Yes"/>
    <x v="3"/>
    <s v="India"/>
    <x v="1"/>
    <s v="StayNest Marina"/>
    <x v="1"/>
    <s v="Business"/>
    <n v="120"/>
    <x v="0"/>
    <s v="Retention"/>
    <d v="2025-05-31T00:00:00"/>
    <s v="Yes"/>
    <s v="No"/>
    <s v="Peak"/>
    <x v="1"/>
    <n v="0"/>
    <s v="8–30 days"/>
  </r>
  <r>
    <s v="B000902"/>
    <s v="G00499"/>
    <s v="H005"/>
    <s v="CH02"/>
    <d v="2026-06-20T00:00:00"/>
    <d v="2026-06-23T00:00:00"/>
    <x v="3"/>
    <n v="10042"/>
    <x v="2"/>
    <b v="0"/>
    <x v="6"/>
    <x v="1"/>
    <n v="2026"/>
    <n v="1"/>
    <n v="6"/>
    <n v="2026"/>
    <n v="5"/>
    <s v="No"/>
    <x v="2"/>
    <s v="Germany"/>
    <x v="1"/>
    <s v="StayNest Heritage"/>
    <x v="11"/>
    <s v="Heritage"/>
    <n v="90"/>
    <x v="3"/>
    <s v="App Push"/>
    <d v="2026-06-23T00:00:00"/>
    <s v="No"/>
    <s v="No"/>
    <s v="Shoulder"/>
    <x v="1"/>
    <n v="0"/>
    <s v="0–7 days"/>
  </r>
  <r>
    <s v="B000903"/>
    <s v="G00283"/>
    <s v="H005"/>
    <s v="CH06"/>
    <d v="2026-06-05T00:00:00"/>
    <d v="2026-06-19T00:00:00"/>
    <x v="3"/>
    <n v="7328"/>
    <x v="0"/>
    <b v="0"/>
    <x v="3"/>
    <x v="1"/>
    <n v="2026"/>
    <n v="4"/>
    <n v="6"/>
    <n v="2026"/>
    <n v="4"/>
    <s v="No"/>
    <x v="3"/>
    <s v="India"/>
    <x v="0"/>
    <s v="StayNest Heritage"/>
    <x v="11"/>
    <s v="Heritage"/>
    <n v="90"/>
    <x v="0"/>
    <s v="Retention"/>
    <d v="2026-06-19T00:00:00"/>
    <s v="No"/>
    <s v="No"/>
    <s v="Shoulder"/>
    <x v="1"/>
    <n v="0"/>
    <s v="8–30 days"/>
  </r>
  <r>
    <s v="B000904"/>
    <s v="G00606"/>
    <s v="H007"/>
    <s v="CH06"/>
    <d v="2025-09-30T00:00:00"/>
    <d v="2025-10-03T00:00:00"/>
    <x v="1"/>
    <n v="7484"/>
    <x v="0"/>
    <b v="0"/>
    <x v="6"/>
    <x v="11"/>
    <n v="2025"/>
    <n v="4"/>
    <n v="9"/>
    <n v="2025"/>
    <n v="1"/>
    <s v="No"/>
    <x v="2"/>
    <s v="India"/>
    <x v="0"/>
    <s v="StayNest Tech Park"/>
    <x v="6"/>
    <s v="Business"/>
    <n v="140"/>
    <x v="0"/>
    <s v="Retention"/>
    <d v="2025-10-03T00:00:00"/>
    <s v="No"/>
    <s v="No"/>
    <s v="Shoulder"/>
    <x v="1"/>
    <n v="0"/>
    <s v="0–7 days"/>
  </r>
  <r>
    <s v="B000905"/>
    <s v="G00617"/>
    <s v="H002"/>
    <s v="CH05"/>
    <d v="2026-10-21T00:00:00"/>
    <d v="2027-03-20T00:00:00"/>
    <x v="2"/>
    <n v="4179"/>
    <x v="0"/>
    <b v="0"/>
    <x v="5"/>
    <x v="3"/>
    <n v="2027"/>
    <n v="5"/>
    <n v="10"/>
    <n v="2026"/>
    <n v="2"/>
    <s v="Yes"/>
    <x v="1"/>
    <s v="India"/>
    <x v="0"/>
    <s v="StayNest Central"/>
    <x v="0"/>
    <s v="Business"/>
    <n v="150"/>
    <x v="2"/>
    <s v="Corporate Rate"/>
    <m/>
    <s v="Unknown"/>
    <s v="Unknown"/>
    <s v="Unknown"/>
    <x v="0"/>
    <n v="0"/>
    <s v="91–180 days"/>
  </r>
  <r>
    <s v="B000906"/>
    <s v="G00404"/>
    <s v="H012"/>
    <s v="CH06"/>
    <d v="2025-02-10T00:00:00"/>
    <d v="2025-02-24T00:00:00"/>
    <x v="1"/>
    <n v="8851"/>
    <x v="2"/>
    <b v="0"/>
    <x v="3"/>
    <x v="0"/>
    <n v="2025"/>
    <n v="0"/>
    <n v="2"/>
    <n v="2025"/>
    <n v="0"/>
    <s v="No"/>
    <x v="3"/>
    <s v="India"/>
    <x v="0"/>
    <s v="StayNest Valley"/>
    <x v="4"/>
    <s v="Resort"/>
    <n v="65"/>
    <x v="0"/>
    <s v="Retention"/>
    <d v="2025-02-24T00:00:00"/>
    <s v="No"/>
    <s v="No"/>
    <s v="Shoulder"/>
    <x v="1"/>
    <n v="0"/>
    <s v="8–30 days"/>
  </r>
  <r>
    <s v="B000907"/>
    <s v="G00443"/>
    <s v="H011"/>
    <s v="CH01"/>
    <d v="2025-08-10T00:00:00"/>
    <d v="2025-09-09T00:00:00"/>
    <x v="2"/>
    <n v="2402"/>
    <x v="2"/>
    <b v="0"/>
    <x v="2"/>
    <x v="10"/>
    <n v="2025"/>
    <n v="1"/>
    <n v="8"/>
    <n v="2025"/>
    <n v="6"/>
    <s v="No"/>
    <x v="1"/>
    <s v="India"/>
    <x v="0"/>
    <s v="StayNest Grand"/>
    <x v="8"/>
    <s v="Business"/>
    <n v="110"/>
    <x v="5"/>
    <s v="Direct"/>
    <d v="2025-09-09T00:00:00"/>
    <s v="No"/>
    <s v="No"/>
    <s v="Shoulder"/>
    <x v="1"/>
    <n v="0"/>
    <s v="8–30 days"/>
  </r>
  <r>
    <s v="B000908"/>
    <s v="G00368"/>
    <s v="H011"/>
    <s v="CH03"/>
    <d v="2025-12-27T00:00:00"/>
    <d v="2026-08-04T00:00:00"/>
    <x v="0"/>
    <n v="3695"/>
    <x v="2"/>
    <b v="0"/>
    <x v="8"/>
    <x v="7"/>
    <n v="2026"/>
    <n v="1"/>
    <n v="12"/>
    <n v="2025"/>
    <n v="5"/>
    <s v="No"/>
    <x v="1"/>
    <s v="India"/>
    <x v="0"/>
    <s v="StayNest Grand"/>
    <x v="8"/>
    <s v="Business"/>
    <n v="110"/>
    <x v="1"/>
    <s v="OTA Promo"/>
    <d v="2026-08-04T00:00:00"/>
    <s v="No"/>
    <s v="No"/>
    <s v="Off-Peak"/>
    <x v="1"/>
    <n v="0"/>
    <s v="181+ days"/>
  </r>
  <r>
    <s v="B000909"/>
    <s v="G00165"/>
    <s v="H004"/>
    <s v="CH05"/>
    <d v="2026-07-15T00:00:00"/>
    <d v="2026-08-14T00:00:00"/>
    <x v="1"/>
    <n v="8508"/>
    <x v="0"/>
    <b v="0"/>
    <x v="2"/>
    <x v="7"/>
    <n v="2026"/>
    <n v="4"/>
    <n v="7"/>
    <n v="2026"/>
    <n v="2"/>
    <s v="No"/>
    <x v="3"/>
    <s v="India"/>
    <x v="0"/>
    <s v="StayNest Lakeview"/>
    <x v="2"/>
    <s v="Resort"/>
    <n v="75"/>
    <x v="2"/>
    <s v="Corporate Rate"/>
    <d v="2026-08-14T00:00:00"/>
    <s v="No"/>
    <s v="No"/>
    <s v="Off-Peak"/>
    <x v="1"/>
    <n v="0"/>
    <s v="8–30 days"/>
  </r>
  <r>
    <s v="B000910"/>
    <s v="G00234"/>
    <s v="H006"/>
    <s v="CH03"/>
    <d v="2025-04-14T00:00:00"/>
    <d v="2025-09-11T00:00:00"/>
    <x v="2"/>
    <n v="2840"/>
    <x v="1"/>
    <b v="0"/>
    <x v="5"/>
    <x v="10"/>
    <n v="2025"/>
    <n v="3"/>
    <n v="4"/>
    <n v="2025"/>
    <n v="0"/>
    <s v="No"/>
    <x v="3"/>
    <s v="India"/>
    <x v="0"/>
    <s v="StayNest Beach"/>
    <x v="3"/>
    <s v="Resort"/>
    <n v="100"/>
    <x v="1"/>
    <s v="OTA Promo"/>
    <d v="2025-09-11T00:00:00"/>
    <s v="No"/>
    <s v="No"/>
    <s v="Shoulder"/>
    <x v="1"/>
    <n v="1"/>
    <s v="91–180 days"/>
  </r>
  <r>
    <s v="B000911"/>
    <s v="G00498"/>
    <s v="H006"/>
    <s v="CH03"/>
    <d v="2026-03-25T00:00:00"/>
    <d v="2026-07-03T00:00:00"/>
    <x v="0"/>
    <n v="3565"/>
    <x v="2"/>
    <b v="0"/>
    <x v="0"/>
    <x v="8"/>
    <n v="2026"/>
    <n v="4"/>
    <n v="3"/>
    <n v="2026"/>
    <n v="2"/>
    <s v="No"/>
    <x v="1"/>
    <s v="Unknown"/>
    <x v="0"/>
    <s v="StayNest Beach"/>
    <x v="3"/>
    <s v="Resort"/>
    <n v="100"/>
    <x v="1"/>
    <s v="OTA Promo"/>
    <d v="2026-07-03T00:00:00"/>
    <s v="No"/>
    <s v="No"/>
    <s v="Off-Peak"/>
    <x v="1"/>
    <n v="0"/>
    <s v="91–180 days"/>
  </r>
  <r>
    <s v="B000912"/>
    <s v="G00574"/>
    <s v="H005"/>
    <s v="CH05"/>
    <d v="2026-07-06T00:00:00"/>
    <d v="2026-07-09T00:00:00"/>
    <x v="2"/>
    <n v="2391"/>
    <x v="0"/>
    <b v="0"/>
    <x v="6"/>
    <x v="8"/>
    <n v="2026"/>
    <n v="3"/>
    <n v="7"/>
    <n v="2026"/>
    <n v="0"/>
    <s v="No"/>
    <x v="0"/>
    <s v="United States"/>
    <x v="1"/>
    <s v="StayNest Heritage"/>
    <x v="11"/>
    <s v="Heritage"/>
    <n v="90"/>
    <x v="2"/>
    <s v="Corporate Rate"/>
    <d v="2026-07-09T00:00:00"/>
    <s v="No"/>
    <s v="No"/>
    <s v="Off-Peak"/>
    <x v="1"/>
    <n v="0"/>
    <s v="0–7 days"/>
  </r>
  <r>
    <s v="B000913"/>
    <s v="G00349"/>
    <s v="H009"/>
    <s v="CH03"/>
    <d v="2026-02-11T00:00:00"/>
    <d v="2026-02-14T00:00:00"/>
    <x v="1"/>
    <n v="7335"/>
    <x v="0"/>
    <b v="0"/>
    <x v="6"/>
    <x v="0"/>
    <n v="2026"/>
    <n v="5"/>
    <n v="2"/>
    <n v="2026"/>
    <n v="2"/>
    <s v="Yes"/>
    <x v="0"/>
    <s v="India"/>
    <x v="1"/>
    <s v="StayNest Airport"/>
    <x v="9"/>
    <s v="Business"/>
    <n v="160"/>
    <x v="1"/>
    <s v="OTA Promo"/>
    <d v="2026-02-14T00:00:00"/>
    <s v="Yes"/>
    <s v="No"/>
    <s v="Shoulder"/>
    <x v="1"/>
    <n v="0"/>
    <s v="0–7 days"/>
  </r>
  <r>
    <s v="B000914"/>
    <s v="G00042"/>
    <s v="H004"/>
    <s v="CH05"/>
    <d v="2025-06-08T00:00:00"/>
    <d v="2025-07-08T00:00:00"/>
    <x v="3"/>
    <n v="8293"/>
    <x v="2"/>
    <b v="0"/>
    <x v="2"/>
    <x v="8"/>
    <n v="2025"/>
    <n v="1"/>
    <n v="6"/>
    <n v="2025"/>
    <n v="6"/>
    <s v="No"/>
    <x v="3"/>
    <s v="India"/>
    <x v="0"/>
    <s v="StayNest Lakeview"/>
    <x v="2"/>
    <s v="Resort"/>
    <n v="75"/>
    <x v="2"/>
    <s v="Corporate Rate"/>
    <d v="2025-07-08T00:00:00"/>
    <s v="No"/>
    <s v="No"/>
    <s v="Off-Peak"/>
    <x v="1"/>
    <n v="0"/>
    <s v="8–30 days"/>
  </r>
  <r>
    <s v="B000915"/>
    <s v="G00149"/>
    <s v="H001"/>
    <s v="CH03"/>
    <d v="2025-09-07T00:00:00"/>
    <d v="2026-02-04T00:00:00"/>
    <x v="1"/>
    <n v="7326"/>
    <x v="1"/>
    <b v="0"/>
    <x v="5"/>
    <x v="0"/>
    <n v="2026"/>
    <n v="2"/>
    <n v="9"/>
    <n v="2025"/>
    <n v="6"/>
    <s v="No"/>
    <x v="2"/>
    <s v="India"/>
    <x v="0"/>
    <s v="StayNest Marina"/>
    <x v="1"/>
    <s v="Business"/>
    <n v="120"/>
    <x v="1"/>
    <s v="OTA Promo"/>
    <d v="2026-02-04T00:00:00"/>
    <s v="No"/>
    <s v="No"/>
    <s v="Shoulder"/>
    <x v="1"/>
    <n v="1"/>
    <s v="91–180 days"/>
  </r>
  <r>
    <s v="B000916"/>
    <s v="G00532"/>
    <s v="H010"/>
    <s v="CH04"/>
    <d v="2026-10-05T00:00:00"/>
    <d v="2026-11-04T00:00:00"/>
    <x v="1"/>
    <n v="6766"/>
    <x v="2"/>
    <b v="0"/>
    <x v="2"/>
    <x v="4"/>
    <n v="2026"/>
    <n v="2"/>
    <n v="10"/>
    <n v="2026"/>
    <n v="0"/>
    <s v="No"/>
    <x v="0"/>
    <s v="India"/>
    <x v="1"/>
    <s v="StayNest Garden"/>
    <x v="10"/>
    <s v="Boutique"/>
    <n v="70"/>
    <x v="4"/>
    <s v="Partner"/>
    <d v="2026-11-04T00:00:00"/>
    <s v="No"/>
    <s v="No"/>
    <s v="Off-Peak"/>
    <x v="1"/>
    <n v="0"/>
    <s v="8–30 days"/>
  </r>
  <r>
    <s v="B000917"/>
    <s v="G00328"/>
    <s v="H009"/>
    <s v="CH03"/>
    <d v="2025-03-20T00:00:00"/>
    <d v="2025-08-17T00:00:00"/>
    <x v="0"/>
    <n v="4511"/>
    <x v="2"/>
    <b v="0"/>
    <x v="5"/>
    <x v="7"/>
    <n v="2025"/>
    <n v="6"/>
    <n v="3"/>
    <n v="2025"/>
    <n v="3"/>
    <s v="Yes"/>
    <x v="2"/>
    <s v="India"/>
    <x v="0"/>
    <s v="StayNest Airport"/>
    <x v="9"/>
    <s v="Business"/>
    <n v="160"/>
    <x v="1"/>
    <s v="OTA Promo"/>
    <d v="2025-08-17T00:00:00"/>
    <s v="Yes"/>
    <s v="No"/>
    <s v="Off-Peak"/>
    <x v="1"/>
    <n v="0"/>
    <s v="91–180 days"/>
  </r>
  <r>
    <s v="B000918"/>
    <s v="G00520"/>
    <s v="H012"/>
    <s v="CH04"/>
    <d v="2026-07-03T00:00:00"/>
    <d v="2026-07-10T00:00:00"/>
    <x v="0"/>
    <n v="5769"/>
    <x v="0"/>
    <b v="0"/>
    <x v="4"/>
    <x v="8"/>
    <n v="2026"/>
    <n v="4"/>
    <n v="7"/>
    <n v="2026"/>
    <n v="4"/>
    <s v="No"/>
    <x v="3"/>
    <s v="India"/>
    <x v="0"/>
    <s v="StayNest Valley"/>
    <x v="4"/>
    <s v="Resort"/>
    <n v="65"/>
    <x v="4"/>
    <s v="Partner"/>
    <d v="2026-07-10T00:00:00"/>
    <s v="No"/>
    <s v="No"/>
    <s v="Off-Peak"/>
    <x v="1"/>
    <n v="0"/>
    <s v="0–7 days"/>
  </r>
  <r>
    <s v="B000919"/>
    <s v="G00449"/>
    <s v="H008"/>
    <s v="CH05"/>
    <d v="2026-03-23T00:00:00"/>
    <d v="2026-03-24T00:00:00"/>
    <x v="0"/>
    <n v="5336"/>
    <x v="2"/>
    <b v="0"/>
    <x v="7"/>
    <x v="3"/>
    <n v="2026"/>
    <n v="1"/>
    <n v="3"/>
    <n v="2026"/>
    <n v="0"/>
    <s v="No"/>
    <x v="0"/>
    <s v="India"/>
    <x v="0"/>
    <s v="StayNest Palace"/>
    <x v="7"/>
    <s v="Heritage"/>
    <n v="85"/>
    <x v="2"/>
    <s v="Corporate Rate"/>
    <d v="2026-03-24T00:00:00"/>
    <s v="No"/>
    <s v="No"/>
    <s v="Shoulder"/>
    <x v="1"/>
    <n v="0"/>
    <s v="0–7 days"/>
  </r>
  <r>
    <s v="B000920"/>
    <s v="G00152"/>
    <s v="H002"/>
    <s v="CH06"/>
    <d v="2025-12-29T00:00:00"/>
    <d v="2025-12-30T00:00:00"/>
    <x v="3"/>
    <n v="11396"/>
    <x v="0"/>
    <b v="0"/>
    <x v="7"/>
    <x v="5"/>
    <n v="2025"/>
    <n v="1"/>
    <n v="12"/>
    <n v="2025"/>
    <n v="0"/>
    <s v="No"/>
    <x v="1"/>
    <s v="India"/>
    <x v="0"/>
    <s v="StayNest Central"/>
    <x v="0"/>
    <s v="Business"/>
    <n v="150"/>
    <x v="0"/>
    <s v="Retention"/>
    <d v="2025-12-30T00:00:00"/>
    <s v="No"/>
    <s v="No"/>
    <s v="Peak"/>
    <x v="1"/>
    <n v="0"/>
    <s v="0–7 days"/>
  </r>
  <r>
    <s v="B000921"/>
    <s v="G00406"/>
    <s v="H004"/>
    <s v="CH06"/>
    <d v="2026-04-08T00:00:00"/>
    <d v="2026-04-15T00:00:00"/>
    <x v="3"/>
    <n v="10661"/>
    <x v="3"/>
    <b v="0"/>
    <x v="4"/>
    <x v="2"/>
    <n v="2026"/>
    <n v="2"/>
    <n v="4"/>
    <n v="2026"/>
    <n v="2"/>
    <s v="No"/>
    <x v="0"/>
    <s v="United Kingdom"/>
    <x v="1"/>
    <s v="StayNest Lakeview"/>
    <x v="2"/>
    <s v="Resort"/>
    <n v="75"/>
    <x v="0"/>
    <s v="Retention"/>
    <d v="2026-04-15T00:00:00"/>
    <s v="No"/>
    <s v="No"/>
    <s v="Peak"/>
    <x v="1"/>
    <n v="0"/>
    <s v="0–7 days"/>
  </r>
  <r>
    <s v="B000922"/>
    <s v="G00601"/>
    <s v="H006"/>
    <s v="CH01"/>
    <d v="2026-09-17T00:00:00"/>
    <d v="2026-09-18T00:00:00"/>
    <x v="3"/>
    <n v="11528"/>
    <x v="2"/>
    <b v="0"/>
    <x v="7"/>
    <x v="10"/>
    <n v="2026"/>
    <n v="4"/>
    <n v="9"/>
    <n v="2026"/>
    <n v="3"/>
    <s v="No"/>
    <x v="3"/>
    <s v="India"/>
    <x v="1"/>
    <s v="StayNest Beach"/>
    <x v="3"/>
    <s v="Resort"/>
    <n v="100"/>
    <x v="5"/>
    <s v="Direct"/>
    <d v="2026-09-18T00:00:00"/>
    <s v="No"/>
    <s v="No"/>
    <s v="Shoulder"/>
    <x v="1"/>
    <n v="0"/>
    <s v="0–7 days"/>
  </r>
  <r>
    <s v="B000923"/>
    <s v="G00255"/>
    <s v="H010"/>
    <s v="CH02"/>
    <d v="2025-07-05T00:00:00"/>
    <d v="2025-07-06T00:00:00"/>
    <x v="1"/>
    <n v="8875"/>
    <x v="2"/>
    <b v="0"/>
    <x v="7"/>
    <x v="8"/>
    <n v="2025"/>
    <n v="6"/>
    <n v="7"/>
    <n v="2025"/>
    <n v="5"/>
    <s v="Yes"/>
    <x v="0"/>
    <s v="India"/>
    <x v="0"/>
    <s v="StayNest Garden"/>
    <x v="10"/>
    <s v="Boutique"/>
    <n v="70"/>
    <x v="3"/>
    <s v="App Push"/>
    <d v="2025-07-06T00:00:00"/>
    <s v="Yes"/>
    <s v="No"/>
    <s v="Off-Peak"/>
    <x v="1"/>
    <n v="0"/>
    <s v="0–7 days"/>
  </r>
  <r>
    <s v="B000924"/>
    <s v="G00418"/>
    <s v="H007"/>
    <s v="CH06"/>
    <d v="2026-05-01T00:00:00"/>
    <d v="2026-05-04T00:00:00"/>
    <x v="3"/>
    <n v="9409"/>
    <x v="0"/>
    <b v="0"/>
    <x v="6"/>
    <x v="9"/>
    <n v="2026"/>
    <n v="0"/>
    <n v="5"/>
    <n v="2026"/>
    <n v="4"/>
    <s v="No"/>
    <x v="3"/>
    <s v="India"/>
    <x v="0"/>
    <s v="StayNest Tech Park"/>
    <x v="6"/>
    <s v="Business"/>
    <n v="140"/>
    <x v="0"/>
    <s v="Retention"/>
    <d v="2026-05-04T00:00:00"/>
    <s v="No"/>
    <s v="No"/>
    <s v="Peak"/>
    <x v="1"/>
    <n v="0"/>
    <s v="0–7 days"/>
  </r>
  <r>
    <s v="B000925"/>
    <s v="G00189"/>
    <s v="H005"/>
    <s v="CH04"/>
    <d v="2025-07-25T00:00:00"/>
    <d v="2025-08-01T00:00:00"/>
    <x v="2"/>
    <n v="3125"/>
    <x v="3"/>
    <b v="0"/>
    <x v="4"/>
    <x v="7"/>
    <n v="2025"/>
    <n v="4"/>
    <n v="7"/>
    <n v="2025"/>
    <n v="4"/>
    <s v="No"/>
    <x v="0"/>
    <s v="United Kingdom"/>
    <x v="1"/>
    <s v="StayNest Heritage"/>
    <x v="11"/>
    <s v="Heritage"/>
    <n v="90"/>
    <x v="4"/>
    <s v="Partner"/>
    <d v="2025-08-01T00:00:00"/>
    <s v="No"/>
    <s v="No"/>
    <s v="Off-Peak"/>
    <x v="1"/>
    <n v="0"/>
    <s v="0–7 days"/>
  </r>
  <r>
    <s v="B000926"/>
    <s v="G00061"/>
    <s v="H011"/>
    <s v="CH03"/>
    <d v="2025-04-08T00:00:00"/>
    <d v="2025-04-11T00:00:00"/>
    <x v="2"/>
    <n v="2869"/>
    <x v="0"/>
    <b v="0"/>
    <x v="6"/>
    <x v="2"/>
    <n v="2025"/>
    <n v="4"/>
    <n v="4"/>
    <n v="2025"/>
    <n v="1"/>
    <s v="No"/>
    <x v="0"/>
    <s v="India"/>
    <x v="0"/>
    <s v="StayNest Grand"/>
    <x v="8"/>
    <s v="Business"/>
    <n v="110"/>
    <x v="1"/>
    <s v="OTA Promo"/>
    <d v="2025-04-11T00:00:00"/>
    <s v="No"/>
    <s v="No"/>
    <s v="Peak"/>
    <x v="1"/>
    <n v="0"/>
    <s v="0–7 days"/>
  </r>
  <r>
    <s v="B000927"/>
    <s v="G00072"/>
    <s v="H003"/>
    <s v="CH02"/>
    <d v="2026-10-14T00:00:00"/>
    <d v="2026-11-13T00:00:00"/>
    <x v="0"/>
    <n v="4914"/>
    <x v="0"/>
    <b v="0"/>
    <x v="2"/>
    <x v="4"/>
    <n v="2026"/>
    <n v="4"/>
    <n v="10"/>
    <n v="2026"/>
    <n v="2"/>
    <s v="No"/>
    <x v="3"/>
    <s v="Germany"/>
    <x v="0"/>
    <s v="StayNest Hills"/>
    <x v="5"/>
    <s v="Resort"/>
    <n v="80"/>
    <x v="3"/>
    <s v="App Push"/>
    <d v="2026-11-13T00:00:00"/>
    <s v="No"/>
    <s v="No"/>
    <s v="Off-Peak"/>
    <x v="1"/>
    <n v="0"/>
    <s v="8–30 days"/>
  </r>
  <r>
    <s v="B000928"/>
    <s v="G00182"/>
    <s v="H008"/>
    <s v="CH06"/>
    <d v="2025-07-01T00:00:00"/>
    <d v="2025-07-31T00:00:00"/>
    <x v="1"/>
    <n v="8638"/>
    <x v="2"/>
    <b v="0"/>
    <x v="2"/>
    <x v="8"/>
    <n v="2025"/>
    <n v="3"/>
    <n v="7"/>
    <n v="2025"/>
    <n v="1"/>
    <s v="No"/>
    <x v="1"/>
    <s v="India"/>
    <x v="0"/>
    <s v="StayNest Palace"/>
    <x v="7"/>
    <s v="Heritage"/>
    <n v="85"/>
    <x v="0"/>
    <s v="Retention"/>
    <d v="2025-07-31T00:00:00"/>
    <s v="No"/>
    <s v="No"/>
    <s v="Off-Peak"/>
    <x v="1"/>
    <n v="0"/>
    <s v="8–30 days"/>
  </r>
  <r>
    <s v="B000929"/>
    <s v="G00320"/>
    <s v="H005"/>
    <s v="CH01"/>
    <d v="2025-12-24T00:00:00"/>
    <d v="2026-02-22T00:00:00"/>
    <x v="0"/>
    <n v="4291"/>
    <x v="2"/>
    <b v="0"/>
    <x v="1"/>
    <x v="0"/>
    <n v="2026"/>
    <n v="6"/>
    <n v="12"/>
    <n v="2025"/>
    <n v="2"/>
    <s v="Yes"/>
    <x v="3"/>
    <s v="India"/>
    <x v="0"/>
    <s v="StayNest Heritage"/>
    <x v="11"/>
    <s v="Heritage"/>
    <n v="90"/>
    <x v="5"/>
    <s v="Direct"/>
    <d v="2026-02-22T00:00:00"/>
    <s v="Yes"/>
    <s v="No"/>
    <s v="Shoulder"/>
    <x v="1"/>
    <n v="0"/>
    <s v="31–90 days"/>
  </r>
  <r>
    <s v="B000930"/>
    <s v="G00562"/>
    <s v="H007"/>
    <s v="CH04"/>
    <d v="2025-04-30T00:00:00"/>
    <d v="2025-05-30T00:00:00"/>
    <x v="2"/>
    <n v="2704"/>
    <x v="2"/>
    <b v="0"/>
    <x v="2"/>
    <x v="9"/>
    <n v="2025"/>
    <n v="4"/>
    <n v="4"/>
    <n v="2025"/>
    <n v="2"/>
    <s v="No"/>
    <x v="2"/>
    <s v="United States"/>
    <x v="1"/>
    <s v="StayNest Tech Park"/>
    <x v="6"/>
    <s v="Business"/>
    <n v="140"/>
    <x v="4"/>
    <s v="Partner"/>
    <d v="2025-05-30T00:00:00"/>
    <s v="No"/>
    <s v="No"/>
    <s v="Peak"/>
    <x v="1"/>
    <n v="0"/>
    <s v="8–30 days"/>
  </r>
  <r>
    <s v="B000931"/>
    <s v="G00043"/>
    <s v="H006"/>
    <s v="CH01"/>
    <d v="2026-05-07T00:00:00"/>
    <d v="2026-08-15T00:00:00"/>
    <x v="2"/>
    <n v="2386"/>
    <x v="0"/>
    <b v="0"/>
    <x v="0"/>
    <x v="7"/>
    <n v="2026"/>
    <n v="5"/>
    <n v="5"/>
    <n v="2026"/>
    <n v="3"/>
    <s v="Yes"/>
    <x v="1"/>
    <s v="UAE"/>
    <x v="0"/>
    <s v="StayNest Beach"/>
    <x v="3"/>
    <s v="Resort"/>
    <n v="100"/>
    <x v="5"/>
    <s v="Direct"/>
    <d v="2026-08-15T00:00:00"/>
    <s v="Yes"/>
    <s v="Yes"/>
    <s v="Off-Peak"/>
    <x v="2"/>
    <n v="0"/>
    <s v="91–180 days"/>
  </r>
  <r>
    <s v="B000932"/>
    <s v="G00560"/>
    <s v="H011"/>
    <s v="CH02"/>
    <d v="2025-10-17T00:00:00"/>
    <d v="2025-10-31T00:00:00"/>
    <x v="1"/>
    <n v="6782"/>
    <x v="0"/>
    <b v="0"/>
    <x v="3"/>
    <x v="11"/>
    <n v="2025"/>
    <n v="4"/>
    <n v="10"/>
    <n v="2025"/>
    <n v="4"/>
    <s v="No"/>
    <x v="1"/>
    <s v="India"/>
    <x v="1"/>
    <s v="StayNest Grand"/>
    <x v="8"/>
    <s v="Business"/>
    <n v="110"/>
    <x v="3"/>
    <s v="App Push"/>
    <d v="2025-10-31T00:00:00"/>
    <s v="No"/>
    <s v="No"/>
    <s v="Shoulder"/>
    <x v="1"/>
    <n v="0"/>
    <s v="8–30 days"/>
  </r>
  <r>
    <s v="B000933"/>
    <s v="G00330"/>
    <s v="H009"/>
    <s v="CH04"/>
    <d v="2026-09-17T00:00:00"/>
    <d v="2026-10-01T00:00:00"/>
    <x v="1"/>
    <n v="8404"/>
    <x v="0"/>
    <b v="0"/>
    <x v="3"/>
    <x v="11"/>
    <n v="2026"/>
    <n v="3"/>
    <n v="9"/>
    <n v="2026"/>
    <n v="3"/>
    <s v="No"/>
    <x v="3"/>
    <s v="United States"/>
    <x v="1"/>
    <s v="StayNest Airport"/>
    <x v="9"/>
    <s v="Business"/>
    <n v="160"/>
    <x v="4"/>
    <s v="Partner"/>
    <d v="2026-10-01T00:00:00"/>
    <s v="No"/>
    <s v="No"/>
    <s v="Shoulder"/>
    <x v="1"/>
    <n v="0"/>
    <s v="8–30 days"/>
  </r>
  <r>
    <s v="B000934"/>
    <s v="G00602"/>
    <s v="H012"/>
    <s v="CH05"/>
    <d v="2026-07-10T00:00:00"/>
    <d v="2026-07-13T00:00:00"/>
    <x v="3"/>
    <n v="6886"/>
    <x v="3"/>
    <b v="0"/>
    <x v="6"/>
    <x v="8"/>
    <n v="2026"/>
    <n v="0"/>
    <n v="7"/>
    <n v="2026"/>
    <n v="4"/>
    <s v="No"/>
    <x v="3"/>
    <s v="United States"/>
    <x v="1"/>
    <s v="StayNest Valley"/>
    <x v="4"/>
    <s v="Resort"/>
    <n v="65"/>
    <x v="2"/>
    <s v="Corporate Rate"/>
    <d v="2026-07-13T00:00:00"/>
    <s v="No"/>
    <s v="No"/>
    <s v="Off-Peak"/>
    <x v="1"/>
    <n v="0"/>
    <s v="0–7 days"/>
  </r>
  <r>
    <s v="B000935"/>
    <s v="G00054"/>
    <s v="H011"/>
    <s v="CH04"/>
    <d v="2026-06-05T00:00:00"/>
    <d v="2026-07-05T00:00:00"/>
    <x v="0"/>
    <n v="3683"/>
    <x v="0"/>
    <b v="0"/>
    <x v="2"/>
    <x v="8"/>
    <n v="2026"/>
    <n v="6"/>
    <n v="6"/>
    <n v="2026"/>
    <n v="4"/>
    <s v="Yes"/>
    <x v="1"/>
    <s v="India"/>
    <x v="0"/>
    <s v="StayNest Grand"/>
    <x v="8"/>
    <s v="Business"/>
    <n v="110"/>
    <x v="4"/>
    <s v="Partner"/>
    <d v="2026-07-05T00:00:00"/>
    <s v="Yes"/>
    <s v="No"/>
    <s v="Off-Peak"/>
    <x v="1"/>
    <n v="0"/>
    <s v="8–30 days"/>
  </r>
  <r>
    <s v="B000936"/>
    <s v="G00328"/>
    <s v="H002"/>
    <s v="CH06"/>
    <d v="2025-07-28T00:00:00"/>
    <d v="2025-08-27T00:00:00"/>
    <x v="2"/>
    <n v="4088"/>
    <x v="0"/>
    <b v="0"/>
    <x v="2"/>
    <x v="7"/>
    <n v="2025"/>
    <n v="2"/>
    <n v="7"/>
    <n v="2025"/>
    <n v="0"/>
    <s v="No"/>
    <x v="2"/>
    <s v="India"/>
    <x v="0"/>
    <s v="StayNest Central"/>
    <x v="0"/>
    <s v="Business"/>
    <n v="150"/>
    <x v="0"/>
    <s v="Retention"/>
    <d v="2025-08-27T00:00:00"/>
    <s v="No"/>
    <s v="No"/>
    <s v="Off-Peak"/>
    <x v="1"/>
    <n v="0"/>
    <s v="8–30 days"/>
  </r>
  <r>
    <s v="B000937"/>
    <s v="G00247"/>
    <s v="H011"/>
    <s v="CH03"/>
    <d v="2025-07-01T00:00:00"/>
    <d v="2026-02-06T00:00:00"/>
    <x v="0"/>
    <n v="5146"/>
    <x v="1"/>
    <b v="0"/>
    <x v="8"/>
    <x v="0"/>
    <n v="2026"/>
    <n v="4"/>
    <n v="7"/>
    <n v="2025"/>
    <n v="1"/>
    <s v="No"/>
    <x v="1"/>
    <s v="India"/>
    <x v="0"/>
    <s v="StayNest Grand"/>
    <x v="8"/>
    <s v="Business"/>
    <n v="110"/>
    <x v="1"/>
    <s v="OTA Promo"/>
    <d v="2026-02-06T00:00:00"/>
    <s v="No"/>
    <s v="No"/>
    <s v="Shoulder"/>
    <x v="1"/>
    <n v="1"/>
    <s v="181+ days"/>
  </r>
  <r>
    <s v="B000938"/>
    <s v="G00265"/>
    <s v="H007"/>
    <s v="CH06"/>
    <d v="2026-08-08T00:00:00"/>
    <d v="2026-10-07T00:00:00"/>
    <x v="3"/>
    <n v="39808"/>
    <x v="2"/>
    <b v="1"/>
    <x v="1"/>
    <x v="11"/>
    <n v="2026"/>
    <n v="2"/>
    <n v="8"/>
    <n v="2026"/>
    <n v="5"/>
    <s v="No"/>
    <x v="2"/>
    <s v="Singapore"/>
    <x v="0"/>
    <s v="StayNest Tech Park"/>
    <x v="6"/>
    <s v="Business"/>
    <n v="140"/>
    <x v="0"/>
    <s v="Retention"/>
    <d v="2026-10-07T00:00:00"/>
    <s v="No"/>
    <s v="No"/>
    <s v="Shoulder"/>
    <x v="1"/>
    <n v="0"/>
    <s v="31–90 days"/>
  </r>
  <r>
    <s v="B000939"/>
    <s v="G00195"/>
    <s v="H008"/>
    <s v="CH03"/>
    <d v="2026-09-07T00:00:00"/>
    <d v="2026-09-08T00:00:00"/>
    <x v="1"/>
    <n v="7715"/>
    <x v="1"/>
    <b v="0"/>
    <x v="7"/>
    <x v="10"/>
    <n v="2026"/>
    <n v="1"/>
    <n v="9"/>
    <n v="2026"/>
    <n v="0"/>
    <s v="No"/>
    <x v="0"/>
    <s v="India"/>
    <x v="0"/>
    <s v="StayNest Palace"/>
    <x v="7"/>
    <s v="Heritage"/>
    <n v="85"/>
    <x v="1"/>
    <s v="OTA Promo"/>
    <d v="2026-09-08T00:00:00"/>
    <s v="No"/>
    <s v="No"/>
    <s v="Shoulder"/>
    <x v="1"/>
    <n v="1"/>
    <s v="0–7 days"/>
  </r>
  <r>
    <s v="B000940"/>
    <s v="G00118"/>
    <s v="H002"/>
    <s v="CH02"/>
    <d v="2026-05-16T00:00:00"/>
    <d v="2026-05-17T00:00:00"/>
    <x v="3"/>
    <n v="9762"/>
    <x v="0"/>
    <b v="0"/>
    <x v="7"/>
    <x v="9"/>
    <n v="2026"/>
    <n v="6"/>
    <n v="5"/>
    <n v="2026"/>
    <n v="5"/>
    <s v="Yes"/>
    <x v="3"/>
    <s v="Germany"/>
    <x v="1"/>
    <s v="StayNest Central"/>
    <x v="0"/>
    <s v="Business"/>
    <n v="150"/>
    <x v="3"/>
    <s v="App Push"/>
    <d v="2026-05-17T00:00:00"/>
    <s v="Yes"/>
    <s v="No"/>
    <s v="Peak"/>
    <x v="1"/>
    <n v="0"/>
    <s v="0–7 days"/>
  </r>
  <r>
    <s v="B000941"/>
    <s v="G00112"/>
    <s v="H002"/>
    <s v="CH04"/>
    <d v="2025-07-26T00:00:00"/>
    <d v="2025-12-23T00:00:00"/>
    <x v="1"/>
    <n v="6920"/>
    <x v="1"/>
    <b v="0"/>
    <x v="5"/>
    <x v="5"/>
    <n v="2025"/>
    <n v="1"/>
    <n v="7"/>
    <n v="2025"/>
    <n v="5"/>
    <s v="No"/>
    <x v="1"/>
    <s v="Singapore"/>
    <x v="0"/>
    <s v="StayNest Central"/>
    <x v="0"/>
    <s v="Business"/>
    <n v="150"/>
    <x v="4"/>
    <s v="Partner"/>
    <d v="2025-12-23T00:00:00"/>
    <s v="No"/>
    <s v="No"/>
    <s v="Peak"/>
    <x v="1"/>
    <n v="1"/>
    <s v="91–180 days"/>
  </r>
  <r>
    <s v="B000942"/>
    <s v="G00039"/>
    <s v="H007"/>
    <s v="CH02"/>
    <d v="2025-03-27T00:00:00"/>
    <d v="2025-05-26T00:00:00"/>
    <x v="2"/>
    <n v="3092"/>
    <x v="0"/>
    <b v="0"/>
    <x v="1"/>
    <x v="9"/>
    <n v="2025"/>
    <n v="0"/>
    <n v="3"/>
    <n v="2025"/>
    <n v="3"/>
    <s v="No"/>
    <x v="2"/>
    <s v="Singapore"/>
    <x v="0"/>
    <s v="StayNest Tech Park"/>
    <x v="6"/>
    <s v="Business"/>
    <n v="140"/>
    <x v="3"/>
    <s v="App Push"/>
    <d v="2025-05-26T00:00:00"/>
    <s v="No"/>
    <s v="No"/>
    <s v="Peak"/>
    <x v="1"/>
    <n v="0"/>
    <s v="31–90 days"/>
  </r>
  <r>
    <s v="B000943"/>
    <s v="G00516"/>
    <s v="H004"/>
    <s v="CH02"/>
    <d v="2025-11-22T00:00:00"/>
    <d v="2025-11-23T00:00:00"/>
    <x v="2"/>
    <n v="2899"/>
    <x v="0"/>
    <b v="0"/>
    <x v="7"/>
    <x v="4"/>
    <n v="2025"/>
    <n v="6"/>
    <n v="11"/>
    <n v="2025"/>
    <n v="5"/>
    <s v="Yes"/>
    <x v="2"/>
    <s v="Singapore"/>
    <x v="0"/>
    <s v="StayNest Lakeview"/>
    <x v="2"/>
    <s v="Resort"/>
    <n v="75"/>
    <x v="3"/>
    <s v="App Push"/>
    <d v="2025-11-23T00:00:00"/>
    <s v="Yes"/>
    <s v="No"/>
    <s v="Off-Peak"/>
    <x v="1"/>
    <n v="0"/>
    <s v="0–7 days"/>
  </r>
  <r>
    <s v="B000944"/>
    <s v="G00390"/>
    <s v="H003"/>
    <s v="CH03"/>
    <d v="2026-06-02T00:00:00"/>
    <d v="2026-06-03T00:00:00"/>
    <x v="0"/>
    <n v="5297"/>
    <x v="0"/>
    <b v="0"/>
    <x v="7"/>
    <x v="1"/>
    <n v="2026"/>
    <n v="2"/>
    <n v="6"/>
    <n v="2026"/>
    <n v="1"/>
    <s v="No"/>
    <x v="3"/>
    <s v="India"/>
    <x v="0"/>
    <s v="StayNest Hills"/>
    <x v="5"/>
    <s v="Resort"/>
    <n v="80"/>
    <x v="1"/>
    <s v="OTA Promo"/>
    <d v="2026-06-03T00:00:00"/>
    <s v="No"/>
    <s v="No"/>
    <s v="Shoulder"/>
    <x v="1"/>
    <n v="0"/>
    <s v="0–7 days"/>
  </r>
  <r>
    <s v="B000945"/>
    <s v="G00295"/>
    <s v="H009"/>
    <s v="CH02"/>
    <d v="2025-05-27T00:00:00"/>
    <d v="2025-06-26T00:00:00"/>
    <x v="3"/>
    <n v="9858"/>
    <x v="0"/>
    <b v="0"/>
    <x v="2"/>
    <x v="1"/>
    <n v="2025"/>
    <n v="3"/>
    <n v="5"/>
    <n v="2025"/>
    <n v="1"/>
    <s v="No"/>
    <x v="1"/>
    <s v="United Kingdom"/>
    <x v="0"/>
    <s v="StayNest Airport"/>
    <x v="9"/>
    <s v="Business"/>
    <n v="160"/>
    <x v="3"/>
    <s v="App Push"/>
    <d v="2025-06-26T00:00:00"/>
    <s v="No"/>
    <s v="No"/>
    <s v="Shoulder"/>
    <x v="1"/>
    <n v="0"/>
    <s v="8–30 days"/>
  </r>
  <r>
    <s v="B000946"/>
    <s v="G00330"/>
    <s v="H006"/>
    <s v="CH01"/>
    <d v="2025-05-27T00:00:00"/>
    <d v="2025-09-04T00:00:00"/>
    <x v="0"/>
    <n v="3514"/>
    <x v="0"/>
    <b v="0"/>
    <x v="0"/>
    <x v="10"/>
    <n v="2025"/>
    <n v="3"/>
    <n v="5"/>
    <n v="2025"/>
    <n v="1"/>
    <s v="No"/>
    <x v="3"/>
    <s v="United States"/>
    <x v="1"/>
    <s v="StayNest Beach"/>
    <x v="3"/>
    <s v="Resort"/>
    <n v="100"/>
    <x v="5"/>
    <s v="Direct"/>
    <d v="2025-09-04T00:00:00"/>
    <s v="No"/>
    <s v="No"/>
    <s v="Shoulder"/>
    <x v="1"/>
    <n v="0"/>
    <s v="91–180 days"/>
  </r>
  <r>
    <s v="B000947"/>
    <s v="G00230"/>
    <s v="H011"/>
    <s v="CH01"/>
    <d v="2026-08-01T00:00:00"/>
    <d v="2026-08-31T00:00:00"/>
    <x v="2"/>
    <n v="4119"/>
    <x v="0"/>
    <b v="0"/>
    <x v="2"/>
    <x v="7"/>
    <n v="2026"/>
    <n v="0"/>
    <n v="8"/>
    <n v="2026"/>
    <n v="5"/>
    <s v="No"/>
    <x v="1"/>
    <s v="India"/>
    <x v="0"/>
    <s v="StayNest Grand"/>
    <x v="8"/>
    <s v="Business"/>
    <n v="110"/>
    <x v="5"/>
    <s v="Direct"/>
    <d v="2026-08-31T00:00:00"/>
    <s v="No"/>
    <s v="No"/>
    <s v="Off-Peak"/>
    <x v="1"/>
    <n v="0"/>
    <s v="8–30 days"/>
  </r>
  <r>
    <s v="B000948"/>
    <s v="G00244"/>
    <s v="H011"/>
    <s v="CH04"/>
    <d v="2026-09-20T00:00:00"/>
    <d v="2026-09-27T00:00:00"/>
    <x v="1"/>
    <n v="7197"/>
    <x v="0"/>
    <b v="0"/>
    <x v="4"/>
    <x v="10"/>
    <n v="2026"/>
    <n v="6"/>
    <n v="9"/>
    <n v="2026"/>
    <n v="6"/>
    <s v="Yes"/>
    <x v="0"/>
    <s v="India"/>
    <x v="0"/>
    <s v="StayNest Grand"/>
    <x v="8"/>
    <s v="Business"/>
    <n v="110"/>
    <x v="4"/>
    <s v="Partner"/>
    <d v="2026-09-27T00:00:00"/>
    <s v="Yes"/>
    <s v="No"/>
    <s v="Shoulder"/>
    <x v="1"/>
    <n v="0"/>
    <s v="0–7 days"/>
  </r>
  <r>
    <s v="B000949"/>
    <s v="G00179"/>
    <s v="H007"/>
    <s v="CH03"/>
    <d v="2025-06-14T00:00:00"/>
    <d v="2025-06-28T00:00:00"/>
    <x v="2"/>
    <n v="3849"/>
    <x v="0"/>
    <b v="0"/>
    <x v="3"/>
    <x v="1"/>
    <n v="2025"/>
    <n v="5"/>
    <n v="6"/>
    <n v="2025"/>
    <n v="5"/>
    <s v="Yes"/>
    <x v="0"/>
    <s v="United Kingdom"/>
    <x v="1"/>
    <s v="StayNest Tech Park"/>
    <x v="6"/>
    <s v="Business"/>
    <n v="140"/>
    <x v="1"/>
    <s v="OTA Promo"/>
    <d v="2025-06-28T00:00:00"/>
    <s v="Yes"/>
    <s v="No"/>
    <s v="Shoulder"/>
    <x v="1"/>
    <n v="0"/>
    <s v="8–30 days"/>
  </r>
  <r>
    <s v="B000950"/>
    <s v="G00233"/>
    <s v="H007"/>
    <s v="CH02"/>
    <d v="2026-10-04T00:00:00"/>
    <d v="2026-10-18T00:00:00"/>
    <x v="1"/>
    <n v="8004"/>
    <x v="0"/>
    <b v="0"/>
    <x v="3"/>
    <x v="11"/>
    <n v="2026"/>
    <n v="6"/>
    <n v="10"/>
    <n v="2026"/>
    <n v="6"/>
    <s v="Yes"/>
    <x v="0"/>
    <s v="Germany"/>
    <x v="0"/>
    <s v="StayNest Tech Park"/>
    <x v="6"/>
    <s v="Business"/>
    <n v="140"/>
    <x v="3"/>
    <s v="App Push"/>
    <d v="2026-10-18T00:00:00"/>
    <s v="Yes"/>
    <s v="No"/>
    <s v="Shoulder"/>
    <x v="1"/>
    <n v="0"/>
    <s v="8–30 days"/>
  </r>
  <r>
    <s v="B000951"/>
    <s v="G00346"/>
    <s v="H006"/>
    <s v="CH06"/>
    <d v="2026-02-13T00:00:00"/>
    <d v="2026-02-16T00:00:00"/>
    <x v="0"/>
    <n v="4282"/>
    <x v="2"/>
    <b v="0"/>
    <x v="6"/>
    <x v="0"/>
    <n v="2026"/>
    <n v="0"/>
    <n v="2"/>
    <n v="2026"/>
    <n v="4"/>
    <s v="No"/>
    <x v="0"/>
    <s v="India"/>
    <x v="0"/>
    <s v="StayNest Beach"/>
    <x v="3"/>
    <s v="Resort"/>
    <n v="100"/>
    <x v="0"/>
    <s v="Retention"/>
    <d v="2026-02-16T00:00:00"/>
    <s v="No"/>
    <s v="No"/>
    <s v="Shoulder"/>
    <x v="1"/>
    <n v="0"/>
    <s v="0–7 days"/>
  </r>
  <r>
    <s v="B000952"/>
    <s v="G00373"/>
    <s v="H008"/>
    <s v="CH05"/>
    <d v="2026-02-23T00:00:00"/>
    <d v="2026-03-09T00:00:00"/>
    <x v="3"/>
    <n v="10352"/>
    <x v="2"/>
    <b v="0"/>
    <x v="3"/>
    <x v="3"/>
    <n v="2026"/>
    <n v="0"/>
    <n v="2"/>
    <n v="2026"/>
    <n v="0"/>
    <s v="No"/>
    <x v="1"/>
    <s v="United Kingdom"/>
    <x v="0"/>
    <s v="StayNest Palace"/>
    <x v="7"/>
    <s v="Heritage"/>
    <n v="85"/>
    <x v="2"/>
    <s v="Corporate Rate"/>
    <d v="2026-03-09T00:00:00"/>
    <s v="No"/>
    <s v="No"/>
    <s v="Shoulder"/>
    <x v="1"/>
    <n v="0"/>
    <s v="8–30 days"/>
  </r>
  <r>
    <s v="B000953"/>
    <s v="G00639"/>
    <s v="H007"/>
    <s v="CH01"/>
    <d v="2025-07-24T00:00:00"/>
    <d v="2025-07-31T00:00:00"/>
    <x v="0"/>
    <n v="5619"/>
    <x v="1"/>
    <b v="0"/>
    <x v="4"/>
    <x v="8"/>
    <n v="2025"/>
    <n v="3"/>
    <n v="7"/>
    <n v="2025"/>
    <n v="3"/>
    <s v="No"/>
    <x v="3"/>
    <s v="India"/>
    <x v="1"/>
    <s v="StayNest Tech Park"/>
    <x v="6"/>
    <s v="Business"/>
    <n v="140"/>
    <x v="5"/>
    <s v="Direct"/>
    <d v="2025-07-31T00:00:00"/>
    <s v="No"/>
    <s v="No"/>
    <s v="Off-Peak"/>
    <x v="1"/>
    <n v="1"/>
    <s v="0–7 days"/>
  </r>
  <r>
    <s v="B000954"/>
    <s v="G00212"/>
    <s v="H007"/>
    <s v="CH05"/>
    <d v="2026-11-15T00:00:00"/>
    <d v="2026-11-18T00:00:00"/>
    <x v="0"/>
    <n v="4310"/>
    <x v="2"/>
    <b v="0"/>
    <x v="6"/>
    <x v="4"/>
    <n v="2026"/>
    <n v="2"/>
    <n v="11"/>
    <n v="2026"/>
    <n v="6"/>
    <s v="No"/>
    <x v="1"/>
    <s v="India"/>
    <x v="1"/>
    <s v="StayNest Tech Park"/>
    <x v="6"/>
    <s v="Business"/>
    <n v="140"/>
    <x v="2"/>
    <s v="Corporate Rate"/>
    <d v="2026-11-18T00:00:00"/>
    <s v="No"/>
    <s v="No"/>
    <s v="Off-Peak"/>
    <x v="1"/>
    <n v="0"/>
    <s v="0–7 days"/>
  </r>
  <r>
    <s v="B000955"/>
    <s v="G00499"/>
    <s v="H006"/>
    <s v="CH05"/>
    <d v="2026-09-20T00:00:00"/>
    <d v="2026-10-20T00:00:00"/>
    <x v="2"/>
    <n v="18088"/>
    <x v="0"/>
    <b v="1"/>
    <x v="2"/>
    <x v="11"/>
    <n v="2026"/>
    <n v="1"/>
    <n v="9"/>
    <n v="2026"/>
    <n v="6"/>
    <s v="No"/>
    <x v="2"/>
    <s v="Germany"/>
    <x v="1"/>
    <s v="StayNest Beach"/>
    <x v="3"/>
    <s v="Resort"/>
    <n v="100"/>
    <x v="2"/>
    <s v="Corporate Rate"/>
    <d v="2026-10-20T00:00:00"/>
    <s v="No"/>
    <s v="No"/>
    <s v="Shoulder"/>
    <x v="1"/>
    <n v="0"/>
    <s v="8–30 days"/>
  </r>
  <r>
    <s v="B000956"/>
    <s v="G00366"/>
    <s v="H004"/>
    <s v="CH06"/>
    <d v="2025-06-04T00:00:00"/>
    <d v="2025-11-01T00:00:00"/>
    <x v="3"/>
    <n v="11279"/>
    <x v="2"/>
    <b v="0"/>
    <x v="5"/>
    <x v="4"/>
    <n v="2025"/>
    <n v="5"/>
    <n v="6"/>
    <n v="2025"/>
    <n v="2"/>
    <s v="Yes"/>
    <x v="0"/>
    <s v="United Kingdom"/>
    <x v="0"/>
    <s v="StayNest Lakeview"/>
    <x v="2"/>
    <s v="Resort"/>
    <n v="75"/>
    <x v="0"/>
    <s v="Retention"/>
    <d v="2025-11-01T00:00:00"/>
    <s v="Yes"/>
    <s v="No"/>
    <s v="Off-Peak"/>
    <x v="1"/>
    <n v="0"/>
    <s v="91–180 days"/>
  </r>
  <r>
    <s v="B000957"/>
    <s v="G00297"/>
    <s v="H005"/>
    <s v="CH01"/>
    <d v="2026-07-30T00:00:00"/>
    <d v="2026-08-02T00:00:00"/>
    <x v="0"/>
    <n v="3985"/>
    <x v="0"/>
    <b v="0"/>
    <x v="6"/>
    <x v="7"/>
    <n v="2026"/>
    <n v="6"/>
    <n v="7"/>
    <n v="2026"/>
    <n v="3"/>
    <s v="Yes"/>
    <x v="1"/>
    <s v="Unknown"/>
    <x v="0"/>
    <s v="StayNest Heritage"/>
    <x v="11"/>
    <s v="Heritage"/>
    <n v="90"/>
    <x v="5"/>
    <s v="Direct"/>
    <d v="2026-08-02T00:00:00"/>
    <s v="Yes"/>
    <s v="No"/>
    <s v="Off-Peak"/>
    <x v="1"/>
    <n v="0"/>
    <s v="0–7 days"/>
  </r>
  <r>
    <s v="B000958"/>
    <s v="G00481"/>
    <s v="H012"/>
    <s v="CH03"/>
    <d v="2025-09-13T00:00:00"/>
    <d v="2026-04-21T00:00:00"/>
    <x v="0"/>
    <n v="3661"/>
    <x v="1"/>
    <b v="0"/>
    <x v="8"/>
    <x v="2"/>
    <n v="2026"/>
    <n v="1"/>
    <n v="9"/>
    <n v="2025"/>
    <n v="5"/>
    <s v="No"/>
    <x v="1"/>
    <s v="United Kingdom"/>
    <x v="0"/>
    <s v="StayNest Valley"/>
    <x v="4"/>
    <s v="Resort"/>
    <n v="65"/>
    <x v="1"/>
    <s v="OTA Promo"/>
    <d v="2026-04-21T00:00:00"/>
    <s v="No"/>
    <s v="No"/>
    <s v="Peak"/>
    <x v="1"/>
    <n v="1"/>
    <s v="181+ days"/>
  </r>
  <r>
    <s v="B000959"/>
    <s v="G00175"/>
    <s v="H001"/>
    <s v="CH05"/>
    <d v="2026-01-07T00:00:00"/>
    <d v="2026-06-06T00:00:00"/>
    <x v="0"/>
    <n v="3581"/>
    <x v="0"/>
    <b v="0"/>
    <x v="5"/>
    <x v="1"/>
    <n v="2026"/>
    <n v="5"/>
    <n v="1"/>
    <n v="2026"/>
    <n v="2"/>
    <s v="Yes"/>
    <x v="0"/>
    <s v="United Kingdom"/>
    <x v="0"/>
    <s v="StayNest Marina"/>
    <x v="1"/>
    <s v="Business"/>
    <n v="120"/>
    <x v="2"/>
    <s v="Corporate Rate"/>
    <d v="2026-06-06T00:00:00"/>
    <s v="Yes"/>
    <s v="No"/>
    <s v="Shoulder"/>
    <x v="1"/>
    <n v="0"/>
    <s v="91–180 days"/>
  </r>
  <r>
    <s v="B000960"/>
    <s v="G00088"/>
    <s v="H006"/>
    <s v="CH01"/>
    <d v="2025-07-01T00:00:00"/>
    <d v="2025-07-04T00:00:00"/>
    <x v="3"/>
    <n v="7409"/>
    <x v="3"/>
    <b v="0"/>
    <x v="6"/>
    <x v="8"/>
    <n v="2025"/>
    <n v="4"/>
    <n v="7"/>
    <n v="2025"/>
    <n v="1"/>
    <s v="No"/>
    <x v="2"/>
    <s v="India"/>
    <x v="1"/>
    <s v="StayNest Beach"/>
    <x v="3"/>
    <s v="Resort"/>
    <n v="100"/>
    <x v="5"/>
    <s v="Direct"/>
    <d v="2025-07-04T00:00:00"/>
    <s v="No"/>
    <s v="No"/>
    <s v="Off-Peak"/>
    <x v="1"/>
    <n v="0"/>
    <s v="0–7 days"/>
  </r>
  <r>
    <s v="B000961"/>
    <s v="G00329"/>
    <s v="H005"/>
    <s v="CH06"/>
    <d v="2025-03-27T00:00:00"/>
    <d v="2025-04-10T00:00:00"/>
    <x v="1"/>
    <n v="5692"/>
    <x v="0"/>
    <b v="0"/>
    <x v="3"/>
    <x v="2"/>
    <n v="2025"/>
    <n v="3"/>
    <n v="3"/>
    <n v="2025"/>
    <n v="3"/>
    <s v="No"/>
    <x v="0"/>
    <s v="United States"/>
    <x v="0"/>
    <s v="StayNest Heritage"/>
    <x v="11"/>
    <s v="Heritage"/>
    <n v="90"/>
    <x v="0"/>
    <s v="Retention"/>
    <d v="2025-04-10T00:00:00"/>
    <s v="No"/>
    <s v="No"/>
    <s v="Peak"/>
    <x v="1"/>
    <n v="0"/>
    <s v="8–30 days"/>
  </r>
  <r>
    <s v="B000962"/>
    <s v="G00533"/>
    <s v="H001"/>
    <s v="CH04"/>
    <d v="2025-11-23T00:00:00"/>
    <d v="2026-03-03T00:00:00"/>
    <x v="2"/>
    <n v="3634"/>
    <x v="0"/>
    <b v="0"/>
    <x v="0"/>
    <x v="3"/>
    <n v="2026"/>
    <n v="1"/>
    <n v="11"/>
    <n v="2025"/>
    <n v="6"/>
    <s v="No"/>
    <x v="1"/>
    <s v="India"/>
    <x v="0"/>
    <s v="StayNest Marina"/>
    <x v="1"/>
    <s v="Business"/>
    <n v="120"/>
    <x v="4"/>
    <s v="Partner"/>
    <d v="2026-03-03T00:00:00"/>
    <s v="No"/>
    <s v="No"/>
    <s v="Shoulder"/>
    <x v="1"/>
    <n v="0"/>
    <s v="91–180 days"/>
  </r>
  <r>
    <s v="B000963"/>
    <s v="G00470"/>
    <s v="H011"/>
    <s v="CH01"/>
    <d v="2025-12-07T00:00:00"/>
    <d v="2026-01-06T00:00:00"/>
    <x v="0"/>
    <n v="5849"/>
    <x v="0"/>
    <b v="0"/>
    <x v="2"/>
    <x v="6"/>
    <n v="2026"/>
    <n v="1"/>
    <n v="12"/>
    <n v="2025"/>
    <n v="6"/>
    <s v="No"/>
    <x v="3"/>
    <s v="India"/>
    <x v="0"/>
    <s v="StayNest Grand"/>
    <x v="8"/>
    <s v="Business"/>
    <n v="110"/>
    <x v="5"/>
    <s v="Direct"/>
    <d v="2026-01-06T00:00:00"/>
    <s v="No"/>
    <s v="No"/>
    <s v="Off-Peak"/>
    <x v="1"/>
    <n v="0"/>
    <s v="8–30 days"/>
  </r>
  <r>
    <s v="B000964"/>
    <s v="G00037"/>
    <s v="H012"/>
    <s v="CH06"/>
    <d v="2025-10-04T00:00:00"/>
    <d v="2025-12-03T00:00:00"/>
    <x v="3"/>
    <n v="9977"/>
    <x v="0"/>
    <b v="0"/>
    <x v="1"/>
    <x v="5"/>
    <n v="2025"/>
    <n v="2"/>
    <n v="10"/>
    <n v="2025"/>
    <n v="5"/>
    <s v="No"/>
    <x v="3"/>
    <s v="Germany"/>
    <x v="0"/>
    <s v="StayNest Valley"/>
    <x v="4"/>
    <s v="Resort"/>
    <n v="65"/>
    <x v="0"/>
    <s v="Retention"/>
    <d v="2025-12-03T00:00:00"/>
    <s v="No"/>
    <s v="No"/>
    <s v="Peak"/>
    <x v="1"/>
    <n v="0"/>
    <s v="31–90 days"/>
  </r>
  <r>
    <s v="B000965"/>
    <s v="G00268"/>
    <s v="H009"/>
    <s v="CH02"/>
    <d v="2026-05-16T00:00:00"/>
    <d v="2026-05-23T00:00:00"/>
    <x v="2"/>
    <n v="4081"/>
    <x v="0"/>
    <b v="0"/>
    <x v="4"/>
    <x v="9"/>
    <n v="2026"/>
    <n v="5"/>
    <n v="5"/>
    <n v="2026"/>
    <n v="5"/>
    <s v="Yes"/>
    <x v="1"/>
    <s v="India"/>
    <x v="0"/>
    <s v="StayNest Airport"/>
    <x v="9"/>
    <s v="Business"/>
    <n v="160"/>
    <x v="3"/>
    <s v="App Push"/>
    <d v="2026-05-23T00:00:00"/>
    <s v="Yes"/>
    <s v="No"/>
    <s v="Peak"/>
    <x v="1"/>
    <n v="0"/>
    <s v="0–7 days"/>
  </r>
  <r>
    <s v="B000966"/>
    <s v="G00132"/>
    <s v="H002"/>
    <s v="CH02"/>
    <d v="2025-03-18T00:00:00"/>
    <d v="2025-03-21T00:00:00"/>
    <x v="2"/>
    <n v="3371"/>
    <x v="2"/>
    <b v="0"/>
    <x v="6"/>
    <x v="3"/>
    <n v="2025"/>
    <n v="4"/>
    <n v="3"/>
    <n v="2025"/>
    <n v="1"/>
    <s v="No"/>
    <x v="3"/>
    <s v="India"/>
    <x v="0"/>
    <s v="StayNest Central"/>
    <x v="0"/>
    <s v="Business"/>
    <n v="150"/>
    <x v="3"/>
    <s v="App Push"/>
    <d v="2025-03-21T00:00:00"/>
    <s v="No"/>
    <s v="No"/>
    <s v="Shoulder"/>
    <x v="1"/>
    <n v="0"/>
    <s v="0–7 days"/>
  </r>
  <r>
    <s v="B000967"/>
    <s v="G00350"/>
    <s v="H010"/>
    <s v="CH01"/>
    <d v="2025-06-09T00:00:00"/>
    <d v="2025-07-09T00:00:00"/>
    <x v="1"/>
    <n v="5499"/>
    <x v="2"/>
    <b v="0"/>
    <x v="2"/>
    <x v="8"/>
    <n v="2025"/>
    <n v="2"/>
    <n v="6"/>
    <n v="2025"/>
    <n v="0"/>
    <s v="No"/>
    <x v="3"/>
    <s v="Germany"/>
    <x v="1"/>
    <s v="StayNest Garden"/>
    <x v="10"/>
    <s v="Boutique"/>
    <n v="70"/>
    <x v="5"/>
    <s v="Direct"/>
    <d v="2025-07-09T00:00:00"/>
    <s v="No"/>
    <s v="No"/>
    <s v="Off-Peak"/>
    <x v="1"/>
    <n v="0"/>
    <s v="8–30 days"/>
  </r>
  <r>
    <s v="B000968"/>
    <s v="G00084"/>
    <s v="H003"/>
    <s v="CH01"/>
    <d v="2025-04-04T00:00:00"/>
    <d v="2025-04-05T00:00:00"/>
    <x v="0"/>
    <n v="3825"/>
    <x v="2"/>
    <b v="0"/>
    <x v="7"/>
    <x v="2"/>
    <n v="2025"/>
    <n v="5"/>
    <n v="4"/>
    <n v="2025"/>
    <n v="4"/>
    <s v="Yes"/>
    <x v="1"/>
    <s v="India"/>
    <x v="0"/>
    <s v="StayNest Hills"/>
    <x v="5"/>
    <s v="Resort"/>
    <n v="80"/>
    <x v="5"/>
    <s v="Direct"/>
    <d v="2025-04-05T00:00:00"/>
    <s v="Yes"/>
    <s v="No"/>
    <s v="Peak"/>
    <x v="1"/>
    <n v="0"/>
    <s v="0–7 days"/>
  </r>
  <r>
    <s v="B000969"/>
    <s v="G00508"/>
    <s v="H010"/>
    <s v="CH06"/>
    <d v="2025-07-10T00:00:00"/>
    <d v="2025-07-24T00:00:00"/>
    <x v="2"/>
    <n v="2578"/>
    <x v="0"/>
    <b v="0"/>
    <x v="3"/>
    <x v="8"/>
    <n v="2025"/>
    <n v="3"/>
    <n v="7"/>
    <n v="2025"/>
    <n v="3"/>
    <s v="No"/>
    <x v="1"/>
    <s v="United States"/>
    <x v="0"/>
    <s v="StayNest Garden"/>
    <x v="10"/>
    <s v="Boutique"/>
    <n v="70"/>
    <x v="0"/>
    <s v="Retention"/>
    <d v="2025-07-24T00:00:00"/>
    <s v="No"/>
    <s v="No"/>
    <s v="Off-Peak"/>
    <x v="1"/>
    <n v="0"/>
    <s v="8–30 days"/>
  </r>
  <r>
    <s v="B000970"/>
    <s v="G00556"/>
    <s v="H010"/>
    <s v="CH02"/>
    <d v="2025-05-07T00:00:00"/>
    <d v="2025-07-06T00:00:00"/>
    <x v="2"/>
    <n v="2583"/>
    <x v="0"/>
    <b v="0"/>
    <x v="1"/>
    <x v="8"/>
    <n v="2025"/>
    <n v="6"/>
    <n v="5"/>
    <n v="2025"/>
    <n v="2"/>
    <s v="Yes"/>
    <x v="2"/>
    <s v="India"/>
    <x v="0"/>
    <s v="StayNest Garden"/>
    <x v="10"/>
    <s v="Boutique"/>
    <n v="70"/>
    <x v="3"/>
    <s v="App Push"/>
    <d v="2025-07-06T00:00:00"/>
    <s v="Yes"/>
    <s v="No"/>
    <s v="Off-Peak"/>
    <x v="1"/>
    <n v="0"/>
    <s v="31–90 days"/>
  </r>
  <r>
    <s v="B000971"/>
    <s v="G00423"/>
    <s v="H009"/>
    <s v="CH06"/>
    <d v="2025-10-20T00:00:00"/>
    <d v="2025-10-27T00:00:00"/>
    <x v="3"/>
    <n v="10846"/>
    <x v="0"/>
    <b v="0"/>
    <x v="4"/>
    <x v="11"/>
    <n v="2025"/>
    <n v="0"/>
    <n v="10"/>
    <n v="2025"/>
    <n v="0"/>
    <s v="No"/>
    <x v="3"/>
    <s v="India"/>
    <x v="1"/>
    <s v="StayNest Airport"/>
    <x v="9"/>
    <s v="Business"/>
    <n v="160"/>
    <x v="0"/>
    <s v="Retention"/>
    <d v="2025-10-27T00:00:00"/>
    <s v="No"/>
    <s v="No"/>
    <s v="Shoulder"/>
    <x v="1"/>
    <n v="0"/>
    <s v="0–7 days"/>
  </r>
  <r>
    <s v="B000972"/>
    <s v="G00166"/>
    <s v="H002"/>
    <s v="CH01"/>
    <d v="2025-03-06T00:00:00"/>
    <d v="2025-04-05T00:00:00"/>
    <x v="2"/>
    <n v="3747"/>
    <x v="0"/>
    <b v="0"/>
    <x v="2"/>
    <x v="2"/>
    <n v="2025"/>
    <n v="5"/>
    <n v="3"/>
    <n v="2025"/>
    <n v="3"/>
    <s v="Yes"/>
    <x v="0"/>
    <s v="India"/>
    <x v="1"/>
    <s v="StayNest Central"/>
    <x v="0"/>
    <s v="Business"/>
    <n v="150"/>
    <x v="5"/>
    <s v="Direct"/>
    <d v="2025-04-05T00:00:00"/>
    <s v="Yes"/>
    <s v="No"/>
    <s v="Peak"/>
    <x v="1"/>
    <n v="0"/>
    <s v="8–30 days"/>
  </r>
  <r>
    <s v="B000973"/>
    <s v="G00091"/>
    <s v="H006"/>
    <s v="CH05"/>
    <d v="2026-01-06T00:00:00"/>
    <d v="2026-03-07T00:00:00"/>
    <x v="2"/>
    <n v="2737"/>
    <x v="0"/>
    <b v="0"/>
    <x v="1"/>
    <x v="3"/>
    <n v="2026"/>
    <n v="5"/>
    <n v="1"/>
    <n v="2026"/>
    <n v="1"/>
    <s v="Yes"/>
    <x v="0"/>
    <s v="India"/>
    <x v="0"/>
    <s v="StayNest Beach"/>
    <x v="3"/>
    <s v="Resort"/>
    <n v="100"/>
    <x v="2"/>
    <s v="Corporate Rate"/>
    <d v="2026-03-07T00:00:00"/>
    <s v="Yes"/>
    <s v="No"/>
    <s v="Shoulder"/>
    <x v="1"/>
    <n v="0"/>
    <s v="31–90 days"/>
  </r>
  <r>
    <s v="B000974"/>
    <s v="G00501"/>
    <s v="H006"/>
    <s v="CH05"/>
    <d v="2025-07-14T00:00:00"/>
    <d v="2025-07-21T00:00:00"/>
    <x v="0"/>
    <n v="4945"/>
    <x v="2"/>
    <b v="0"/>
    <x v="4"/>
    <x v="8"/>
    <n v="2025"/>
    <n v="0"/>
    <n v="7"/>
    <n v="2025"/>
    <n v="0"/>
    <s v="No"/>
    <x v="0"/>
    <s v="Germany"/>
    <x v="1"/>
    <s v="StayNest Beach"/>
    <x v="3"/>
    <s v="Resort"/>
    <n v="100"/>
    <x v="2"/>
    <s v="Corporate Rate"/>
    <d v="2025-07-21T00:00:00"/>
    <s v="No"/>
    <s v="No"/>
    <s v="Off-Peak"/>
    <x v="1"/>
    <n v="0"/>
    <s v="0–7 days"/>
  </r>
  <r>
    <s v="B000975"/>
    <s v="G00413"/>
    <s v="H008"/>
    <s v="CH04"/>
    <d v="2026-04-09T00:00:00"/>
    <d v="2026-04-12T00:00:00"/>
    <x v="1"/>
    <n v="8228"/>
    <x v="0"/>
    <b v="0"/>
    <x v="6"/>
    <x v="2"/>
    <n v="2026"/>
    <n v="6"/>
    <n v="4"/>
    <n v="2026"/>
    <n v="3"/>
    <s v="Yes"/>
    <x v="1"/>
    <s v="India"/>
    <x v="0"/>
    <s v="StayNest Palace"/>
    <x v="7"/>
    <s v="Heritage"/>
    <n v="85"/>
    <x v="4"/>
    <s v="Partner"/>
    <d v="2026-04-12T00:00:00"/>
    <s v="Yes"/>
    <s v="No"/>
    <s v="Peak"/>
    <x v="1"/>
    <n v="0"/>
    <s v="0–7 days"/>
  </r>
  <r>
    <s v="B000976"/>
    <s v="G00410"/>
    <s v="H006"/>
    <s v="CH01"/>
    <d v="2026-03-21T00:00:00"/>
    <d v="2026-05-20T00:00:00"/>
    <x v="0"/>
    <n v="4253"/>
    <x v="0"/>
    <b v="0"/>
    <x v="1"/>
    <x v="9"/>
    <n v="2026"/>
    <n v="2"/>
    <n v="3"/>
    <n v="2026"/>
    <n v="5"/>
    <s v="No"/>
    <x v="0"/>
    <s v="India"/>
    <x v="0"/>
    <s v="StayNest Beach"/>
    <x v="3"/>
    <s v="Resort"/>
    <n v="100"/>
    <x v="5"/>
    <s v="Direct"/>
    <d v="2026-05-20T00:00:00"/>
    <s v="No"/>
    <s v="No"/>
    <s v="Peak"/>
    <x v="1"/>
    <n v="0"/>
    <s v="31–90 days"/>
  </r>
  <r>
    <s v="B000977"/>
    <s v="G00203"/>
    <s v="H001"/>
    <s v="CH04"/>
    <d v="2026-02-06T00:00:00"/>
    <d v="2026-02-09T00:00:00"/>
    <x v="3"/>
    <n v="11471"/>
    <x v="2"/>
    <b v="0"/>
    <x v="6"/>
    <x v="0"/>
    <n v="2026"/>
    <n v="0"/>
    <n v="2"/>
    <n v="2026"/>
    <n v="4"/>
    <s v="No"/>
    <x v="3"/>
    <s v="United Kingdom"/>
    <x v="1"/>
    <s v="StayNest Marina"/>
    <x v="1"/>
    <s v="Business"/>
    <n v="120"/>
    <x v="4"/>
    <s v="Partner"/>
    <d v="2026-02-09T00:00:00"/>
    <s v="No"/>
    <s v="No"/>
    <s v="Shoulder"/>
    <x v="1"/>
    <n v="0"/>
    <s v="0–7 days"/>
  </r>
  <r>
    <s v="B000978"/>
    <s v="G00500"/>
    <s v="H011"/>
    <s v="CH01"/>
    <d v="2025-12-28T00:00:00"/>
    <d v="2026-05-27T00:00:00"/>
    <x v="2"/>
    <n v="3645"/>
    <x v="0"/>
    <b v="0"/>
    <x v="5"/>
    <x v="9"/>
    <n v="2026"/>
    <n v="2"/>
    <n v="12"/>
    <n v="2025"/>
    <n v="6"/>
    <s v="No"/>
    <x v="0"/>
    <s v="India"/>
    <x v="0"/>
    <s v="StayNest Grand"/>
    <x v="8"/>
    <s v="Business"/>
    <n v="110"/>
    <x v="5"/>
    <s v="Direct"/>
    <d v="2026-05-27T00:00:00"/>
    <s v="No"/>
    <s v="No"/>
    <s v="Peak"/>
    <x v="1"/>
    <n v="0"/>
    <s v="91–180 days"/>
  </r>
  <r>
    <s v="B000979"/>
    <s v="G00222"/>
    <s v="H007"/>
    <s v="CH04"/>
    <d v="2025-01-14T00:00:00"/>
    <d v="2025-06-13T00:00:00"/>
    <x v="0"/>
    <n v="4772"/>
    <x v="0"/>
    <b v="0"/>
    <x v="5"/>
    <x v="1"/>
    <n v="2025"/>
    <n v="4"/>
    <n v="1"/>
    <n v="2025"/>
    <n v="1"/>
    <s v="No"/>
    <x v="1"/>
    <s v="United Kingdom"/>
    <x v="0"/>
    <s v="StayNest Tech Park"/>
    <x v="6"/>
    <s v="Business"/>
    <n v="140"/>
    <x v="4"/>
    <s v="Partner"/>
    <d v="2025-06-13T00:00:00"/>
    <s v="No"/>
    <s v="No"/>
    <s v="Shoulder"/>
    <x v="1"/>
    <n v="0"/>
    <s v="91–180 days"/>
  </r>
  <r>
    <s v="B000980"/>
    <s v="G00350"/>
    <s v="H012"/>
    <s v="CH03"/>
    <d v="2025-05-12T00:00:00"/>
    <d v="2025-05-26T00:00:00"/>
    <x v="1"/>
    <n v="6708"/>
    <x v="2"/>
    <b v="0"/>
    <x v="3"/>
    <x v="9"/>
    <n v="2025"/>
    <n v="0"/>
    <n v="5"/>
    <n v="2025"/>
    <n v="0"/>
    <s v="No"/>
    <x v="3"/>
    <s v="Germany"/>
    <x v="1"/>
    <s v="StayNest Valley"/>
    <x v="4"/>
    <s v="Resort"/>
    <n v="65"/>
    <x v="1"/>
    <s v="OTA Promo"/>
    <d v="2025-05-26T00:00:00"/>
    <s v="No"/>
    <s v="No"/>
    <s v="Peak"/>
    <x v="1"/>
    <n v="0"/>
    <s v="8–30 days"/>
  </r>
  <r>
    <s v="B000981"/>
    <s v="G00321"/>
    <s v="H011"/>
    <s v="CH04"/>
    <d v="2025-10-15T00:00:00"/>
    <d v="2025-11-14T00:00:00"/>
    <x v="3"/>
    <n v="9136"/>
    <x v="0"/>
    <b v="0"/>
    <x v="2"/>
    <x v="4"/>
    <n v="2025"/>
    <n v="4"/>
    <n v="10"/>
    <n v="2025"/>
    <n v="2"/>
    <s v="No"/>
    <x v="0"/>
    <s v="India"/>
    <x v="0"/>
    <s v="StayNest Grand"/>
    <x v="8"/>
    <s v="Business"/>
    <n v="110"/>
    <x v="4"/>
    <s v="Partner"/>
    <d v="2025-11-14T00:00:00"/>
    <s v="No"/>
    <s v="No"/>
    <s v="Off-Peak"/>
    <x v="1"/>
    <n v="0"/>
    <s v="8–30 days"/>
  </r>
  <r>
    <s v="B000982"/>
    <s v="G00608"/>
    <s v="H010"/>
    <s v="CH02"/>
    <d v="2025-09-13T00:00:00"/>
    <d v="2025-09-27T00:00:00"/>
    <x v="1"/>
    <n v="6573"/>
    <x v="0"/>
    <b v="0"/>
    <x v="3"/>
    <x v="10"/>
    <n v="2025"/>
    <n v="5"/>
    <n v="9"/>
    <n v="2025"/>
    <n v="5"/>
    <s v="Yes"/>
    <x v="3"/>
    <s v="United States"/>
    <x v="0"/>
    <s v="StayNest Garden"/>
    <x v="10"/>
    <s v="Boutique"/>
    <n v="70"/>
    <x v="3"/>
    <s v="App Push"/>
    <d v="2025-09-27T00:00:00"/>
    <s v="Yes"/>
    <s v="No"/>
    <s v="Shoulder"/>
    <x v="1"/>
    <n v="0"/>
    <s v="8–30 days"/>
  </r>
  <r>
    <s v="B000983"/>
    <s v="G00503"/>
    <s v="H008"/>
    <s v="CH05"/>
    <d v="2025-09-30T00:00:00"/>
    <d v="2025-10-01T00:00:00"/>
    <x v="1"/>
    <n v="6490"/>
    <x v="1"/>
    <b v="0"/>
    <x v="7"/>
    <x v="11"/>
    <n v="2025"/>
    <n v="2"/>
    <n v="9"/>
    <n v="2025"/>
    <n v="1"/>
    <s v="No"/>
    <x v="1"/>
    <s v="United Kingdom"/>
    <x v="0"/>
    <s v="StayNest Palace"/>
    <x v="7"/>
    <s v="Heritage"/>
    <n v="85"/>
    <x v="2"/>
    <s v="Corporate Rate"/>
    <d v="2025-10-01T00:00:00"/>
    <s v="No"/>
    <s v="No"/>
    <s v="Shoulder"/>
    <x v="1"/>
    <n v="1"/>
    <s v="0–7 days"/>
  </r>
  <r>
    <s v="B000984"/>
    <s v="G00253"/>
    <s v="H004"/>
    <s v="CH06"/>
    <d v="2025-01-04T00:00:00"/>
    <d v="2025-01-18T00:00:00"/>
    <x v="1"/>
    <n v="6985"/>
    <x v="0"/>
    <b v="0"/>
    <x v="3"/>
    <x v="6"/>
    <n v="2025"/>
    <n v="5"/>
    <n v="1"/>
    <n v="2025"/>
    <n v="5"/>
    <s v="Yes"/>
    <x v="3"/>
    <s v="India"/>
    <x v="1"/>
    <s v="StayNest Lakeview"/>
    <x v="2"/>
    <s v="Resort"/>
    <n v="75"/>
    <x v="0"/>
    <s v="Retention"/>
    <d v="2025-01-18T00:00:00"/>
    <s v="Yes"/>
    <s v="No"/>
    <s v="Off-Peak"/>
    <x v="1"/>
    <n v="0"/>
    <s v="8–30 days"/>
  </r>
  <r>
    <s v="B000985"/>
    <s v="G00193"/>
    <s v="H010"/>
    <s v="CH05"/>
    <d v="2025-05-04T00:00:00"/>
    <d v="2025-05-11T00:00:00"/>
    <x v="2"/>
    <n v="3272"/>
    <x v="2"/>
    <b v="0"/>
    <x v="4"/>
    <x v="9"/>
    <n v="2025"/>
    <n v="6"/>
    <n v="5"/>
    <n v="2025"/>
    <n v="6"/>
    <s v="Yes"/>
    <x v="3"/>
    <s v="India"/>
    <x v="0"/>
    <s v="StayNest Garden"/>
    <x v="10"/>
    <s v="Boutique"/>
    <n v="70"/>
    <x v="2"/>
    <s v="Corporate Rate"/>
    <d v="2025-05-11T00:00:00"/>
    <s v="Yes"/>
    <s v="No"/>
    <s v="Peak"/>
    <x v="1"/>
    <n v="0"/>
    <s v="0–7 days"/>
  </r>
  <r>
    <s v="B000986"/>
    <s v="G00012"/>
    <s v="H005"/>
    <s v="CH03"/>
    <d v="2025-07-29T00:00:00"/>
    <d v="2025-08-01T00:00:00"/>
    <x v="2"/>
    <n v="3534"/>
    <x v="0"/>
    <b v="0"/>
    <x v="6"/>
    <x v="7"/>
    <n v="2025"/>
    <n v="4"/>
    <n v="7"/>
    <n v="2025"/>
    <n v="1"/>
    <s v="No"/>
    <x v="2"/>
    <s v="India"/>
    <x v="0"/>
    <s v="StayNest Heritage"/>
    <x v="11"/>
    <s v="Heritage"/>
    <n v="90"/>
    <x v="1"/>
    <s v="OTA Promo"/>
    <d v="2025-08-01T00:00:00"/>
    <s v="No"/>
    <s v="No"/>
    <s v="Off-Peak"/>
    <x v="1"/>
    <n v="0"/>
    <s v="0–7 days"/>
  </r>
  <r>
    <s v="B000987"/>
    <s v="G00641"/>
    <s v="H007"/>
    <s v="CH05"/>
    <d v="2025-06-10T00:00:00"/>
    <d v="2025-07-10T00:00:00"/>
    <x v="3"/>
    <n v="10235"/>
    <x v="0"/>
    <b v="0"/>
    <x v="2"/>
    <x v="8"/>
    <n v="2025"/>
    <n v="3"/>
    <n v="6"/>
    <n v="2025"/>
    <n v="1"/>
    <s v="No"/>
    <x v="0"/>
    <s v="India"/>
    <x v="0"/>
    <s v="StayNest Tech Park"/>
    <x v="6"/>
    <s v="Business"/>
    <n v="140"/>
    <x v="2"/>
    <s v="Corporate Rate"/>
    <d v="2025-07-10T00:00:00"/>
    <s v="No"/>
    <s v="No"/>
    <s v="Off-Peak"/>
    <x v="1"/>
    <n v="0"/>
    <s v="8–30 days"/>
  </r>
  <r>
    <s v="B000988"/>
    <s v="G00601"/>
    <s v="H003"/>
    <s v="CH03"/>
    <d v="2025-01-18T00:00:00"/>
    <d v="2025-01-21T00:00:00"/>
    <x v="3"/>
    <n v="7661"/>
    <x v="0"/>
    <b v="0"/>
    <x v="6"/>
    <x v="6"/>
    <n v="2025"/>
    <n v="1"/>
    <n v="1"/>
    <n v="2025"/>
    <n v="5"/>
    <s v="No"/>
    <x v="3"/>
    <s v="India"/>
    <x v="1"/>
    <s v="StayNest Hills"/>
    <x v="5"/>
    <s v="Resort"/>
    <n v="80"/>
    <x v="1"/>
    <s v="OTA Promo"/>
    <d v="2025-01-21T00:00:00"/>
    <s v="No"/>
    <s v="No"/>
    <s v="Off-Peak"/>
    <x v="1"/>
    <n v="0"/>
    <s v="0–7 days"/>
  </r>
  <r>
    <s v="B000989"/>
    <s v="G00445"/>
    <s v="H011"/>
    <s v="CH03"/>
    <d v="2026-02-10T00:00:00"/>
    <d v="2026-02-13T00:00:00"/>
    <x v="2"/>
    <n v="2863"/>
    <x v="1"/>
    <b v="0"/>
    <x v="6"/>
    <x v="0"/>
    <n v="2026"/>
    <n v="4"/>
    <n v="2"/>
    <n v="2026"/>
    <n v="1"/>
    <s v="No"/>
    <x v="3"/>
    <s v="India"/>
    <x v="0"/>
    <s v="StayNest Grand"/>
    <x v="8"/>
    <s v="Business"/>
    <n v="110"/>
    <x v="1"/>
    <s v="OTA Promo"/>
    <d v="2026-02-13T00:00:00"/>
    <s v="No"/>
    <s v="No"/>
    <s v="Shoulder"/>
    <x v="1"/>
    <n v="1"/>
    <s v="0–7 days"/>
  </r>
  <r>
    <s v="B000990"/>
    <s v="G00136"/>
    <s v="H008"/>
    <s v="CH01"/>
    <d v="2025-03-11T00:00:00"/>
    <d v="2025-03-14T00:00:00"/>
    <x v="2"/>
    <n v="2534"/>
    <x v="0"/>
    <b v="0"/>
    <x v="6"/>
    <x v="3"/>
    <n v="2025"/>
    <n v="4"/>
    <n v="3"/>
    <n v="2025"/>
    <n v="1"/>
    <s v="No"/>
    <x v="1"/>
    <s v="India"/>
    <x v="0"/>
    <s v="StayNest Palace"/>
    <x v="7"/>
    <s v="Heritage"/>
    <n v="85"/>
    <x v="5"/>
    <s v="Direct"/>
    <d v="2025-03-14T00:00:00"/>
    <s v="No"/>
    <s v="No"/>
    <s v="Shoulder"/>
    <x v="1"/>
    <n v="0"/>
    <s v="0–7 days"/>
  </r>
  <r>
    <s v="B000991"/>
    <s v="G00352"/>
    <s v="H002"/>
    <s v="CH04"/>
    <d v="2026-02-15T00:00:00"/>
    <d v="2026-03-17T00:00:00"/>
    <x v="1"/>
    <n v="8370"/>
    <x v="0"/>
    <b v="0"/>
    <x v="2"/>
    <x v="3"/>
    <n v="2026"/>
    <n v="1"/>
    <n v="2"/>
    <n v="2026"/>
    <n v="6"/>
    <s v="No"/>
    <x v="3"/>
    <s v="Germany"/>
    <x v="1"/>
    <s v="StayNest Central"/>
    <x v="0"/>
    <s v="Business"/>
    <n v="150"/>
    <x v="4"/>
    <s v="Partner"/>
    <d v="2026-03-17T00:00:00"/>
    <s v="No"/>
    <s v="No"/>
    <s v="Shoulder"/>
    <x v="1"/>
    <n v="0"/>
    <s v="8–30 days"/>
  </r>
  <r>
    <s v="B000992"/>
    <s v="G00268"/>
    <s v="H004"/>
    <s v="CH02"/>
    <d v="2025-02-27T00:00:00"/>
    <d v="2025-03-29T00:00:00"/>
    <x v="2"/>
    <n v="3516"/>
    <x v="3"/>
    <b v="0"/>
    <x v="2"/>
    <x v="3"/>
    <n v="2025"/>
    <n v="5"/>
    <n v="2"/>
    <n v="2025"/>
    <n v="3"/>
    <s v="Yes"/>
    <x v="1"/>
    <s v="India"/>
    <x v="0"/>
    <s v="StayNest Lakeview"/>
    <x v="2"/>
    <s v="Resort"/>
    <n v="75"/>
    <x v="3"/>
    <s v="App Push"/>
    <d v="2025-03-29T00:00:00"/>
    <s v="Yes"/>
    <s v="No"/>
    <s v="Shoulder"/>
    <x v="1"/>
    <n v="0"/>
    <s v="8–30 days"/>
  </r>
  <r>
    <s v="B000993"/>
    <s v="G00141"/>
    <s v="H009"/>
    <s v="CH03"/>
    <d v="2025-11-27T00:00:00"/>
    <d v="2025-12-11T00:00:00"/>
    <x v="1"/>
    <n v="5096"/>
    <x v="0"/>
    <b v="0"/>
    <x v="3"/>
    <x v="5"/>
    <n v="2025"/>
    <n v="3"/>
    <n v="11"/>
    <n v="2025"/>
    <n v="3"/>
    <s v="No"/>
    <x v="3"/>
    <s v="India"/>
    <x v="1"/>
    <s v="StayNest Airport"/>
    <x v="9"/>
    <s v="Business"/>
    <n v="160"/>
    <x v="1"/>
    <s v="OTA Promo"/>
    <d v="2025-12-11T00:00:00"/>
    <s v="No"/>
    <s v="No"/>
    <s v="Peak"/>
    <x v="1"/>
    <n v="0"/>
    <s v="8–30 days"/>
  </r>
  <r>
    <s v="B000995"/>
    <s v="G00218"/>
    <s v="H003"/>
    <s v="CH05"/>
    <d v="2025-01-08T00:00:00"/>
    <d v="2025-06-07T00:00:00"/>
    <x v="3"/>
    <n v="10685"/>
    <x v="1"/>
    <b v="0"/>
    <x v="5"/>
    <x v="1"/>
    <n v="2025"/>
    <n v="5"/>
    <n v="1"/>
    <n v="2025"/>
    <n v="2"/>
    <s v="Yes"/>
    <x v="1"/>
    <s v="Germany"/>
    <x v="0"/>
    <s v="StayNest Hills"/>
    <x v="5"/>
    <s v="Resort"/>
    <n v="80"/>
    <x v="2"/>
    <s v="Corporate Rate"/>
    <d v="2025-06-07T00:00:00"/>
    <s v="Yes"/>
    <s v="No"/>
    <s v="Shoulder"/>
    <x v="1"/>
    <n v="1"/>
    <s v="91–180 days"/>
  </r>
  <r>
    <s v="B000996"/>
    <s v="G00623"/>
    <s v="H005"/>
    <s v="CH03"/>
    <d v="2025-07-20T00:00:00"/>
    <d v="2025-08-03T00:00:00"/>
    <x v="3"/>
    <n v="10199"/>
    <x v="2"/>
    <b v="0"/>
    <x v="3"/>
    <x v="7"/>
    <n v="2025"/>
    <n v="6"/>
    <n v="7"/>
    <n v="2025"/>
    <n v="6"/>
    <s v="Yes"/>
    <x v="1"/>
    <s v="India"/>
    <x v="1"/>
    <s v="StayNest Heritage"/>
    <x v="11"/>
    <s v="Heritage"/>
    <n v="90"/>
    <x v="1"/>
    <s v="OTA Promo"/>
    <d v="2025-08-03T00:00:00"/>
    <s v="Yes"/>
    <s v="No"/>
    <s v="Off-Peak"/>
    <x v="1"/>
    <n v="0"/>
    <s v="8–30 days"/>
  </r>
  <r>
    <s v="B000997"/>
    <s v="G00416"/>
    <s v="H004"/>
    <s v="CH02"/>
    <d v="2025-04-26T00:00:00"/>
    <d v="2025-04-27T00:00:00"/>
    <x v="2"/>
    <n v="2609"/>
    <x v="0"/>
    <b v="0"/>
    <x v="7"/>
    <x v="2"/>
    <n v="2025"/>
    <n v="6"/>
    <n v="4"/>
    <n v="2025"/>
    <n v="5"/>
    <s v="Yes"/>
    <x v="0"/>
    <s v="India"/>
    <x v="0"/>
    <s v="StayNest Lakeview"/>
    <x v="2"/>
    <s v="Resort"/>
    <n v="75"/>
    <x v="3"/>
    <s v="App Push"/>
    <d v="2025-04-27T00:00:00"/>
    <s v="Yes"/>
    <s v="No"/>
    <s v="Peak"/>
    <x v="1"/>
    <n v="0"/>
    <s v="0–7 days"/>
  </r>
  <r>
    <s v="B000998"/>
    <s v="G00311"/>
    <s v="H006"/>
    <s v="CH04"/>
    <d v="2025-02-25T00:00:00"/>
    <d v="2025-03-27T00:00:00"/>
    <x v="0"/>
    <n v="4533"/>
    <x v="1"/>
    <b v="0"/>
    <x v="2"/>
    <x v="3"/>
    <n v="2025"/>
    <n v="3"/>
    <n v="2"/>
    <n v="2025"/>
    <n v="1"/>
    <s v="No"/>
    <x v="1"/>
    <s v="United States"/>
    <x v="1"/>
    <s v="StayNest Beach"/>
    <x v="3"/>
    <s v="Resort"/>
    <n v="100"/>
    <x v="4"/>
    <s v="Partner"/>
    <d v="2025-03-27T00:00:00"/>
    <s v="No"/>
    <s v="No"/>
    <s v="Shoulder"/>
    <x v="1"/>
    <n v="1"/>
    <s v="8–30 days"/>
  </r>
  <r>
    <s v="B000999"/>
    <s v="G00186"/>
    <s v="H006"/>
    <s v="CH02"/>
    <d v="2026-05-27T00:00:00"/>
    <d v="2026-10-24T00:00:00"/>
    <x v="1"/>
    <n v="8087"/>
    <x v="0"/>
    <b v="0"/>
    <x v="5"/>
    <x v="11"/>
    <n v="2026"/>
    <n v="5"/>
    <n v="5"/>
    <n v="2026"/>
    <n v="2"/>
    <s v="Yes"/>
    <x v="3"/>
    <s v="Unknown"/>
    <x v="0"/>
    <s v="StayNest Beach"/>
    <x v="3"/>
    <s v="Resort"/>
    <n v="100"/>
    <x v="3"/>
    <s v="App Push"/>
    <d v="2026-10-24T00:00:00"/>
    <s v="Yes"/>
    <s v="No"/>
    <s v="Shoulder"/>
    <x v="1"/>
    <n v="0"/>
    <s v="91–180 days"/>
  </r>
  <r>
    <s v="B001000"/>
    <s v="G00293"/>
    <s v="H011"/>
    <s v="CH02"/>
    <d v="2025-03-21T00:00:00"/>
    <d v="2025-04-20T00:00:00"/>
    <x v="2"/>
    <n v="3468"/>
    <x v="1"/>
    <b v="0"/>
    <x v="2"/>
    <x v="2"/>
    <n v="2025"/>
    <n v="6"/>
    <n v="3"/>
    <n v="2025"/>
    <n v="4"/>
    <s v="Yes"/>
    <x v="1"/>
    <s v="UAE"/>
    <x v="1"/>
    <s v="StayNest Grand"/>
    <x v="8"/>
    <s v="Business"/>
    <n v="110"/>
    <x v="3"/>
    <s v="App Push"/>
    <d v="2025-04-20T00:00:00"/>
    <s v="Yes"/>
    <s v="No"/>
    <s v="Peak"/>
    <x v="1"/>
    <n v="1"/>
    <s v="8–30 days"/>
  </r>
  <r>
    <s v="B001001"/>
    <s v="G00456"/>
    <s v="H007"/>
    <s v="CH06"/>
    <d v="2026-08-05T00:00:00"/>
    <d v="2027-01-02T00:00:00"/>
    <x v="2"/>
    <n v="2953"/>
    <x v="0"/>
    <b v="0"/>
    <x v="5"/>
    <x v="6"/>
    <n v="2027"/>
    <n v="5"/>
    <n v="8"/>
    <n v="2026"/>
    <n v="2"/>
    <s v="Yes"/>
    <x v="1"/>
    <s v="UAE"/>
    <x v="1"/>
    <s v="StayNest Tech Park"/>
    <x v="6"/>
    <s v="Business"/>
    <n v="140"/>
    <x v="0"/>
    <s v="Retention"/>
    <m/>
    <s v="Unknown"/>
    <s v="Unknown"/>
    <s v="Unknown"/>
    <x v="0"/>
    <n v="0"/>
    <s v="91–180 days"/>
  </r>
  <r>
    <s v="B001002"/>
    <s v="G00287"/>
    <s v="H007"/>
    <s v="CH06"/>
    <d v="2025-01-23T00:00:00"/>
    <d v="2025-01-30T00:00:00"/>
    <x v="2"/>
    <n v="2818"/>
    <x v="2"/>
    <b v="0"/>
    <x v="4"/>
    <x v="6"/>
    <n v="2025"/>
    <n v="3"/>
    <n v="1"/>
    <n v="2025"/>
    <n v="3"/>
    <s v="No"/>
    <x v="1"/>
    <s v="India"/>
    <x v="0"/>
    <s v="StayNest Tech Park"/>
    <x v="6"/>
    <s v="Business"/>
    <n v="140"/>
    <x v="0"/>
    <s v="Retention"/>
    <d v="2025-01-30T00:00:00"/>
    <s v="No"/>
    <s v="No"/>
    <s v="Off-Peak"/>
    <x v="1"/>
    <n v="0"/>
    <s v="0–7 days"/>
  </r>
  <r>
    <s v="B001003"/>
    <s v="G00210"/>
    <s v="H002"/>
    <s v="CH06"/>
    <d v="2026-11-30T00:00:00"/>
    <d v="2027-01-29T00:00:00"/>
    <x v="1"/>
    <n v="7968"/>
    <x v="0"/>
    <b v="0"/>
    <x v="1"/>
    <x v="6"/>
    <n v="2027"/>
    <n v="4"/>
    <n v="11"/>
    <n v="2026"/>
    <n v="0"/>
    <s v="No"/>
    <x v="1"/>
    <s v="India"/>
    <x v="0"/>
    <s v="StayNest Central"/>
    <x v="0"/>
    <s v="Business"/>
    <n v="150"/>
    <x v="0"/>
    <s v="Retention"/>
    <m/>
    <s v="Unknown"/>
    <s v="Unknown"/>
    <s v="Unknown"/>
    <x v="0"/>
    <n v="0"/>
    <s v="31–90 days"/>
  </r>
  <r>
    <s v="B001004"/>
    <s v="G00571"/>
    <s v="H005"/>
    <s v="CH03"/>
    <d v="2025-01-24T00:00:00"/>
    <d v="2025-03-25T00:00:00"/>
    <x v="1"/>
    <n v="5266"/>
    <x v="0"/>
    <b v="0"/>
    <x v="1"/>
    <x v="3"/>
    <n v="2025"/>
    <n v="1"/>
    <n v="1"/>
    <n v="2025"/>
    <n v="4"/>
    <s v="No"/>
    <x v="3"/>
    <s v="United States"/>
    <x v="0"/>
    <s v="StayNest Heritage"/>
    <x v="11"/>
    <s v="Heritage"/>
    <n v="90"/>
    <x v="1"/>
    <s v="OTA Promo"/>
    <d v="2025-03-25T00:00:00"/>
    <s v="No"/>
    <s v="No"/>
    <s v="Shoulder"/>
    <x v="1"/>
    <n v="0"/>
    <s v="31–90 days"/>
  </r>
  <r>
    <s v="B001005"/>
    <s v="G00443"/>
    <s v="H008"/>
    <s v="CH04"/>
    <d v="2025-06-29T00:00:00"/>
    <d v="2026-02-04T00:00:00"/>
    <x v="2"/>
    <n v="4164"/>
    <x v="0"/>
    <b v="0"/>
    <x v="8"/>
    <x v="0"/>
    <n v="2026"/>
    <n v="2"/>
    <n v="6"/>
    <n v="2025"/>
    <n v="6"/>
    <s v="No"/>
    <x v="1"/>
    <s v="India"/>
    <x v="0"/>
    <s v="StayNest Palace"/>
    <x v="7"/>
    <s v="Heritage"/>
    <n v="85"/>
    <x v="4"/>
    <s v="Partner"/>
    <d v="2026-02-04T00:00:00"/>
    <s v="No"/>
    <s v="No"/>
    <s v="Shoulder"/>
    <x v="1"/>
    <n v="0"/>
    <s v="181+ days"/>
  </r>
  <r>
    <s v="B001006"/>
    <s v="G00279"/>
    <s v="H004"/>
    <s v="CH02"/>
    <d v="2026-04-04T00:00:00"/>
    <d v="2026-07-13T00:00:00"/>
    <x v="2"/>
    <n v="3910"/>
    <x v="2"/>
    <b v="0"/>
    <x v="0"/>
    <x v="8"/>
    <n v="2026"/>
    <n v="0"/>
    <n v="4"/>
    <n v="2026"/>
    <n v="5"/>
    <s v="No"/>
    <x v="0"/>
    <s v="India"/>
    <x v="0"/>
    <s v="StayNest Lakeview"/>
    <x v="2"/>
    <s v="Resort"/>
    <n v="75"/>
    <x v="3"/>
    <s v="App Push"/>
    <d v="2026-07-13T00:00:00"/>
    <s v="No"/>
    <s v="No"/>
    <s v="Off-Peak"/>
    <x v="1"/>
    <n v="0"/>
    <s v="91–180 days"/>
  </r>
  <r>
    <s v="B001007"/>
    <s v="G00049"/>
    <s v="H005"/>
    <s v="CH03"/>
    <d v="2025-04-01T00:00:00"/>
    <d v="2025-05-01T00:00:00"/>
    <x v="1"/>
    <n v="7697"/>
    <x v="0"/>
    <b v="0"/>
    <x v="2"/>
    <x v="9"/>
    <n v="2025"/>
    <n v="3"/>
    <n v="4"/>
    <n v="2025"/>
    <n v="1"/>
    <s v="No"/>
    <x v="3"/>
    <s v="Unknown"/>
    <x v="0"/>
    <s v="StayNest Heritage"/>
    <x v="11"/>
    <s v="Heritage"/>
    <n v="90"/>
    <x v="1"/>
    <s v="OTA Promo"/>
    <d v="2025-05-01T00:00:00"/>
    <s v="No"/>
    <s v="No"/>
    <s v="Peak"/>
    <x v="1"/>
    <n v="0"/>
    <s v="8–30 days"/>
  </r>
  <r>
    <s v="B001008"/>
    <s v="G00329"/>
    <s v="H012"/>
    <s v="CH06"/>
    <d v="2025-12-22T00:00:00"/>
    <d v="2026-01-05T00:00:00"/>
    <x v="1"/>
    <n v="5604"/>
    <x v="0"/>
    <b v="0"/>
    <x v="3"/>
    <x v="6"/>
    <n v="2026"/>
    <n v="0"/>
    <n v="12"/>
    <n v="2025"/>
    <n v="0"/>
    <s v="No"/>
    <x v="0"/>
    <s v="United States"/>
    <x v="0"/>
    <s v="StayNest Valley"/>
    <x v="4"/>
    <s v="Resort"/>
    <n v="65"/>
    <x v="0"/>
    <s v="Retention"/>
    <d v="2026-01-05T00:00:00"/>
    <s v="No"/>
    <s v="No"/>
    <s v="Off-Peak"/>
    <x v="1"/>
    <n v="0"/>
    <s v="8–30 days"/>
  </r>
  <r>
    <s v="B001009"/>
    <s v="G00556"/>
    <s v="H007"/>
    <s v="CH03"/>
    <d v="2026-03-19T00:00:00"/>
    <d v="2026-03-22T00:00:00"/>
    <x v="3"/>
    <n v="11787"/>
    <x v="2"/>
    <b v="0"/>
    <x v="6"/>
    <x v="3"/>
    <n v="2026"/>
    <n v="6"/>
    <n v="3"/>
    <n v="2026"/>
    <n v="3"/>
    <s v="Yes"/>
    <x v="2"/>
    <s v="India"/>
    <x v="0"/>
    <s v="StayNest Tech Park"/>
    <x v="6"/>
    <s v="Business"/>
    <n v="140"/>
    <x v="1"/>
    <s v="OTA Promo"/>
    <d v="2026-03-22T00:00:00"/>
    <s v="Yes"/>
    <s v="No"/>
    <s v="Shoulder"/>
    <x v="1"/>
    <n v="0"/>
    <s v="0–7 days"/>
  </r>
  <r>
    <s v="B001010"/>
    <s v="G00044"/>
    <s v="H006"/>
    <s v="CH05"/>
    <d v="2026-10-03T00:00:00"/>
    <d v="2026-10-06T00:00:00"/>
    <x v="3"/>
    <n v="11199"/>
    <x v="2"/>
    <b v="0"/>
    <x v="6"/>
    <x v="11"/>
    <n v="2026"/>
    <n v="1"/>
    <n v="10"/>
    <n v="2026"/>
    <n v="5"/>
    <s v="No"/>
    <x v="0"/>
    <s v="India"/>
    <x v="1"/>
    <s v="StayNest Beach"/>
    <x v="3"/>
    <s v="Resort"/>
    <n v="100"/>
    <x v="2"/>
    <s v="Corporate Rate"/>
    <d v="2026-10-06T00:00:00"/>
    <s v="No"/>
    <s v="No"/>
    <s v="Shoulder"/>
    <x v="1"/>
    <n v="0"/>
    <s v="0–7 days"/>
  </r>
  <r>
    <s v="B001011"/>
    <s v="G00406"/>
    <s v="H002"/>
    <s v="CH04"/>
    <d v="2025-04-25T00:00:00"/>
    <d v="2025-12-01T00:00:00"/>
    <x v="2"/>
    <n v="2412"/>
    <x v="0"/>
    <b v="0"/>
    <x v="8"/>
    <x v="5"/>
    <n v="2025"/>
    <n v="0"/>
    <n v="4"/>
    <n v="2025"/>
    <n v="4"/>
    <s v="No"/>
    <x v="0"/>
    <s v="United Kingdom"/>
    <x v="1"/>
    <s v="StayNest Central"/>
    <x v="0"/>
    <s v="Business"/>
    <n v="150"/>
    <x v="4"/>
    <s v="Partner"/>
    <d v="2025-12-01T00:00:00"/>
    <s v="No"/>
    <s v="No"/>
    <s v="Peak"/>
    <x v="1"/>
    <n v="0"/>
    <s v="181+ days"/>
  </r>
  <r>
    <s v="B001012"/>
    <s v="G00233"/>
    <s v="H011"/>
    <s v="CH06"/>
    <d v="2025-12-09T00:00:00"/>
    <d v="2025-12-23T00:00:00"/>
    <x v="3"/>
    <n v="10785"/>
    <x v="0"/>
    <b v="0"/>
    <x v="3"/>
    <x v="5"/>
    <n v="2025"/>
    <n v="1"/>
    <n v="12"/>
    <n v="2025"/>
    <n v="1"/>
    <s v="No"/>
    <x v="0"/>
    <s v="Germany"/>
    <x v="0"/>
    <s v="StayNest Grand"/>
    <x v="8"/>
    <s v="Business"/>
    <n v="110"/>
    <x v="0"/>
    <s v="Retention"/>
    <d v="2025-12-23T00:00:00"/>
    <s v="No"/>
    <s v="No"/>
    <s v="Peak"/>
    <x v="1"/>
    <n v="0"/>
    <s v="8–30 days"/>
  </r>
  <r>
    <s v="B001013"/>
    <s v="G00418"/>
    <s v="H012"/>
    <s v="CH01"/>
    <d v="2025-08-20T00:00:00"/>
    <d v="2025-09-19T00:00:00"/>
    <x v="1"/>
    <n v="8658"/>
    <x v="0"/>
    <b v="0"/>
    <x v="2"/>
    <x v="10"/>
    <n v="2025"/>
    <n v="4"/>
    <n v="8"/>
    <n v="2025"/>
    <n v="2"/>
    <s v="No"/>
    <x v="3"/>
    <s v="India"/>
    <x v="0"/>
    <s v="StayNest Valley"/>
    <x v="4"/>
    <s v="Resort"/>
    <n v="65"/>
    <x v="5"/>
    <s v="Direct"/>
    <d v="2025-09-19T00:00:00"/>
    <s v="No"/>
    <s v="No"/>
    <s v="Shoulder"/>
    <x v="1"/>
    <n v="0"/>
    <s v="8–30 days"/>
  </r>
  <r>
    <s v="B001014"/>
    <s v="G00148"/>
    <s v="H002"/>
    <s v="CH06"/>
    <d v="2025-11-10T00:00:00"/>
    <d v="2025-11-17T00:00:00"/>
    <x v="1"/>
    <n v="7614"/>
    <x v="0"/>
    <b v="0"/>
    <x v="4"/>
    <x v="4"/>
    <n v="2025"/>
    <n v="0"/>
    <n v="11"/>
    <n v="2025"/>
    <n v="0"/>
    <s v="No"/>
    <x v="2"/>
    <s v="India"/>
    <x v="0"/>
    <s v="StayNest Central"/>
    <x v="0"/>
    <s v="Business"/>
    <n v="150"/>
    <x v="0"/>
    <s v="Retention"/>
    <d v="2025-11-17T00:00:00"/>
    <s v="No"/>
    <s v="No"/>
    <s v="Off-Peak"/>
    <x v="1"/>
    <n v="0"/>
    <s v="0–7 days"/>
  </r>
  <r>
    <s v="B001015"/>
    <s v="G00032"/>
    <s v="H005"/>
    <s v="CH01"/>
    <d v="2025-08-01T00:00:00"/>
    <d v="2025-08-08T00:00:00"/>
    <x v="2"/>
    <n v="2719"/>
    <x v="0"/>
    <b v="0"/>
    <x v="4"/>
    <x v="7"/>
    <n v="2025"/>
    <n v="4"/>
    <n v="8"/>
    <n v="2025"/>
    <n v="4"/>
    <s v="No"/>
    <x v="3"/>
    <s v="India"/>
    <x v="0"/>
    <s v="StayNest Heritage"/>
    <x v="11"/>
    <s v="Heritage"/>
    <n v="90"/>
    <x v="5"/>
    <s v="Direct"/>
    <d v="2025-08-08T00:00:00"/>
    <s v="No"/>
    <s v="No"/>
    <s v="Off-Peak"/>
    <x v="1"/>
    <n v="0"/>
    <s v="0–7 days"/>
  </r>
  <r>
    <s v="B001016"/>
    <s v="G00612"/>
    <s v="H005"/>
    <s v="CH03"/>
    <d v="2026-02-02T00:00:00"/>
    <d v="2026-02-16T00:00:00"/>
    <x v="3"/>
    <n v="10419"/>
    <x v="1"/>
    <b v="0"/>
    <x v="3"/>
    <x v="0"/>
    <n v="2026"/>
    <n v="0"/>
    <n v="2"/>
    <n v="2026"/>
    <n v="0"/>
    <s v="No"/>
    <x v="2"/>
    <s v="UAE"/>
    <x v="0"/>
    <s v="StayNest Heritage"/>
    <x v="11"/>
    <s v="Heritage"/>
    <n v="90"/>
    <x v="1"/>
    <s v="OTA Promo"/>
    <d v="2026-02-16T00:00:00"/>
    <s v="No"/>
    <s v="No"/>
    <s v="Shoulder"/>
    <x v="1"/>
    <n v="1"/>
    <s v="8–30 days"/>
  </r>
  <r>
    <s v="B001017"/>
    <s v="G00504"/>
    <s v="H001"/>
    <s v="CH04"/>
    <d v="2025-11-24T00:00:00"/>
    <d v="2025-12-08T00:00:00"/>
    <x v="3"/>
    <n v="10915"/>
    <x v="0"/>
    <b v="0"/>
    <x v="3"/>
    <x v="5"/>
    <n v="2025"/>
    <n v="0"/>
    <n v="11"/>
    <n v="2025"/>
    <n v="0"/>
    <s v="No"/>
    <x v="3"/>
    <s v="India"/>
    <x v="0"/>
    <s v="StayNest Marina"/>
    <x v="1"/>
    <s v="Business"/>
    <n v="120"/>
    <x v="4"/>
    <s v="Partner"/>
    <d v="2025-12-08T00:00:00"/>
    <s v="No"/>
    <s v="No"/>
    <s v="Peak"/>
    <x v="1"/>
    <n v="0"/>
    <s v="8–30 days"/>
  </r>
  <r>
    <s v="B001018"/>
    <s v="G00360"/>
    <s v="H011"/>
    <s v="CH04"/>
    <d v="2025-01-28T00:00:00"/>
    <d v="2025-02-11T00:00:00"/>
    <x v="1"/>
    <n v="5377"/>
    <x v="2"/>
    <b v="0"/>
    <x v="3"/>
    <x v="0"/>
    <n v="2025"/>
    <n v="1"/>
    <n v="1"/>
    <n v="2025"/>
    <n v="1"/>
    <s v="No"/>
    <x v="0"/>
    <s v="United States"/>
    <x v="1"/>
    <s v="StayNest Grand"/>
    <x v="8"/>
    <s v="Business"/>
    <n v="110"/>
    <x v="4"/>
    <s v="Partner"/>
    <d v="2025-02-11T00:00:00"/>
    <s v="No"/>
    <s v="No"/>
    <s v="Shoulder"/>
    <x v="1"/>
    <n v="0"/>
    <s v="8–30 days"/>
  </r>
  <r>
    <s v="B001019"/>
    <s v="G00097"/>
    <s v="H008"/>
    <s v="CH04"/>
    <d v="2025-12-12T00:00:00"/>
    <d v="2025-12-19T00:00:00"/>
    <x v="1"/>
    <n v="8183"/>
    <x v="0"/>
    <b v="0"/>
    <x v="4"/>
    <x v="5"/>
    <n v="2025"/>
    <n v="4"/>
    <n v="12"/>
    <n v="2025"/>
    <n v="4"/>
    <s v="No"/>
    <x v="3"/>
    <s v="India"/>
    <x v="1"/>
    <s v="StayNest Palace"/>
    <x v="7"/>
    <s v="Heritage"/>
    <n v="85"/>
    <x v="4"/>
    <s v="Partner"/>
    <d v="2025-12-19T00:00:00"/>
    <s v="No"/>
    <s v="No"/>
    <s v="Peak"/>
    <x v="1"/>
    <n v="0"/>
    <s v="0–7 days"/>
  </r>
  <r>
    <s v="B001020"/>
    <s v="G00098"/>
    <s v="H001"/>
    <s v="CH06"/>
    <d v="2025-05-12T00:00:00"/>
    <d v="2025-06-11T00:00:00"/>
    <x v="2"/>
    <n v="3110"/>
    <x v="0"/>
    <b v="0"/>
    <x v="2"/>
    <x v="1"/>
    <n v="2025"/>
    <n v="2"/>
    <n v="5"/>
    <n v="2025"/>
    <n v="0"/>
    <s v="No"/>
    <x v="0"/>
    <s v="India"/>
    <x v="1"/>
    <s v="StayNest Marina"/>
    <x v="1"/>
    <s v="Business"/>
    <n v="120"/>
    <x v="0"/>
    <s v="Retention"/>
    <d v="2025-06-11T00:00:00"/>
    <s v="No"/>
    <s v="No"/>
    <s v="Shoulder"/>
    <x v="1"/>
    <n v="0"/>
    <s v="8–30 days"/>
  </r>
  <r>
    <s v="B001021"/>
    <s v="G00549"/>
    <s v="H011"/>
    <s v="CH06"/>
    <d v="2025-02-19T00:00:00"/>
    <d v="2025-02-26T00:00:00"/>
    <x v="2"/>
    <n v="3205"/>
    <x v="1"/>
    <b v="0"/>
    <x v="4"/>
    <x v="0"/>
    <n v="2025"/>
    <n v="2"/>
    <n v="2"/>
    <n v="2025"/>
    <n v="2"/>
    <s v="No"/>
    <x v="3"/>
    <s v="India"/>
    <x v="1"/>
    <s v="StayNest Grand"/>
    <x v="8"/>
    <s v="Business"/>
    <n v="110"/>
    <x v="0"/>
    <s v="Retention"/>
    <d v="2025-02-26T00:00:00"/>
    <s v="No"/>
    <s v="No"/>
    <s v="Shoulder"/>
    <x v="1"/>
    <n v="1"/>
    <s v="0–7 days"/>
  </r>
  <r>
    <s v="B001022"/>
    <s v="G00616"/>
    <s v="H006"/>
    <s v="CH04"/>
    <d v="2025-04-23T00:00:00"/>
    <d v="2025-06-22T00:00:00"/>
    <x v="2"/>
    <n v="3187"/>
    <x v="2"/>
    <b v="0"/>
    <x v="1"/>
    <x v="1"/>
    <n v="2025"/>
    <n v="6"/>
    <n v="4"/>
    <n v="2025"/>
    <n v="2"/>
    <s v="Yes"/>
    <x v="2"/>
    <s v="India"/>
    <x v="1"/>
    <s v="StayNest Beach"/>
    <x v="3"/>
    <s v="Resort"/>
    <n v="100"/>
    <x v="4"/>
    <s v="Partner"/>
    <d v="2025-06-22T00:00:00"/>
    <s v="Yes"/>
    <s v="No"/>
    <s v="Shoulder"/>
    <x v="1"/>
    <n v="0"/>
    <s v="31–90 days"/>
  </r>
  <r>
    <s v="B001023"/>
    <s v="G00181"/>
    <s v="H007"/>
    <s v="CH01"/>
    <d v="2025-11-06T00:00:00"/>
    <d v="2025-11-13T00:00:00"/>
    <x v="3"/>
    <n v="8373"/>
    <x v="2"/>
    <b v="0"/>
    <x v="4"/>
    <x v="4"/>
    <n v="2025"/>
    <n v="3"/>
    <n v="11"/>
    <n v="2025"/>
    <n v="3"/>
    <s v="No"/>
    <x v="0"/>
    <s v="Germany"/>
    <x v="1"/>
    <s v="StayNest Tech Park"/>
    <x v="6"/>
    <s v="Business"/>
    <n v="140"/>
    <x v="5"/>
    <s v="Direct"/>
    <d v="2025-11-13T00:00:00"/>
    <s v="No"/>
    <s v="No"/>
    <s v="Off-Peak"/>
    <x v="1"/>
    <n v="0"/>
    <s v="0–7 days"/>
  </r>
  <r>
    <s v="B001024"/>
    <s v="G00104"/>
    <s v="H003"/>
    <s v="CH02"/>
    <d v="2025-05-16T00:00:00"/>
    <d v="2025-07-15T00:00:00"/>
    <x v="2"/>
    <n v="3216"/>
    <x v="0"/>
    <b v="0"/>
    <x v="1"/>
    <x v="8"/>
    <n v="2025"/>
    <n v="1"/>
    <n v="5"/>
    <n v="2025"/>
    <n v="4"/>
    <s v="No"/>
    <x v="2"/>
    <s v="UAE"/>
    <x v="1"/>
    <s v="StayNest Hills"/>
    <x v="5"/>
    <s v="Resort"/>
    <n v="80"/>
    <x v="3"/>
    <s v="App Push"/>
    <d v="2025-07-15T00:00:00"/>
    <s v="No"/>
    <s v="No"/>
    <s v="Off-Peak"/>
    <x v="1"/>
    <n v="0"/>
    <s v="31–90 days"/>
  </r>
  <r>
    <s v="B001025"/>
    <s v="G00557"/>
    <s v="H002"/>
    <s v="CH04"/>
    <d v="2026-05-01T00:00:00"/>
    <d v="2026-05-02T00:00:00"/>
    <x v="1"/>
    <n v="5266"/>
    <x v="2"/>
    <b v="0"/>
    <x v="7"/>
    <x v="9"/>
    <n v="2026"/>
    <n v="5"/>
    <n v="5"/>
    <n v="2026"/>
    <n v="4"/>
    <s v="Yes"/>
    <x v="3"/>
    <s v="Singapore"/>
    <x v="0"/>
    <s v="StayNest Central"/>
    <x v="0"/>
    <s v="Business"/>
    <n v="150"/>
    <x v="4"/>
    <s v="Partner"/>
    <d v="2026-05-02T00:00:00"/>
    <s v="Yes"/>
    <s v="No"/>
    <s v="Peak"/>
    <x v="1"/>
    <n v="0"/>
    <s v="0–7 days"/>
  </r>
  <r>
    <s v="B001026"/>
    <s v="G00487"/>
    <s v="H007"/>
    <s v="CH05"/>
    <d v="2025-09-07T00:00:00"/>
    <d v="2025-12-16T00:00:00"/>
    <x v="0"/>
    <n v="4163"/>
    <x v="1"/>
    <b v="0"/>
    <x v="0"/>
    <x v="5"/>
    <n v="2025"/>
    <n v="1"/>
    <n v="9"/>
    <n v="2025"/>
    <n v="6"/>
    <s v="No"/>
    <x v="0"/>
    <s v="India"/>
    <x v="0"/>
    <s v="StayNest Tech Park"/>
    <x v="6"/>
    <s v="Business"/>
    <n v="140"/>
    <x v="2"/>
    <s v="Corporate Rate"/>
    <d v="2025-12-16T00:00:00"/>
    <s v="No"/>
    <s v="No"/>
    <s v="Peak"/>
    <x v="1"/>
    <n v="1"/>
    <s v="91–180 days"/>
  </r>
  <r>
    <s v="B001027"/>
    <s v="G00560"/>
    <s v="H006"/>
    <s v="CH05"/>
    <d v="2025-09-27T00:00:00"/>
    <d v="2025-10-11T00:00:00"/>
    <x v="0"/>
    <n v="3974"/>
    <x v="0"/>
    <b v="0"/>
    <x v="3"/>
    <x v="11"/>
    <n v="2025"/>
    <n v="5"/>
    <n v="9"/>
    <n v="2025"/>
    <n v="5"/>
    <s v="Yes"/>
    <x v="1"/>
    <s v="India"/>
    <x v="1"/>
    <s v="StayNest Beach"/>
    <x v="3"/>
    <s v="Resort"/>
    <n v="100"/>
    <x v="2"/>
    <s v="Corporate Rate"/>
    <d v="2025-10-11T00:00:00"/>
    <s v="Yes"/>
    <s v="No"/>
    <s v="Shoulder"/>
    <x v="1"/>
    <n v="0"/>
    <s v="8–30 days"/>
  </r>
  <r>
    <s v="B001028"/>
    <s v="G00401"/>
    <s v="H001"/>
    <s v="CH03"/>
    <d v="2025-03-03T00:00:00"/>
    <d v="2025-04-02T00:00:00"/>
    <x v="2"/>
    <n v="16370"/>
    <x v="1"/>
    <b v="0"/>
    <x v="2"/>
    <x v="2"/>
    <n v="2025"/>
    <n v="2"/>
    <n v="3"/>
    <n v="2025"/>
    <n v="0"/>
    <s v="No"/>
    <x v="0"/>
    <s v="India"/>
    <x v="0"/>
    <s v="StayNest Marina"/>
    <x v="1"/>
    <s v="Business"/>
    <n v="120"/>
    <x v="1"/>
    <s v="OTA Promo"/>
    <d v="2025-04-02T00:00:00"/>
    <s v="No"/>
    <s v="No"/>
    <s v="Peak"/>
    <x v="1"/>
    <n v="1"/>
    <s v="8–30 days"/>
  </r>
  <r>
    <s v="B001029"/>
    <s v="G00250"/>
    <s v="H008"/>
    <s v="CH02"/>
    <d v="2025-07-13T00:00:00"/>
    <d v="2025-08-12T00:00:00"/>
    <x v="1"/>
    <n v="6588"/>
    <x v="2"/>
    <b v="0"/>
    <x v="2"/>
    <x v="7"/>
    <n v="2025"/>
    <n v="1"/>
    <n v="7"/>
    <n v="2025"/>
    <n v="6"/>
    <s v="No"/>
    <x v="3"/>
    <s v="India"/>
    <x v="0"/>
    <s v="StayNest Palace"/>
    <x v="7"/>
    <s v="Heritage"/>
    <n v="85"/>
    <x v="3"/>
    <s v="App Push"/>
    <d v="2025-08-12T00:00:00"/>
    <s v="No"/>
    <s v="No"/>
    <s v="Off-Peak"/>
    <x v="1"/>
    <n v="0"/>
    <s v="8–30 days"/>
  </r>
  <r>
    <s v="B001030"/>
    <s v="G00073"/>
    <s v="H003"/>
    <s v="CH06"/>
    <d v="2025-05-11T00:00:00"/>
    <d v="2025-08-19T00:00:00"/>
    <x v="0"/>
    <n v="5602"/>
    <x v="0"/>
    <b v="0"/>
    <x v="0"/>
    <x v="7"/>
    <n v="2025"/>
    <n v="1"/>
    <n v="5"/>
    <n v="2025"/>
    <n v="6"/>
    <s v="No"/>
    <x v="3"/>
    <s v="United States"/>
    <x v="1"/>
    <s v="StayNest Hills"/>
    <x v="5"/>
    <s v="Resort"/>
    <n v="80"/>
    <x v="0"/>
    <s v="Retention"/>
    <d v="2025-08-19T00:00:00"/>
    <s v="No"/>
    <s v="No"/>
    <s v="Off-Peak"/>
    <x v="1"/>
    <n v="0"/>
    <s v="91–180 days"/>
  </r>
  <r>
    <s v="B001031"/>
    <s v="G00641"/>
    <s v="H006"/>
    <s v="CH02"/>
    <d v="2025-09-26T00:00:00"/>
    <d v="2025-10-10T00:00:00"/>
    <x v="1"/>
    <n v="5113"/>
    <x v="0"/>
    <b v="0"/>
    <x v="3"/>
    <x v="11"/>
    <n v="2025"/>
    <n v="4"/>
    <n v="9"/>
    <n v="2025"/>
    <n v="4"/>
    <s v="No"/>
    <x v="0"/>
    <s v="India"/>
    <x v="0"/>
    <s v="StayNest Beach"/>
    <x v="3"/>
    <s v="Resort"/>
    <n v="100"/>
    <x v="3"/>
    <s v="App Push"/>
    <d v="2025-10-10T00:00:00"/>
    <s v="No"/>
    <s v="No"/>
    <s v="Shoulder"/>
    <x v="1"/>
    <n v="0"/>
    <s v="8–30 days"/>
  </r>
  <r>
    <s v="B001032"/>
    <s v="G00461"/>
    <s v="H010"/>
    <s v="CH02"/>
    <d v="2025-05-11T00:00:00"/>
    <d v="2025-05-25T00:00:00"/>
    <x v="1"/>
    <n v="6178"/>
    <x v="1"/>
    <b v="0"/>
    <x v="3"/>
    <x v="9"/>
    <n v="2025"/>
    <n v="6"/>
    <n v="5"/>
    <n v="2025"/>
    <n v="6"/>
    <s v="Yes"/>
    <x v="2"/>
    <s v="Singapore"/>
    <x v="0"/>
    <s v="StayNest Garden"/>
    <x v="10"/>
    <s v="Boutique"/>
    <n v="70"/>
    <x v="3"/>
    <s v="App Push"/>
    <d v="2025-05-25T00:00:00"/>
    <s v="Yes"/>
    <s v="No"/>
    <s v="Peak"/>
    <x v="1"/>
    <n v="1"/>
    <s v="8–30 days"/>
  </r>
  <r>
    <s v="B001033"/>
    <s v="G00615"/>
    <s v="H001"/>
    <s v="CH04"/>
    <d v="2025-03-09T00:00:00"/>
    <d v="2025-04-08T00:00:00"/>
    <x v="0"/>
    <n v="4636"/>
    <x v="2"/>
    <b v="0"/>
    <x v="2"/>
    <x v="2"/>
    <n v="2025"/>
    <n v="1"/>
    <n v="3"/>
    <n v="2025"/>
    <n v="6"/>
    <s v="No"/>
    <x v="3"/>
    <s v="India"/>
    <x v="0"/>
    <s v="StayNest Marina"/>
    <x v="1"/>
    <s v="Business"/>
    <n v="120"/>
    <x v="4"/>
    <s v="Partner"/>
    <d v="2025-04-08T00:00:00"/>
    <s v="No"/>
    <s v="No"/>
    <s v="Peak"/>
    <x v="1"/>
    <n v="0"/>
    <s v="8–30 days"/>
  </r>
  <r>
    <s v="B001034"/>
    <s v="G00311"/>
    <s v="H009"/>
    <s v="CH05"/>
    <d v="2025-12-01T00:00:00"/>
    <d v="2026-04-30T00:00:00"/>
    <x v="1"/>
    <n v="7847"/>
    <x v="0"/>
    <b v="0"/>
    <x v="5"/>
    <x v="2"/>
    <n v="2026"/>
    <n v="3"/>
    <n v="12"/>
    <n v="2025"/>
    <n v="0"/>
    <s v="No"/>
    <x v="1"/>
    <s v="United States"/>
    <x v="1"/>
    <s v="StayNest Airport"/>
    <x v="9"/>
    <s v="Business"/>
    <n v="160"/>
    <x v="2"/>
    <s v="Corporate Rate"/>
    <d v="2026-04-30T00:00:00"/>
    <s v="No"/>
    <s v="No"/>
    <s v="Peak"/>
    <x v="1"/>
    <n v="0"/>
    <s v="91–180 days"/>
  </r>
  <r>
    <s v="B001035"/>
    <s v="G00588"/>
    <s v="H003"/>
    <s v="CH04"/>
    <d v="2025-12-12T00:00:00"/>
    <d v="2025-12-15T00:00:00"/>
    <x v="1"/>
    <n v="7586"/>
    <x v="2"/>
    <b v="0"/>
    <x v="6"/>
    <x v="5"/>
    <n v="2025"/>
    <n v="0"/>
    <n v="12"/>
    <n v="2025"/>
    <n v="4"/>
    <s v="No"/>
    <x v="0"/>
    <s v="India"/>
    <x v="1"/>
    <s v="StayNest Hills"/>
    <x v="5"/>
    <s v="Resort"/>
    <n v="80"/>
    <x v="4"/>
    <s v="Partner"/>
    <d v="2025-12-15T00:00:00"/>
    <s v="No"/>
    <s v="No"/>
    <s v="Peak"/>
    <x v="1"/>
    <n v="0"/>
    <s v="0–7 days"/>
  </r>
  <r>
    <s v="B001036"/>
    <s v="G00296"/>
    <s v="H010"/>
    <s v="CH05"/>
    <d v="2025-08-22T00:00:00"/>
    <d v="2025-08-29T00:00:00"/>
    <x v="3"/>
    <n v="9355"/>
    <x v="0"/>
    <b v="0"/>
    <x v="4"/>
    <x v="7"/>
    <n v="2025"/>
    <n v="4"/>
    <n v="8"/>
    <n v="2025"/>
    <n v="4"/>
    <s v="No"/>
    <x v="0"/>
    <s v="India"/>
    <x v="0"/>
    <s v="StayNest Garden"/>
    <x v="10"/>
    <s v="Boutique"/>
    <n v="70"/>
    <x v="2"/>
    <s v="Corporate Rate"/>
    <d v="2025-08-29T00:00:00"/>
    <s v="No"/>
    <s v="No"/>
    <s v="Off-Peak"/>
    <x v="1"/>
    <n v="0"/>
    <s v="0–7 days"/>
  </r>
  <r>
    <s v="B001037"/>
    <s v="G00422"/>
    <s v="H005"/>
    <s v="CH03"/>
    <d v="2026-09-05T00:00:00"/>
    <d v="2026-09-19T00:00:00"/>
    <x v="0"/>
    <n v="4070"/>
    <x v="0"/>
    <b v="0"/>
    <x v="3"/>
    <x v="10"/>
    <n v="2026"/>
    <n v="5"/>
    <n v="9"/>
    <n v="2026"/>
    <n v="5"/>
    <s v="Yes"/>
    <x v="2"/>
    <s v="India"/>
    <x v="0"/>
    <s v="StayNest Heritage"/>
    <x v="11"/>
    <s v="Heritage"/>
    <n v="90"/>
    <x v="1"/>
    <s v="OTA Promo"/>
    <d v="2026-09-19T00:00:00"/>
    <s v="Yes"/>
    <s v="No"/>
    <s v="Shoulder"/>
    <x v="1"/>
    <n v="0"/>
    <s v="8–30 days"/>
  </r>
  <r>
    <s v="B001038"/>
    <s v="G00329"/>
    <s v="H004"/>
    <s v="CH04"/>
    <d v="2026-08-19T00:00:00"/>
    <d v="2026-09-18T00:00:00"/>
    <x v="2"/>
    <n v="3507"/>
    <x v="0"/>
    <b v="0"/>
    <x v="2"/>
    <x v="10"/>
    <n v="2026"/>
    <n v="4"/>
    <n v="8"/>
    <n v="2026"/>
    <n v="2"/>
    <s v="No"/>
    <x v="0"/>
    <s v="United States"/>
    <x v="0"/>
    <s v="StayNest Lakeview"/>
    <x v="2"/>
    <s v="Resort"/>
    <n v="75"/>
    <x v="4"/>
    <s v="Partner"/>
    <d v="2026-09-18T00:00:00"/>
    <s v="No"/>
    <s v="No"/>
    <s v="Shoulder"/>
    <x v="1"/>
    <n v="0"/>
    <s v="8–30 days"/>
  </r>
  <r>
    <s v="B001039"/>
    <s v="G00509"/>
    <s v="H006"/>
    <s v="CH02"/>
    <d v="2026-02-06T00:00:00"/>
    <d v="2026-02-20T00:00:00"/>
    <x v="3"/>
    <n v="9296"/>
    <x v="0"/>
    <b v="0"/>
    <x v="3"/>
    <x v="0"/>
    <n v="2026"/>
    <n v="4"/>
    <n v="2"/>
    <n v="2026"/>
    <n v="4"/>
    <s v="No"/>
    <x v="3"/>
    <s v="India"/>
    <x v="1"/>
    <s v="StayNest Beach"/>
    <x v="3"/>
    <s v="Resort"/>
    <n v="100"/>
    <x v="3"/>
    <s v="App Push"/>
    <d v="2026-02-20T00:00:00"/>
    <s v="No"/>
    <s v="No"/>
    <s v="Shoulder"/>
    <x v="1"/>
    <n v="0"/>
    <s v="8–30 days"/>
  </r>
  <r>
    <s v="B001040"/>
    <s v="G00386"/>
    <s v="H009"/>
    <s v="CH04"/>
    <d v="2025-01-04T00:00:00"/>
    <d v="2025-01-05T00:00:00"/>
    <x v="3"/>
    <n v="11280"/>
    <x v="0"/>
    <b v="0"/>
    <x v="7"/>
    <x v="6"/>
    <n v="2025"/>
    <n v="6"/>
    <n v="1"/>
    <n v="2025"/>
    <n v="5"/>
    <s v="Yes"/>
    <x v="3"/>
    <s v="India"/>
    <x v="0"/>
    <s v="StayNest Airport"/>
    <x v="9"/>
    <s v="Business"/>
    <n v="160"/>
    <x v="4"/>
    <s v="Partner"/>
    <d v="2025-01-05T00:00:00"/>
    <s v="Yes"/>
    <s v="No"/>
    <s v="Off-Peak"/>
    <x v="1"/>
    <n v="0"/>
    <s v="0–7 days"/>
  </r>
  <r>
    <s v="B001041"/>
    <s v="G00053"/>
    <s v="H007"/>
    <s v="CH06"/>
    <d v="2026-05-17T00:00:00"/>
    <d v="2026-06-16T00:00:00"/>
    <x v="1"/>
    <n v="5572"/>
    <x v="2"/>
    <b v="0"/>
    <x v="2"/>
    <x v="1"/>
    <n v="2026"/>
    <n v="1"/>
    <n v="5"/>
    <n v="2026"/>
    <n v="6"/>
    <s v="No"/>
    <x v="1"/>
    <s v="India"/>
    <x v="1"/>
    <s v="StayNest Tech Park"/>
    <x v="6"/>
    <s v="Business"/>
    <n v="140"/>
    <x v="0"/>
    <s v="Retention"/>
    <d v="2026-06-16T00:00:00"/>
    <s v="No"/>
    <s v="No"/>
    <s v="Shoulder"/>
    <x v="1"/>
    <n v="0"/>
    <s v="8–30 days"/>
  </r>
  <r>
    <s v="B001042"/>
    <s v="G00056"/>
    <s v="H001"/>
    <s v="CH01"/>
    <d v="2025-10-12T00:00:00"/>
    <d v="2025-10-15T00:00:00"/>
    <x v="3"/>
    <n v="9967"/>
    <x v="0"/>
    <b v="0"/>
    <x v="6"/>
    <x v="11"/>
    <n v="2025"/>
    <n v="2"/>
    <n v="10"/>
    <n v="2025"/>
    <n v="6"/>
    <s v="No"/>
    <x v="1"/>
    <s v="India"/>
    <x v="0"/>
    <s v="StayNest Marina"/>
    <x v="1"/>
    <s v="Business"/>
    <n v="120"/>
    <x v="5"/>
    <s v="Direct"/>
    <d v="2025-10-15T00:00:00"/>
    <s v="No"/>
    <s v="No"/>
    <s v="Shoulder"/>
    <x v="1"/>
    <n v="0"/>
    <s v="0–7 days"/>
  </r>
  <r>
    <s v="B001043"/>
    <s v="G00115"/>
    <s v="H006"/>
    <s v="CH05"/>
    <d v="2025-10-11T00:00:00"/>
    <d v="2025-10-18T00:00:00"/>
    <x v="0"/>
    <n v="5972"/>
    <x v="2"/>
    <b v="0"/>
    <x v="4"/>
    <x v="11"/>
    <n v="2025"/>
    <n v="5"/>
    <n v="10"/>
    <n v="2025"/>
    <n v="5"/>
    <s v="Yes"/>
    <x v="1"/>
    <s v="India"/>
    <x v="0"/>
    <s v="StayNest Beach"/>
    <x v="3"/>
    <s v="Resort"/>
    <n v="100"/>
    <x v="2"/>
    <s v="Corporate Rate"/>
    <d v="2025-10-18T00:00:00"/>
    <s v="Yes"/>
    <s v="No"/>
    <s v="Shoulder"/>
    <x v="1"/>
    <n v="0"/>
    <s v="0–7 days"/>
  </r>
  <r>
    <s v="B001044"/>
    <s v="G00156"/>
    <s v="H001"/>
    <s v="CH05"/>
    <d v="2026-08-22T00:00:00"/>
    <d v="2026-08-29T00:00:00"/>
    <x v="0"/>
    <n v="5069"/>
    <x v="0"/>
    <b v="0"/>
    <x v="4"/>
    <x v="7"/>
    <n v="2026"/>
    <n v="5"/>
    <n v="8"/>
    <n v="2026"/>
    <n v="5"/>
    <s v="Yes"/>
    <x v="1"/>
    <s v="India"/>
    <x v="0"/>
    <s v="StayNest Marina"/>
    <x v="1"/>
    <s v="Business"/>
    <n v="120"/>
    <x v="2"/>
    <s v="Corporate Rate"/>
    <d v="2026-08-29T00:00:00"/>
    <s v="Yes"/>
    <s v="No"/>
    <s v="Off-Peak"/>
    <x v="1"/>
    <n v="0"/>
    <s v="0–7 days"/>
  </r>
  <r>
    <s v="B001045"/>
    <s v="G00629"/>
    <s v="H005"/>
    <s v="CH04"/>
    <d v="2025-05-08T00:00:00"/>
    <d v="2025-05-11T00:00:00"/>
    <x v="1"/>
    <n v="5678"/>
    <x v="0"/>
    <b v="0"/>
    <x v="6"/>
    <x v="9"/>
    <n v="2025"/>
    <n v="6"/>
    <n v="5"/>
    <n v="2025"/>
    <n v="3"/>
    <s v="Yes"/>
    <x v="1"/>
    <s v="India"/>
    <x v="0"/>
    <s v="StayNest Heritage"/>
    <x v="11"/>
    <s v="Heritage"/>
    <n v="90"/>
    <x v="4"/>
    <s v="Partner"/>
    <d v="2025-05-11T00:00:00"/>
    <s v="Yes"/>
    <s v="No"/>
    <s v="Peak"/>
    <x v="1"/>
    <n v="0"/>
    <s v="0–7 days"/>
  </r>
  <r>
    <s v="B001046"/>
    <s v="G00004"/>
    <s v="H004"/>
    <s v="CH06"/>
    <d v="2025-11-12T00:00:00"/>
    <d v="2025-11-26T00:00:00"/>
    <x v="1"/>
    <n v="8470"/>
    <x v="0"/>
    <b v="0"/>
    <x v="3"/>
    <x v="4"/>
    <n v="2025"/>
    <n v="2"/>
    <n v="11"/>
    <n v="2025"/>
    <n v="2"/>
    <s v="No"/>
    <x v="1"/>
    <s v="India"/>
    <x v="0"/>
    <s v="StayNest Lakeview"/>
    <x v="2"/>
    <s v="Resort"/>
    <n v="75"/>
    <x v="0"/>
    <s v="Retention"/>
    <d v="2025-11-26T00:00:00"/>
    <s v="No"/>
    <s v="No"/>
    <s v="Off-Peak"/>
    <x v="1"/>
    <n v="0"/>
    <s v="8–30 days"/>
  </r>
  <r>
    <s v="B001047"/>
    <s v="G00394"/>
    <s v="H010"/>
    <s v="CH04"/>
    <d v="2025-01-24T00:00:00"/>
    <d v="2025-02-23T00:00:00"/>
    <x v="3"/>
    <n v="10077"/>
    <x v="0"/>
    <b v="0"/>
    <x v="2"/>
    <x v="0"/>
    <n v="2025"/>
    <n v="6"/>
    <n v="1"/>
    <n v="2025"/>
    <n v="4"/>
    <s v="Yes"/>
    <x v="3"/>
    <s v="Singapore"/>
    <x v="0"/>
    <s v="StayNest Garden"/>
    <x v="10"/>
    <s v="Boutique"/>
    <n v="70"/>
    <x v="4"/>
    <s v="Partner"/>
    <d v="2025-02-23T00:00:00"/>
    <s v="Yes"/>
    <s v="No"/>
    <s v="Shoulder"/>
    <x v="1"/>
    <n v="0"/>
    <s v="8–30 days"/>
  </r>
  <r>
    <s v="B001048"/>
    <s v="G00520"/>
    <s v="H010"/>
    <s v="CH04"/>
    <d v="2026-03-29T00:00:00"/>
    <d v="2026-04-28T00:00:00"/>
    <x v="3"/>
    <n v="11423"/>
    <x v="2"/>
    <b v="0"/>
    <x v="2"/>
    <x v="2"/>
    <n v="2026"/>
    <n v="1"/>
    <n v="3"/>
    <n v="2026"/>
    <n v="6"/>
    <s v="No"/>
    <x v="3"/>
    <s v="India"/>
    <x v="0"/>
    <s v="StayNest Garden"/>
    <x v="10"/>
    <s v="Boutique"/>
    <n v="70"/>
    <x v="4"/>
    <s v="Partner"/>
    <d v="2026-04-28T00:00:00"/>
    <s v="No"/>
    <s v="No"/>
    <s v="Peak"/>
    <x v="1"/>
    <n v="0"/>
    <s v="8–30 days"/>
  </r>
  <r>
    <s v="B001050"/>
    <s v="G00577"/>
    <s v="H004"/>
    <s v="CH06"/>
    <d v="2025-03-08T00:00:00"/>
    <d v="2025-03-22T00:00:00"/>
    <x v="2"/>
    <n v="3370"/>
    <x v="0"/>
    <b v="0"/>
    <x v="3"/>
    <x v="3"/>
    <n v="2025"/>
    <n v="5"/>
    <n v="3"/>
    <n v="2025"/>
    <n v="5"/>
    <s v="Yes"/>
    <x v="3"/>
    <s v="India"/>
    <x v="0"/>
    <s v="StayNest Lakeview"/>
    <x v="2"/>
    <s v="Resort"/>
    <n v="75"/>
    <x v="0"/>
    <s v="Retention"/>
    <d v="2025-03-22T00:00:00"/>
    <s v="Yes"/>
    <s v="No"/>
    <s v="Shoulder"/>
    <x v="1"/>
    <n v="0"/>
    <s v="8–30 days"/>
  </r>
  <r>
    <s v="B001051"/>
    <s v="G00435"/>
    <s v="H002"/>
    <s v="CH04"/>
    <d v="2025-09-19T00:00:00"/>
    <d v="2025-10-03T00:00:00"/>
    <x v="3"/>
    <n v="10420"/>
    <x v="0"/>
    <b v="0"/>
    <x v="3"/>
    <x v="11"/>
    <n v="2025"/>
    <n v="4"/>
    <n v="9"/>
    <n v="2025"/>
    <n v="4"/>
    <s v="No"/>
    <x v="0"/>
    <s v="United States"/>
    <x v="0"/>
    <s v="StayNest Central"/>
    <x v="0"/>
    <s v="Business"/>
    <n v="150"/>
    <x v="4"/>
    <s v="Partner"/>
    <d v="2025-10-03T00:00:00"/>
    <s v="No"/>
    <s v="No"/>
    <s v="Shoulder"/>
    <x v="1"/>
    <n v="0"/>
    <s v="8–30 days"/>
  </r>
  <r>
    <s v="B001052"/>
    <s v="G00614"/>
    <s v="H009"/>
    <s v="CH02"/>
    <d v="2025-02-07T00:00:00"/>
    <d v="2025-09-15T00:00:00"/>
    <x v="3"/>
    <n v="7237"/>
    <x v="1"/>
    <b v="0"/>
    <x v="8"/>
    <x v="10"/>
    <n v="2025"/>
    <n v="0"/>
    <n v="2"/>
    <n v="2025"/>
    <n v="4"/>
    <s v="No"/>
    <x v="2"/>
    <s v="India"/>
    <x v="0"/>
    <s v="StayNest Airport"/>
    <x v="9"/>
    <s v="Business"/>
    <n v="160"/>
    <x v="3"/>
    <s v="App Push"/>
    <d v="2025-09-15T00:00:00"/>
    <s v="No"/>
    <s v="No"/>
    <s v="Shoulder"/>
    <x v="1"/>
    <n v="1"/>
    <s v="181+ days"/>
  </r>
  <r>
    <s v="B001053"/>
    <s v="G00567"/>
    <s v="H001"/>
    <s v="CH03"/>
    <d v="2025-03-23T00:00:00"/>
    <d v="2025-04-22T00:00:00"/>
    <x v="3"/>
    <n v="7660"/>
    <x v="0"/>
    <b v="0"/>
    <x v="2"/>
    <x v="2"/>
    <n v="2025"/>
    <n v="1"/>
    <n v="3"/>
    <n v="2025"/>
    <n v="6"/>
    <s v="No"/>
    <x v="3"/>
    <s v="India"/>
    <x v="0"/>
    <s v="StayNest Marina"/>
    <x v="1"/>
    <s v="Business"/>
    <n v="120"/>
    <x v="1"/>
    <s v="OTA Promo"/>
    <d v="2025-04-22T00:00:00"/>
    <s v="No"/>
    <s v="No"/>
    <s v="Peak"/>
    <x v="1"/>
    <n v="0"/>
    <s v="8–30 days"/>
  </r>
  <r>
    <s v="B001054"/>
    <s v="G00420"/>
    <s v="H005"/>
    <s v="CH02"/>
    <d v="2026-06-18T00:00:00"/>
    <d v="2026-06-19T00:00:00"/>
    <x v="2"/>
    <n v="2306"/>
    <x v="3"/>
    <b v="0"/>
    <x v="7"/>
    <x v="1"/>
    <n v="2026"/>
    <n v="4"/>
    <n v="6"/>
    <n v="2026"/>
    <n v="3"/>
    <s v="No"/>
    <x v="0"/>
    <s v="India"/>
    <x v="0"/>
    <s v="StayNest Heritage"/>
    <x v="11"/>
    <s v="Heritage"/>
    <n v="90"/>
    <x v="3"/>
    <s v="App Push"/>
    <d v="2026-06-19T00:00:00"/>
    <s v="No"/>
    <s v="No"/>
    <s v="Shoulder"/>
    <x v="1"/>
    <n v="0"/>
    <s v="0–7 days"/>
  </r>
  <r>
    <s v="B001055"/>
    <s v="G00181"/>
    <s v="H005"/>
    <s v="CH05"/>
    <d v="2026-04-27T00:00:00"/>
    <d v="2026-09-24T00:00:00"/>
    <x v="0"/>
    <n v="4300"/>
    <x v="0"/>
    <b v="0"/>
    <x v="5"/>
    <x v="10"/>
    <n v="2026"/>
    <n v="3"/>
    <n v="4"/>
    <n v="2026"/>
    <n v="0"/>
    <s v="No"/>
    <x v="0"/>
    <s v="Germany"/>
    <x v="1"/>
    <s v="StayNest Heritage"/>
    <x v="11"/>
    <s v="Heritage"/>
    <n v="90"/>
    <x v="2"/>
    <s v="Corporate Rate"/>
    <d v="2026-09-24T00:00:00"/>
    <s v="No"/>
    <s v="No"/>
    <s v="Shoulder"/>
    <x v="1"/>
    <n v="0"/>
    <s v="91–180 days"/>
  </r>
  <r>
    <s v="B001056"/>
    <s v="G00184"/>
    <s v="H009"/>
    <s v="CH01"/>
    <d v="2026-04-19T00:00:00"/>
    <d v="2026-05-19T00:00:00"/>
    <x v="3"/>
    <n v="8030"/>
    <x v="0"/>
    <b v="0"/>
    <x v="2"/>
    <x v="9"/>
    <n v="2026"/>
    <n v="1"/>
    <n v="4"/>
    <n v="2026"/>
    <n v="6"/>
    <s v="No"/>
    <x v="1"/>
    <s v="United States"/>
    <x v="0"/>
    <s v="StayNest Airport"/>
    <x v="9"/>
    <s v="Business"/>
    <n v="160"/>
    <x v="5"/>
    <s v="Direct"/>
    <d v="2026-05-19T00:00:00"/>
    <s v="No"/>
    <s v="No"/>
    <s v="Peak"/>
    <x v="1"/>
    <n v="0"/>
    <s v="8–30 days"/>
  </r>
  <r>
    <s v="B001057"/>
    <s v="G00279"/>
    <s v="H009"/>
    <s v="CH01"/>
    <d v="2026-05-28T00:00:00"/>
    <d v="2026-06-27T00:00:00"/>
    <x v="2"/>
    <n v="2476"/>
    <x v="2"/>
    <b v="0"/>
    <x v="2"/>
    <x v="1"/>
    <n v="2026"/>
    <n v="5"/>
    <n v="5"/>
    <n v="2026"/>
    <n v="3"/>
    <s v="Yes"/>
    <x v="0"/>
    <s v="India"/>
    <x v="0"/>
    <s v="StayNest Airport"/>
    <x v="9"/>
    <s v="Business"/>
    <n v="160"/>
    <x v="5"/>
    <s v="Direct"/>
    <d v="2026-06-27T00:00:00"/>
    <s v="Yes"/>
    <s v="No"/>
    <s v="Shoulder"/>
    <x v="1"/>
    <n v="0"/>
    <s v="8–30 days"/>
  </r>
  <r>
    <s v="B001058"/>
    <s v="G00377"/>
    <s v="H010"/>
    <s v="CH03"/>
    <d v="2026-04-19T00:00:00"/>
    <d v="2026-04-26T00:00:00"/>
    <x v="0"/>
    <n v="4516"/>
    <x v="1"/>
    <b v="0"/>
    <x v="4"/>
    <x v="2"/>
    <n v="2026"/>
    <n v="6"/>
    <n v="4"/>
    <n v="2026"/>
    <n v="6"/>
    <s v="Yes"/>
    <x v="1"/>
    <s v="India"/>
    <x v="0"/>
    <s v="StayNest Garden"/>
    <x v="10"/>
    <s v="Boutique"/>
    <n v="70"/>
    <x v="1"/>
    <s v="OTA Promo"/>
    <d v="2026-04-26T00:00:00"/>
    <s v="Yes"/>
    <s v="No"/>
    <s v="Peak"/>
    <x v="1"/>
    <n v="1"/>
    <s v="0–7 days"/>
  </r>
  <r>
    <s v="B001059"/>
    <s v="G00387"/>
    <s v="H003"/>
    <s v="CH01"/>
    <d v="2025-10-22T00:00:00"/>
    <d v="2025-11-05T00:00:00"/>
    <x v="1"/>
    <n v="8640"/>
    <x v="3"/>
    <b v="0"/>
    <x v="3"/>
    <x v="4"/>
    <n v="2025"/>
    <n v="2"/>
    <n v="10"/>
    <n v="2025"/>
    <n v="2"/>
    <s v="No"/>
    <x v="0"/>
    <s v="India"/>
    <x v="0"/>
    <s v="StayNest Hills"/>
    <x v="5"/>
    <s v="Resort"/>
    <n v="80"/>
    <x v="5"/>
    <s v="Direct"/>
    <d v="2025-11-05T00:00:00"/>
    <s v="No"/>
    <s v="No"/>
    <s v="Off-Peak"/>
    <x v="1"/>
    <n v="0"/>
    <s v="8–30 days"/>
  </r>
  <r>
    <s v="B001060"/>
    <s v="G00363"/>
    <s v="H010"/>
    <s v="CH05"/>
    <d v="2026-02-19T00:00:00"/>
    <d v="2026-04-20T00:00:00"/>
    <x v="1"/>
    <n v="8296"/>
    <x v="1"/>
    <b v="0"/>
    <x v="1"/>
    <x v="2"/>
    <n v="2026"/>
    <n v="0"/>
    <n v="2"/>
    <n v="2026"/>
    <n v="3"/>
    <s v="No"/>
    <x v="3"/>
    <s v="India"/>
    <x v="0"/>
    <s v="StayNest Garden"/>
    <x v="10"/>
    <s v="Boutique"/>
    <n v="70"/>
    <x v="2"/>
    <s v="Corporate Rate"/>
    <d v="2026-04-20T00:00:00"/>
    <s v="No"/>
    <s v="No"/>
    <s v="Peak"/>
    <x v="1"/>
    <n v="1"/>
    <s v="31–90 days"/>
  </r>
  <r>
    <s v="B001061"/>
    <s v="G00377"/>
    <s v="H005"/>
    <s v="CH01"/>
    <d v="2026-09-11T00:00:00"/>
    <d v="2026-12-20T00:00:00"/>
    <x v="1"/>
    <n v="6288"/>
    <x v="0"/>
    <b v="0"/>
    <x v="0"/>
    <x v="5"/>
    <n v="2026"/>
    <n v="6"/>
    <n v="9"/>
    <n v="2026"/>
    <n v="4"/>
    <s v="Yes"/>
    <x v="1"/>
    <s v="India"/>
    <x v="0"/>
    <s v="StayNest Heritage"/>
    <x v="11"/>
    <s v="Heritage"/>
    <n v="90"/>
    <x v="5"/>
    <s v="Direct"/>
    <d v="2026-12-20T00:00:00"/>
    <s v="Yes"/>
    <s v="No"/>
    <s v="Peak"/>
    <x v="1"/>
    <n v="0"/>
    <s v="91–180 days"/>
  </r>
  <r>
    <s v="B001062"/>
    <s v="G00151"/>
    <s v="H008"/>
    <s v="CH05"/>
    <d v="2025-05-24T00:00:00"/>
    <d v="2025-06-23T00:00:00"/>
    <x v="3"/>
    <n v="6634"/>
    <x v="0"/>
    <b v="0"/>
    <x v="2"/>
    <x v="1"/>
    <n v="2025"/>
    <n v="0"/>
    <n v="5"/>
    <n v="2025"/>
    <n v="5"/>
    <s v="No"/>
    <x v="2"/>
    <s v="United States"/>
    <x v="0"/>
    <s v="StayNest Palace"/>
    <x v="7"/>
    <s v="Heritage"/>
    <n v="85"/>
    <x v="2"/>
    <s v="Corporate Rate"/>
    <d v="2025-06-23T00:00:00"/>
    <s v="No"/>
    <s v="No"/>
    <s v="Shoulder"/>
    <x v="1"/>
    <n v="0"/>
    <s v="8–30 days"/>
  </r>
  <r>
    <s v="B001063"/>
    <s v="G00478"/>
    <s v="H012"/>
    <s v="CH04"/>
    <d v="2026-01-16T00:00:00"/>
    <d v="2026-04-26T00:00:00"/>
    <x v="1"/>
    <n v="8881"/>
    <x v="0"/>
    <b v="0"/>
    <x v="0"/>
    <x v="2"/>
    <n v="2026"/>
    <n v="6"/>
    <n v="1"/>
    <n v="2026"/>
    <n v="4"/>
    <s v="Yes"/>
    <x v="1"/>
    <s v="United States"/>
    <x v="0"/>
    <s v="StayNest Valley"/>
    <x v="4"/>
    <s v="Resort"/>
    <n v="65"/>
    <x v="4"/>
    <s v="Partner"/>
    <d v="2026-04-26T00:00:00"/>
    <s v="Yes"/>
    <s v="No"/>
    <s v="Peak"/>
    <x v="1"/>
    <n v="0"/>
    <s v="91–180 days"/>
  </r>
  <r>
    <s v="B001064"/>
    <s v="G00384"/>
    <s v="H001"/>
    <s v="CH03"/>
    <d v="2026-04-22T00:00:00"/>
    <d v="2026-07-31T00:00:00"/>
    <x v="1"/>
    <n v="8363"/>
    <x v="1"/>
    <b v="0"/>
    <x v="0"/>
    <x v="8"/>
    <n v="2026"/>
    <n v="4"/>
    <n v="4"/>
    <n v="2026"/>
    <n v="2"/>
    <s v="No"/>
    <x v="1"/>
    <s v="India"/>
    <x v="0"/>
    <s v="StayNest Marina"/>
    <x v="1"/>
    <s v="Business"/>
    <n v="120"/>
    <x v="1"/>
    <s v="OTA Promo"/>
    <d v="2026-07-31T00:00:00"/>
    <s v="No"/>
    <s v="No"/>
    <s v="Off-Peak"/>
    <x v="1"/>
    <n v="1"/>
    <s v="91–180 days"/>
  </r>
  <r>
    <s v="B001065"/>
    <s v="G00491"/>
    <s v="H002"/>
    <s v="CH03"/>
    <d v="2025-12-06T00:00:00"/>
    <d v="2025-12-13T00:00:00"/>
    <x v="0"/>
    <n v="4097"/>
    <x v="0"/>
    <b v="0"/>
    <x v="4"/>
    <x v="5"/>
    <n v="2025"/>
    <n v="5"/>
    <n v="12"/>
    <n v="2025"/>
    <n v="5"/>
    <s v="Yes"/>
    <x v="2"/>
    <s v="India"/>
    <x v="0"/>
    <s v="StayNest Central"/>
    <x v="0"/>
    <s v="Business"/>
    <n v="150"/>
    <x v="1"/>
    <s v="OTA Promo"/>
    <d v="2025-12-13T00:00:00"/>
    <s v="Yes"/>
    <s v="No"/>
    <s v="Peak"/>
    <x v="1"/>
    <n v="0"/>
    <s v="0–7 days"/>
  </r>
  <r>
    <s v="B001066"/>
    <s v="G00381"/>
    <s v="H001"/>
    <s v="CH04"/>
    <d v="2026-02-18T00:00:00"/>
    <d v="2026-03-04T00:00:00"/>
    <x v="1"/>
    <n v="6507"/>
    <x v="0"/>
    <b v="0"/>
    <x v="3"/>
    <x v="3"/>
    <n v="2026"/>
    <n v="2"/>
    <n v="2"/>
    <n v="2026"/>
    <n v="2"/>
    <s v="No"/>
    <x v="0"/>
    <s v="India"/>
    <x v="0"/>
    <s v="StayNest Marina"/>
    <x v="1"/>
    <s v="Business"/>
    <n v="120"/>
    <x v="4"/>
    <s v="Partner"/>
    <d v="2026-03-04T00:00:00"/>
    <s v="No"/>
    <s v="No"/>
    <s v="Shoulder"/>
    <x v="1"/>
    <n v="0"/>
    <s v="8–30 days"/>
  </r>
  <r>
    <s v="B001067"/>
    <s v="G00449"/>
    <s v="H008"/>
    <s v="CH04"/>
    <d v="2026-06-11T00:00:00"/>
    <d v="2026-06-12T00:00:00"/>
    <x v="2"/>
    <n v="4110"/>
    <x v="0"/>
    <b v="0"/>
    <x v="7"/>
    <x v="1"/>
    <n v="2026"/>
    <n v="4"/>
    <n v="6"/>
    <n v="2026"/>
    <n v="3"/>
    <s v="No"/>
    <x v="0"/>
    <s v="India"/>
    <x v="0"/>
    <s v="StayNest Palace"/>
    <x v="7"/>
    <s v="Heritage"/>
    <n v="85"/>
    <x v="4"/>
    <s v="Partner"/>
    <d v="2026-06-12T00:00:00"/>
    <s v="No"/>
    <s v="No"/>
    <s v="Shoulder"/>
    <x v="1"/>
    <n v="0"/>
    <s v="0–7 days"/>
  </r>
  <r>
    <s v="B001068"/>
    <s v="G00148"/>
    <s v="H003"/>
    <s v="CH02"/>
    <d v="2025-04-06T00:00:00"/>
    <d v="2025-05-06T00:00:00"/>
    <x v="3"/>
    <n v="34300"/>
    <x v="0"/>
    <b v="0"/>
    <x v="2"/>
    <x v="9"/>
    <n v="2025"/>
    <n v="1"/>
    <n v="4"/>
    <n v="2025"/>
    <n v="6"/>
    <s v="No"/>
    <x v="2"/>
    <s v="India"/>
    <x v="0"/>
    <s v="StayNest Hills"/>
    <x v="5"/>
    <s v="Resort"/>
    <n v="80"/>
    <x v="3"/>
    <s v="App Push"/>
    <d v="2025-05-06T00:00:00"/>
    <s v="No"/>
    <s v="No"/>
    <s v="Peak"/>
    <x v="1"/>
    <n v="0"/>
    <s v="8–30 days"/>
  </r>
  <r>
    <s v="B001069"/>
    <s v="G00428"/>
    <s v="H003"/>
    <s v="CH04"/>
    <d v="2026-07-15T00:00:00"/>
    <d v="2026-08-14T00:00:00"/>
    <x v="0"/>
    <n v="4169"/>
    <x v="0"/>
    <b v="0"/>
    <x v="2"/>
    <x v="7"/>
    <n v="2026"/>
    <n v="4"/>
    <n v="7"/>
    <n v="2026"/>
    <n v="2"/>
    <s v="No"/>
    <x v="1"/>
    <s v="India"/>
    <x v="0"/>
    <s v="StayNest Hills"/>
    <x v="5"/>
    <s v="Resort"/>
    <n v="80"/>
    <x v="4"/>
    <s v="Partner"/>
    <d v="2026-08-14T00:00:00"/>
    <s v="No"/>
    <s v="No"/>
    <s v="Off-Peak"/>
    <x v="1"/>
    <n v="0"/>
    <s v="8–30 days"/>
  </r>
  <r>
    <s v="B001070"/>
    <s v="G00170"/>
    <s v="H011"/>
    <s v="CH04"/>
    <d v="2025-04-27T00:00:00"/>
    <d v="2025-04-28T00:00:00"/>
    <x v="1"/>
    <n v="8914"/>
    <x v="0"/>
    <b v="0"/>
    <x v="7"/>
    <x v="2"/>
    <n v="2025"/>
    <n v="0"/>
    <n v="4"/>
    <n v="2025"/>
    <n v="6"/>
    <s v="No"/>
    <x v="3"/>
    <s v="Unknown"/>
    <x v="0"/>
    <s v="StayNest Grand"/>
    <x v="8"/>
    <s v="Business"/>
    <n v="110"/>
    <x v="4"/>
    <s v="Partner"/>
    <d v="2025-04-28T00:00:00"/>
    <s v="No"/>
    <s v="No"/>
    <s v="Peak"/>
    <x v="1"/>
    <n v="0"/>
    <s v="0–7 days"/>
  </r>
  <r>
    <s v="B001071"/>
    <s v="G00339"/>
    <s v="H011"/>
    <s v="CH06"/>
    <d v="2025-12-01T00:00:00"/>
    <d v="2025-12-31T00:00:00"/>
    <x v="3"/>
    <n v="8353"/>
    <x v="0"/>
    <b v="0"/>
    <x v="2"/>
    <x v="5"/>
    <n v="2025"/>
    <n v="2"/>
    <n v="12"/>
    <n v="2025"/>
    <n v="0"/>
    <s v="No"/>
    <x v="0"/>
    <s v="India"/>
    <x v="1"/>
    <s v="StayNest Grand"/>
    <x v="8"/>
    <s v="Business"/>
    <n v="110"/>
    <x v="0"/>
    <s v="Retention"/>
    <d v="2025-12-31T00:00:00"/>
    <s v="No"/>
    <s v="No"/>
    <s v="Peak"/>
    <x v="1"/>
    <n v="0"/>
    <s v="8–30 days"/>
  </r>
  <r>
    <s v="B001072"/>
    <s v="G00522"/>
    <s v="H005"/>
    <s v="CH04"/>
    <d v="2026-02-19T00:00:00"/>
    <d v="2026-02-20T00:00:00"/>
    <x v="3"/>
    <n v="11046"/>
    <x v="3"/>
    <b v="0"/>
    <x v="7"/>
    <x v="0"/>
    <n v="2026"/>
    <n v="4"/>
    <n v="2"/>
    <n v="2026"/>
    <n v="3"/>
    <s v="No"/>
    <x v="1"/>
    <s v="Unknown"/>
    <x v="0"/>
    <s v="StayNest Heritage"/>
    <x v="11"/>
    <s v="Heritage"/>
    <n v="90"/>
    <x v="4"/>
    <s v="Partner"/>
    <d v="2026-02-20T00:00:00"/>
    <s v="No"/>
    <s v="No"/>
    <s v="Shoulder"/>
    <x v="1"/>
    <n v="0"/>
    <s v="0–7 days"/>
  </r>
  <r>
    <s v="B001073"/>
    <s v="G00476"/>
    <s v="H003"/>
    <s v="CH01"/>
    <d v="2026-07-10T00:00:00"/>
    <d v="2026-08-09T00:00:00"/>
    <x v="1"/>
    <n v="6225"/>
    <x v="0"/>
    <b v="0"/>
    <x v="2"/>
    <x v="7"/>
    <n v="2026"/>
    <n v="6"/>
    <n v="7"/>
    <n v="2026"/>
    <n v="4"/>
    <s v="Yes"/>
    <x v="3"/>
    <s v="India"/>
    <x v="0"/>
    <s v="StayNest Hills"/>
    <x v="5"/>
    <s v="Resort"/>
    <n v="80"/>
    <x v="5"/>
    <s v="Direct"/>
    <d v="2026-08-09T00:00:00"/>
    <s v="Yes"/>
    <s v="No"/>
    <s v="Off-Peak"/>
    <x v="1"/>
    <n v="0"/>
    <s v="8–30 days"/>
  </r>
  <r>
    <s v="B001074"/>
    <s v="G00068"/>
    <s v="H006"/>
    <s v="CH01"/>
    <d v="2026-03-23T00:00:00"/>
    <d v="2026-04-06T00:00:00"/>
    <x v="1"/>
    <n v="6367"/>
    <x v="0"/>
    <b v="0"/>
    <x v="3"/>
    <x v="2"/>
    <n v="2026"/>
    <n v="0"/>
    <n v="3"/>
    <n v="2026"/>
    <n v="0"/>
    <s v="No"/>
    <x v="2"/>
    <s v="Singapore"/>
    <x v="1"/>
    <s v="StayNest Beach"/>
    <x v="3"/>
    <s v="Resort"/>
    <n v="100"/>
    <x v="5"/>
    <s v="Direct"/>
    <d v="2026-04-06T00:00:00"/>
    <s v="No"/>
    <s v="No"/>
    <s v="Peak"/>
    <x v="1"/>
    <n v="0"/>
    <s v="8–30 days"/>
  </r>
  <r>
    <s v="B001075"/>
    <s v="G00504"/>
    <s v="H007"/>
    <s v="CH05"/>
    <d v="2025-08-08T00:00:00"/>
    <d v="2025-08-22T00:00:00"/>
    <x v="0"/>
    <n v="6000"/>
    <x v="0"/>
    <b v="0"/>
    <x v="3"/>
    <x v="7"/>
    <n v="2025"/>
    <n v="4"/>
    <n v="8"/>
    <n v="2025"/>
    <n v="4"/>
    <s v="No"/>
    <x v="3"/>
    <s v="India"/>
    <x v="0"/>
    <s v="StayNest Tech Park"/>
    <x v="6"/>
    <s v="Business"/>
    <n v="140"/>
    <x v="2"/>
    <s v="Corporate Rate"/>
    <d v="2025-08-22T00:00:00"/>
    <s v="No"/>
    <s v="No"/>
    <s v="Off-Peak"/>
    <x v="1"/>
    <n v="0"/>
    <s v="8–30 days"/>
  </r>
  <r>
    <s v="B001076"/>
    <s v="G00085"/>
    <s v="H002"/>
    <s v="CH01"/>
    <d v="2025-03-26T00:00:00"/>
    <d v="2025-05-25T00:00:00"/>
    <x v="2"/>
    <n v="3306"/>
    <x v="2"/>
    <b v="0"/>
    <x v="1"/>
    <x v="9"/>
    <n v="2025"/>
    <n v="6"/>
    <n v="3"/>
    <n v="2025"/>
    <n v="2"/>
    <s v="Yes"/>
    <x v="1"/>
    <s v="India"/>
    <x v="0"/>
    <s v="StayNest Central"/>
    <x v="0"/>
    <s v="Business"/>
    <n v="150"/>
    <x v="5"/>
    <s v="Direct"/>
    <d v="2025-05-25T00:00:00"/>
    <s v="Yes"/>
    <s v="No"/>
    <s v="Peak"/>
    <x v="1"/>
    <n v="0"/>
    <s v="31–90 days"/>
  </r>
  <r>
    <s v="B001077"/>
    <s v="G00156"/>
    <s v="H001"/>
    <s v="CH01"/>
    <d v="2026-04-28T00:00:00"/>
    <d v="2026-05-01T00:00:00"/>
    <x v="0"/>
    <n v="5002"/>
    <x v="1"/>
    <b v="0"/>
    <x v="6"/>
    <x v="9"/>
    <n v="2026"/>
    <n v="4"/>
    <n v="4"/>
    <n v="2026"/>
    <n v="1"/>
    <s v="No"/>
    <x v="1"/>
    <s v="India"/>
    <x v="0"/>
    <s v="StayNest Marina"/>
    <x v="1"/>
    <s v="Business"/>
    <n v="120"/>
    <x v="5"/>
    <s v="Direct"/>
    <d v="2026-05-01T00:00:00"/>
    <s v="No"/>
    <s v="No"/>
    <s v="Peak"/>
    <x v="1"/>
    <n v="1"/>
    <s v="0–7 days"/>
  </r>
  <r>
    <s v="B001078"/>
    <s v="G00318"/>
    <s v="H006"/>
    <s v="CH01"/>
    <d v="2025-02-09T00:00:00"/>
    <d v="2025-09-17T00:00:00"/>
    <x v="2"/>
    <n v="3458"/>
    <x v="3"/>
    <b v="0"/>
    <x v="8"/>
    <x v="10"/>
    <n v="2025"/>
    <n v="2"/>
    <n v="2"/>
    <n v="2025"/>
    <n v="6"/>
    <s v="No"/>
    <x v="2"/>
    <s v="Germany"/>
    <x v="0"/>
    <s v="StayNest Beach"/>
    <x v="3"/>
    <s v="Resort"/>
    <n v="100"/>
    <x v="5"/>
    <s v="Direct"/>
    <d v="2025-09-17T00:00:00"/>
    <s v="No"/>
    <s v="No"/>
    <s v="Shoulder"/>
    <x v="1"/>
    <n v="0"/>
    <s v="181+ days"/>
  </r>
  <r>
    <s v="B001079"/>
    <s v="G00111"/>
    <s v="H005"/>
    <s v="CH05"/>
    <d v="2025-10-26T00:00:00"/>
    <d v="2025-11-25T00:00:00"/>
    <x v="2"/>
    <n v="2782"/>
    <x v="0"/>
    <b v="0"/>
    <x v="2"/>
    <x v="4"/>
    <n v="2025"/>
    <n v="1"/>
    <n v="10"/>
    <n v="2025"/>
    <n v="6"/>
    <s v="No"/>
    <x v="0"/>
    <s v="India"/>
    <x v="0"/>
    <s v="StayNest Heritage"/>
    <x v="11"/>
    <s v="Heritage"/>
    <n v="90"/>
    <x v="2"/>
    <s v="Corporate Rate"/>
    <d v="2025-11-25T00:00:00"/>
    <s v="No"/>
    <s v="No"/>
    <s v="Off-Peak"/>
    <x v="1"/>
    <n v="0"/>
    <s v="8–30 days"/>
  </r>
  <r>
    <s v="B001080"/>
    <s v="G00528"/>
    <s v="H002"/>
    <s v="CH04"/>
    <d v="2026-09-14T00:00:00"/>
    <d v="2026-09-21T00:00:00"/>
    <x v="3"/>
    <n v="11947"/>
    <x v="0"/>
    <b v="0"/>
    <x v="4"/>
    <x v="10"/>
    <n v="2026"/>
    <n v="0"/>
    <n v="9"/>
    <n v="2026"/>
    <n v="0"/>
    <s v="No"/>
    <x v="2"/>
    <s v="India"/>
    <x v="1"/>
    <s v="StayNest Central"/>
    <x v="0"/>
    <s v="Business"/>
    <n v="150"/>
    <x v="4"/>
    <s v="Partner"/>
    <d v="2026-09-21T00:00:00"/>
    <s v="No"/>
    <s v="No"/>
    <s v="Shoulder"/>
    <x v="1"/>
    <n v="0"/>
    <s v="0–7 days"/>
  </r>
  <r>
    <s v="B001081"/>
    <s v="G00522"/>
    <s v="H005"/>
    <s v="CH03"/>
    <d v="2026-11-01T00:00:00"/>
    <d v="2026-12-31T00:00:00"/>
    <x v="1"/>
    <n v="7728"/>
    <x v="1"/>
    <b v="0"/>
    <x v="1"/>
    <x v="5"/>
    <n v="2026"/>
    <n v="3"/>
    <n v="11"/>
    <n v="2026"/>
    <n v="6"/>
    <s v="No"/>
    <x v="1"/>
    <s v="Unknown"/>
    <x v="0"/>
    <s v="StayNest Heritage"/>
    <x v="11"/>
    <s v="Heritage"/>
    <n v="90"/>
    <x v="1"/>
    <s v="OTA Promo"/>
    <d v="2026-12-31T00:00:00"/>
    <s v="No"/>
    <s v="No"/>
    <s v="Peak"/>
    <x v="1"/>
    <n v="1"/>
    <s v="31–90 days"/>
  </r>
  <r>
    <s v="B001082"/>
    <s v="G00153"/>
    <s v="H012"/>
    <s v="CH02"/>
    <d v="2025-02-07T00:00:00"/>
    <d v="2025-02-08T00:00:00"/>
    <x v="2"/>
    <n v="2420"/>
    <x v="0"/>
    <b v="0"/>
    <x v="7"/>
    <x v="0"/>
    <n v="2025"/>
    <n v="5"/>
    <n v="2"/>
    <n v="2025"/>
    <n v="4"/>
    <s v="Yes"/>
    <x v="0"/>
    <s v="India"/>
    <x v="0"/>
    <s v="StayNest Valley"/>
    <x v="4"/>
    <s v="Resort"/>
    <n v="65"/>
    <x v="3"/>
    <s v="App Push"/>
    <d v="2025-02-08T00:00:00"/>
    <s v="Yes"/>
    <s v="No"/>
    <s v="Shoulder"/>
    <x v="1"/>
    <n v="0"/>
    <s v="0–7 days"/>
  </r>
  <r>
    <s v="B001083"/>
    <s v="G00328"/>
    <s v="H010"/>
    <s v="CH02"/>
    <d v="2026-05-09T00:00:00"/>
    <d v="2026-05-23T00:00:00"/>
    <x v="2"/>
    <n v="3693"/>
    <x v="2"/>
    <b v="0"/>
    <x v="3"/>
    <x v="9"/>
    <n v="2026"/>
    <n v="5"/>
    <n v="5"/>
    <n v="2026"/>
    <n v="5"/>
    <s v="Yes"/>
    <x v="2"/>
    <s v="India"/>
    <x v="0"/>
    <s v="StayNest Garden"/>
    <x v="10"/>
    <s v="Boutique"/>
    <n v="70"/>
    <x v="3"/>
    <s v="App Push"/>
    <d v="2026-05-23T00:00:00"/>
    <s v="Yes"/>
    <s v="No"/>
    <s v="Peak"/>
    <x v="1"/>
    <n v="0"/>
    <s v="8–30 days"/>
  </r>
  <r>
    <s v="B001084"/>
    <s v="G00373"/>
    <s v="H003"/>
    <s v="CH04"/>
    <d v="2025-07-16T00:00:00"/>
    <d v="2025-07-30T00:00:00"/>
    <x v="2"/>
    <n v="3922"/>
    <x v="3"/>
    <b v="0"/>
    <x v="3"/>
    <x v="8"/>
    <n v="2025"/>
    <n v="2"/>
    <n v="7"/>
    <n v="2025"/>
    <n v="2"/>
    <s v="No"/>
    <x v="1"/>
    <s v="United Kingdom"/>
    <x v="0"/>
    <s v="StayNest Hills"/>
    <x v="5"/>
    <s v="Resort"/>
    <n v="80"/>
    <x v="4"/>
    <s v="Partner"/>
    <d v="2025-07-30T00:00:00"/>
    <s v="No"/>
    <s v="No"/>
    <s v="Off-Peak"/>
    <x v="1"/>
    <n v="0"/>
    <s v="8–30 days"/>
  </r>
  <r>
    <s v="B001085"/>
    <s v="G00332"/>
    <s v="H008"/>
    <s v="CH02"/>
    <d v="2025-12-01T00:00:00"/>
    <d v="2026-01-30T00:00:00"/>
    <x v="1"/>
    <n v="5030"/>
    <x v="0"/>
    <b v="0"/>
    <x v="1"/>
    <x v="6"/>
    <n v="2026"/>
    <n v="4"/>
    <n v="12"/>
    <n v="2025"/>
    <n v="0"/>
    <s v="No"/>
    <x v="3"/>
    <s v="Germany"/>
    <x v="1"/>
    <s v="StayNest Palace"/>
    <x v="7"/>
    <s v="Heritage"/>
    <n v="85"/>
    <x v="3"/>
    <s v="App Push"/>
    <d v="2026-01-30T00:00:00"/>
    <s v="No"/>
    <s v="No"/>
    <s v="Off-Peak"/>
    <x v="1"/>
    <n v="0"/>
    <s v="31–90 days"/>
  </r>
  <r>
    <s v="B001086"/>
    <s v="G00096"/>
    <s v="H008"/>
    <s v="CH03"/>
    <d v="2025-06-01T00:00:00"/>
    <d v="2025-06-02T00:00:00"/>
    <x v="0"/>
    <n v="5973"/>
    <x v="1"/>
    <b v="0"/>
    <x v="7"/>
    <x v="1"/>
    <n v="2025"/>
    <n v="0"/>
    <n v="6"/>
    <n v="2025"/>
    <n v="6"/>
    <s v="No"/>
    <x v="2"/>
    <s v="Singapore"/>
    <x v="1"/>
    <s v="StayNest Palace"/>
    <x v="7"/>
    <s v="Heritage"/>
    <n v="85"/>
    <x v="1"/>
    <s v="OTA Promo"/>
    <d v="2025-06-02T00:00:00"/>
    <s v="No"/>
    <s v="No"/>
    <s v="Shoulder"/>
    <x v="1"/>
    <n v="1"/>
    <s v="0–7 days"/>
  </r>
  <r>
    <s v="B001087"/>
    <s v="G00185"/>
    <s v="H007"/>
    <s v="CH01"/>
    <d v="2025-01-10T00:00:00"/>
    <d v="2025-02-09T00:00:00"/>
    <x v="3"/>
    <n v="6522"/>
    <x v="0"/>
    <b v="0"/>
    <x v="2"/>
    <x v="0"/>
    <n v="2025"/>
    <n v="6"/>
    <n v="1"/>
    <n v="2025"/>
    <n v="4"/>
    <s v="Yes"/>
    <x v="1"/>
    <s v="United Kingdom"/>
    <x v="0"/>
    <s v="StayNest Tech Park"/>
    <x v="6"/>
    <s v="Business"/>
    <n v="140"/>
    <x v="5"/>
    <s v="Direct"/>
    <d v="2025-02-09T00:00:00"/>
    <s v="Yes"/>
    <s v="No"/>
    <s v="Shoulder"/>
    <x v="1"/>
    <n v="0"/>
    <s v="8–30 days"/>
  </r>
  <r>
    <s v="B001088"/>
    <s v="G00217"/>
    <s v="H003"/>
    <s v="CH03"/>
    <d v="2026-11-28T00:00:00"/>
    <d v="2026-12-28T00:00:00"/>
    <x v="3"/>
    <n v="11337"/>
    <x v="1"/>
    <b v="0"/>
    <x v="2"/>
    <x v="5"/>
    <n v="2026"/>
    <n v="0"/>
    <n v="11"/>
    <n v="2026"/>
    <n v="5"/>
    <s v="No"/>
    <x v="3"/>
    <s v="India"/>
    <x v="1"/>
    <s v="StayNest Hills"/>
    <x v="5"/>
    <s v="Resort"/>
    <n v="80"/>
    <x v="1"/>
    <s v="OTA Promo"/>
    <d v="2026-12-28T00:00:00"/>
    <s v="No"/>
    <s v="No"/>
    <s v="Peak"/>
    <x v="1"/>
    <n v="1"/>
    <s v="8–30 days"/>
  </r>
  <r>
    <s v="B001089"/>
    <s v="G00041"/>
    <s v="H008"/>
    <s v="CH06"/>
    <d v="2026-08-29T00:00:00"/>
    <d v="2026-09-28T00:00:00"/>
    <x v="1"/>
    <n v="6668"/>
    <x v="0"/>
    <b v="0"/>
    <x v="2"/>
    <x v="10"/>
    <n v="2026"/>
    <n v="0"/>
    <n v="8"/>
    <n v="2026"/>
    <n v="5"/>
    <s v="No"/>
    <x v="0"/>
    <s v="India"/>
    <x v="0"/>
    <s v="StayNest Palace"/>
    <x v="7"/>
    <s v="Heritage"/>
    <n v="85"/>
    <x v="0"/>
    <s v="Retention"/>
    <d v="2026-09-28T00:00:00"/>
    <s v="No"/>
    <s v="No"/>
    <s v="Shoulder"/>
    <x v="1"/>
    <n v="0"/>
    <s v="8–30 days"/>
  </r>
  <r>
    <s v="B001090"/>
    <s v="G00428"/>
    <s v="H008"/>
    <s v="CH05"/>
    <d v="2026-08-09T00:00:00"/>
    <d v="2026-08-16T00:00:00"/>
    <x v="3"/>
    <n v="8668"/>
    <x v="2"/>
    <b v="0"/>
    <x v="4"/>
    <x v="7"/>
    <n v="2026"/>
    <n v="6"/>
    <n v="8"/>
    <n v="2026"/>
    <n v="6"/>
    <s v="Yes"/>
    <x v="1"/>
    <s v="India"/>
    <x v="0"/>
    <s v="StayNest Palace"/>
    <x v="7"/>
    <s v="Heritage"/>
    <n v="85"/>
    <x v="2"/>
    <s v="Corporate Rate"/>
    <d v="2026-08-16T00:00:00"/>
    <s v="Yes"/>
    <s v="No"/>
    <s v="Off-Peak"/>
    <x v="1"/>
    <n v="0"/>
    <s v="0–7 days"/>
  </r>
  <r>
    <s v="B001091"/>
    <s v="G00594"/>
    <s v="H005"/>
    <s v="CH04"/>
    <d v="2025-09-29T00:00:00"/>
    <d v="2025-09-30T00:00:00"/>
    <x v="0"/>
    <n v="26700"/>
    <x v="2"/>
    <b v="0"/>
    <x v="7"/>
    <x v="10"/>
    <n v="2025"/>
    <n v="1"/>
    <n v="9"/>
    <n v="2025"/>
    <n v="0"/>
    <s v="No"/>
    <x v="1"/>
    <s v="Unknown"/>
    <x v="0"/>
    <s v="StayNest Heritage"/>
    <x v="11"/>
    <s v="Heritage"/>
    <n v="90"/>
    <x v="4"/>
    <s v="Partner"/>
    <d v="2025-09-30T00:00:00"/>
    <s v="No"/>
    <s v="No"/>
    <s v="Shoulder"/>
    <x v="1"/>
    <n v="0"/>
    <s v="0–7 days"/>
  </r>
  <r>
    <s v="B001092"/>
    <s v="G00281"/>
    <s v="H009"/>
    <s v="CH05"/>
    <d v="2026-03-03T00:00:00"/>
    <d v="2026-03-04T00:00:00"/>
    <x v="3"/>
    <n v="10568"/>
    <x v="0"/>
    <b v="0"/>
    <x v="7"/>
    <x v="3"/>
    <n v="2026"/>
    <n v="2"/>
    <n v="3"/>
    <n v="2026"/>
    <n v="1"/>
    <s v="No"/>
    <x v="1"/>
    <s v="United States"/>
    <x v="0"/>
    <s v="StayNest Airport"/>
    <x v="9"/>
    <s v="Business"/>
    <n v="160"/>
    <x v="2"/>
    <s v="Corporate Rate"/>
    <d v="2026-03-04T00:00:00"/>
    <s v="No"/>
    <s v="No"/>
    <s v="Shoulder"/>
    <x v="1"/>
    <n v="0"/>
    <s v="0–7 days"/>
  </r>
  <r>
    <s v="B001093"/>
    <s v="G00119"/>
    <s v="H004"/>
    <s v="CH04"/>
    <d v="2026-07-29T00:00:00"/>
    <d v="2026-09-27T00:00:00"/>
    <x v="0"/>
    <n v="4320"/>
    <x v="0"/>
    <b v="0"/>
    <x v="1"/>
    <x v="10"/>
    <n v="2026"/>
    <n v="6"/>
    <n v="7"/>
    <n v="2026"/>
    <n v="2"/>
    <s v="Yes"/>
    <x v="2"/>
    <s v="India"/>
    <x v="0"/>
    <s v="StayNest Lakeview"/>
    <x v="2"/>
    <s v="Resort"/>
    <n v="75"/>
    <x v="4"/>
    <s v="Partner"/>
    <d v="2026-09-27T00:00:00"/>
    <s v="Yes"/>
    <s v="No"/>
    <s v="Shoulder"/>
    <x v="1"/>
    <n v="0"/>
    <s v="31–90 days"/>
  </r>
  <r>
    <s v="B001094"/>
    <s v="G00492"/>
    <s v="H001"/>
    <s v="CH01"/>
    <d v="2025-05-13T00:00:00"/>
    <d v="2025-10-10T00:00:00"/>
    <x v="3"/>
    <n v="8606"/>
    <x v="2"/>
    <b v="0"/>
    <x v="5"/>
    <x v="11"/>
    <n v="2025"/>
    <n v="4"/>
    <n v="5"/>
    <n v="2025"/>
    <n v="1"/>
    <s v="No"/>
    <x v="2"/>
    <s v="India"/>
    <x v="0"/>
    <s v="StayNest Marina"/>
    <x v="1"/>
    <s v="Business"/>
    <n v="120"/>
    <x v="5"/>
    <s v="Direct"/>
    <d v="2025-10-10T00:00:00"/>
    <s v="No"/>
    <s v="No"/>
    <s v="Shoulder"/>
    <x v="1"/>
    <n v="0"/>
    <s v="91–180 days"/>
  </r>
  <r>
    <s v="B001095"/>
    <s v="G00371"/>
    <s v="H002"/>
    <s v="CH03"/>
    <d v="2025-11-13T00:00:00"/>
    <d v="2026-06-21T00:00:00"/>
    <x v="2"/>
    <n v="2518"/>
    <x v="2"/>
    <b v="0"/>
    <x v="8"/>
    <x v="1"/>
    <n v="2026"/>
    <n v="6"/>
    <n v="11"/>
    <n v="2025"/>
    <n v="3"/>
    <s v="Yes"/>
    <x v="3"/>
    <s v="India"/>
    <x v="0"/>
    <s v="StayNest Central"/>
    <x v="0"/>
    <s v="Business"/>
    <n v="150"/>
    <x v="1"/>
    <s v="OTA Promo"/>
    <d v="2026-06-21T00:00:00"/>
    <s v="Yes"/>
    <s v="No"/>
    <s v="Shoulder"/>
    <x v="1"/>
    <n v="0"/>
    <s v="181+ days"/>
  </r>
  <r>
    <s v="B001096"/>
    <s v="G00277"/>
    <s v="H003"/>
    <s v="CH01"/>
    <d v="2026-04-08T00:00:00"/>
    <d v="2026-04-22T00:00:00"/>
    <x v="1"/>
    <n v="7516"/>
    <x v="1"/>
    <b v="0"/>
    <x v="3"/>
    <x v="2"/>
    <n v="2026"/>
    <n v="2"/>
    <n v="4"/>
    <n v="2026"/>
    <n v="2"/>
    <s v="No"/>
    <x v="3"/>
    <s v="Singapore"/>
    <x v="0"/>
    <s v="StayNest Hills"/>
    <x v="5"/>
    <s v="Resort"/>
    <n v="80"/>
    <x v="5"/>
    <s v="Direct"/>
    <d v="2026-04-22T00:00:00"/>
    <s v="No"/>
    <s v="No"/>
    <s v="Peak"/>
    <x v="1"/>
    <n v="1"/>
    <s v="8–30 days"/>
  </r>
  <r>
    <s v="B001097"/>
    <s v="G00095"/>
    <s v="H006"/>
    <s v="CH02"/>
    <d v="2026-02-02T00:00:00"/>
    <d v="2026-04-03T00:00:00"/>
    <x v="3"/>
    <n v="7019"/>
    <x v="2"/>
    <b v="0"/>
    <x v="1"/>
    <x v="2"/>
    <n v="2026"/>
    <n v="4"/>
    <n v="2"/>
    <n v="2026"/>
    <n v="0"/>
    <s v="No"/>
    <x v="0"/>
    <s v="India"/>
    <x v="0"/>
    <s v="StayNest Beach"/>
    <x v="3"/>
    <s v="Resort"/>
    <n v="100"/>
    <x v="3"/>
    <s v="App Push"/>
    <d v="2026-04-03T00:00:00"/>
    <s v="No"/>
    <s v="No"/>
    <s v="Peak"/>
    <x v="1"/>
    <n v="0"/>
    <s v="31–90 days"/>
  </r>
  <r>
    <s v="B001098"/>
    <s v="G00548"/>
    <s v="H004"/>
    <s v="CH04"/>
    <d v="2026-10-09T00:00:00"/>
    <d v="2026-10-23T00:00:00"/>
    <x v="3"/>
    <n v="7348"/>
    <x v="0"/>
    <b v="0"/>
    <x v="3"/>
    <x v="11"/>
    <n v="2026"/>
    <n v="4"/>
    <n v="10"/>
    <n v="2026"/>
    <n v="4"/>
    <s v="No"/>
    <x v="1"/>
    <s v="India"/>
    <x v="0"/>
    <s v="StayNest Lakeview"/>
    <x v="2"/>
    <s v="Resort"/>
    <n v="75"/>
    <x v="4"/>
    <s v="Partner"/>
    <d v="2026-10-23T00:00:00"/>
    <s v="No"/>
    <s v="No"/>
    <s v="Shoulder"/>
    <x v="1"/>
    <n v="0"/>
    <s v="8–30 days"/>
  </r>
  <r>
    <s v="B001099"/>
    <s v="G00195"/>
    <s v="H010"/>
    <s v="CH06"/>
    <d v="2026-05-11T00:00:00"/>
    <d v="2026-07-10T00:00:00"/>
    <x v="2"/>
    <n v="3909"/>
    <x v="0"/>
    <b v="0"/>
    <x v="1"/>
    <x v="8"/>
    <n v="2026"/>
    <n v="4"/>
    <n v="5"/>
    <n v="2026"/>
    <n v="0"/>
    <s v="No"/>
    <x v="0"/>
    <s v="India"/>
    <x v="0"/>
    <s v="StayNest Garden"/>
    <x v="10"/>
    <s v="Boutique"/>
    <n v="70"/>
    <x v="0"/>
    <s v="Retention"/>
    <d v="2026-07-10T00:00:00"/>
    <s v="No"/>
    <s v="No"/>
    <s v="Off-Peak"/>
    <x v="1"/>
    <n v="0"/>
    <s v="31–90 days"/>
  </r>
  <r>
    <s v="B001100"/>
    <s v="G00043"/>
    <s v="H001"/>
    <s v="CH04"/>
    <d v="2025-07-12T00:00:00"/>
    <d v="2025-07-13T00:00:00"/>
    <x v="3"/>
    <n v="11814"/>
    <x v="3"/>
    <b v="0"/>
    <x v="7"/>
    <x v="8"/>
    <n v="2025"/>
    <n v="6"/>
    <n v="7"/>
    <n v="2025"/>
    <n v="5"/>
    <s v="Yes"/>
    <x v="1"/>
    <s v="UAE"/>
    <x v="0"/>
    <s v="StayNest Marina"/>
    <x v="1"/>
    <s v="Business"/>
    <n v="120"/>
    <x v="4"/>
    <s v="Partner"/>
    <d v="2025-07-13T00:00:00"/>
    <s v="Yes"/>
    <s v="No"/>
    <s v="Off-Peak"/>
    <x v="1"/>
    <n v="0"/>
    <s v="0–7 days"/>
  </r>
  <r>
    <s v="B001101"/>
    <s v="G00475"/>
    <s v="H002"/>
    <s v="CH02"/>
    <d v="2025-04-09T00:00:00"/>
    <d v="2025-05-09T00:00:00"/>
    <x v="2"/>
    <n v="2478"/>
    <x v="0"/>
    <b v="0"/>
    <x v="2"/>
    <x v="9"/>
    <n v="2025"/>
    <n v="4"/>
    <n v="4"/>
    <n v="2025"/>
    <n v="2"/>
    <s v="No"/>
    <x v="2"/>
    <s v="India"/>
    <x v="0"/>
    <s v="StayNest Central"/>
    <x v="0"/>
    <s v="Business"/>
    <n v="150"/>
    <x v="3"/>
    <s v="App Push"/>
    <d v="2025-05-09T00:00:00"/>
    <s v="No"/>
    <s v="No"/>
    <s v="Peak"/>
    <x v="1"/>
    <n v="0"/>
    <s v="8–30 days"/>
  </r>
  <r>
    <s v="B001102"/>
    <s v="G00640"/>
    <s v="H001"/>
    <s v="CH06"/>
    <d v="2025-11-21T00:00:00"/>
    <d v="2025-11-28T00:00:00"/>
    <x v="1"/>
    <n v="8846"/>
    <x v="0"/>
    <b v="0"/>
    <x v="4"/>
    <x v="4"/>
    <n v="2025"/>
    <n v="4"/>
    <n v="11"/>
    <n v="2025"/>
    <n v="4"/>
    <s v="No"/>
    <x v="3"/>
    <s v="India"/>
    <x v="0"/>
    <s v="StayNest Marina"/>
    <x v="1"/>
    <s v="Business"/>
    <n v="120"/>
    <x v="0"/>
    <s v="Retention"/>
    <d v="2025-11-28T00:00:00"/>
    <s v="No"/>
    <s v="No"/>
    <s v="Off-Peak"/>
    <x v="1"/>
    <n v="0"/>
    <s v="0–7 days"/>
  </r>
  <r>
    <s v="B001103"/>
    <s v="G00265"/>
    <s v="H007"/>
    <s v="CH02"/>
    <d v="2025-10-15T00:00:00"/>
    <d v="2025-10-29T00:00:00"/>
    <x v="1"/>
    <n v="5307"/>
    <x v="0"/>
    <b v="0"/>
    <x v="3"/>
    <x v="11"/>
    <n v="2025"/>
    <n v="2"/>
    <n v="10"/>
    <n v="2025"/>
    <n v="2"/>
    <s v="No"/>
    <x v="2"/>
    <s v="Singapore"/>
    <x v="0"/>
    <s v="StayNest Tech Park"/>
    <x v="6"/>
    <s v="Business"/>
    <n v="140"/>
    <x v="3"/>
    <s v="App Push"/>
    <d v="2025-10-29T00:00:00"/>
    <s v="No"/>
    <s v="No"/>
    <s v="Shoulder"/>
    <x v="1"/>
    <n v="0"/>
    <s v="8–30 days"/>
  </r>
  <r>
    <s v="B001104"/>
    <s v="G00027"/>
    <s v="H005"/>
    <s v="CH03"/>
    <d v="2025-07-09T00:00:00"/>
    <d v="2025-09-07T00:00:00"/>
    <x v="0"/>
    <n v="5955"/>
    <x v="2"/>
    <b v="0"/>
    <x v="1"/>
    <x v="10"/>
    <n v="2025"/>
    <n v="6"/>
    <n v="7"/>
    <n v="2025"/>
    <n v="2"/>
    <s v="Yes"/>
    <x v="1"/>
    <s v="India"/>
    <x v="0"/>
    <s v="StayNest Heritage"/>
    <x v="11"/>
    <s v="Heritage"/>
    <n v="90"/>
    <x v="1"/>
    <s v="OTA Promo"/>
    <d v="2025-09-07T00:00:00"/>
    <s v="Yes"/>
    <s v="No"/>
    <s v="Shoulder"/>
    <x v="1"/>
    <n v="0"/>
    <s v="31–90 days"/>
  </r>
  <r>
    <s v="B001105"/>
    <s v="G00326"/>
    <s v="H002"/>
    <s v="CH02"/>
    <d v="2026-08-14T00:00:00"/>
    <d v="2026-08-21T00:00:00"/>
    <x v="2"/>
    <n v="2300"/>
    <x v="2"/>
    <b v="0"/>
    <x v="4"/>
    <x v="7"/>
    <n v="2026"/>
    <n v="4"/>
    <n v="8"/>
    <n v="2026"/>
    <n v="4"/>
    <s v="No"/>
    <x v="3"/>
    <s v="India"/>
    <x v="0"/>
    <s v="StayNest Central"/>
    <x v="0"/>
    <s v="Business"/>
    <n v="150"/>
    <x v="3"/>
    <s v="App Push"/>
    <d v="2026-08-21T00:00:00"/>
    <s v="No"/>
    <s v="No"/>
    <s v="Off-Peak"/>
    <x v="1"/>
    <n v="0"/>
    <s v="0–7 days"/>
  </r>
  <r>
    <s v="B001106"/>
    <s v="G00082"/>
    <s v="H012"/>
    <s v="CH05"/>
    <d v="2026-08-15T00:00:00"/>
    <d v="2026-11-23T00:00:00"/>
    <x v="3"/>
    <n v="7322"/>
    <x v="0"/>
    <b v="0"/>
    <x v="0"/>
    <x v="4"/>
    <n v="2026"/>
    <n v="0"/>
    <n v="8"/>
    <n v="2026"/>
    <n v="5"/>
    <s v="No"/>
    <x v="2"/>
    <s v="Unknown"/>
    <x v="0"/>
    <s v="StayNest Valley"/>
    <x v="4"/>
    <s v="Resort"/>
    <n v="65"/>
    <x v="2"/>
    <s v="Corporate Rate"/>
    <d v="2026-11-23T00:00:00"/>
    <s v="No"/>
    <s v="No"/>
    <s v="Off-Peak"/>
    <x v="1"/>
    <n v="0"/>
    <s v="91–180 days"/>
  </r>
  <r>
    <s v="B001107"/>
    <s v="G00431"/>
    <s v="H002"/>
    <s v="CH06"/>
    <d v="2025-12-08T00:00:00"/>
    <d v="2025-12-15T00:00:00"/>
    <x v="2"/>
    <n v="2340"/>
    <x v="0"/>
    <b v="0"/>
    <x v="4"/>
    <x v="5"/>
    <n v="2025"/>
    <n v="0"/>
    <n v="12"/>
    <n v="2025"/>
    <n v="0"/>
    <s v="No"/>
    <x v="1"/>
    <s v="India"/>
    <x v="0"/>
    <s v="StayNest Central"/>
    <x v="0"/>
    <s v="Business"/>
    <n v="150"/>
    <x v="0"/>
    <s v="Retention"/>
    <d v="2025-12-15T00:00:00"/>
    <s v="No"/>
    <s v="No"/>
    <s v="Peak"/>
    <x v="1"/>
    <n v="0"/>
    <s v="0–7 days"/>
  </r>
  <r>
    <s v="B001108"/>
    <s v="G00370"/>
    <s v="H007"/>
    <s v="CH05"/>
    <d v="2025-04-20T00:00:00"/>
    <d v="2025-04-27T00:00:00"/>
    <x v="0"/>
    <n v="4189"/>
    <x v="0"/>
    <b v="0"/>
    <x v="4"/>
    <x v="2"/>
    <n v="2025"/>
    <n v="6"/>
    <n v="4"/>
    <n v="2025"/>
    <n v="6"/>
    <s v="Yes"/>
    <x v="2"/>
    <s v="India"/>
    <x v="0"/>
    <s v="StayNest Tech Park"/>
    <x v="6"/>
    <s v="Business"/>
    <n v="140"/>
    <x v="2"/>
    <s v="Corporate Rate"/>
    <d v="2025-04-27T00:00:00"/>
    <s v="Yes"/>
    <s v="No"/>
    <s v="Peak"/>
    <x v="1"/>
    <n v="0"/>
    <s v="0–7 days"/>
  </r>
  <r>
    <s v="B001109"/>
    <s v="G00018"/>
    <s v="H008"/>
    <s v="CH02"/>
    <d v="2025-05-10T00:00:00"/>
    <d v="2025-05-13T00:00:00"/>
    <x v="0"/>
    <n v="5642"/>
    <x v="0"/>
    <b v="0"/>
    <x v="6"/>
    <x v="9"/>
    <n v="2025"/>
    <n v="1"/>
    <n v="5"/>
    <n v="2025"/>
    <n v="5"/>
    <s v="No"/>
    <x v="1"/>
    <s v="India"/>
    <x v="0"/>
    <s v="StayNest Palace"/>
    <x v="7"/>
    <s v="Heritage"/>
    <n v="85"/>
    <x v="3"/>
    <s v="App Push"/>
    <d v="2025-05-13T00:00:00"/>
    <s v="No"/>
    <s v="No"/>
    <s v="Peak"/>
    <x v="1"/>
    <n v="0"/>
    <s v="0–7 days"/>
  </r>
  <r>
    <s v="B001110"/>
    <s v="G00561"/>
    <s v="H004"/>
    <s v="CH01"/>
    <d v="2026-03-17T00:00:00"/>
    <d v="2026-03-24T00:00:00"/>
    <x v="1"/>
    <n v="6410"/>
    <x v="0"/>
    <b v="0"/>
    <x v="4"/>
    <x v="3"/>
    <n v="2026"/>
    <n v="1"/>
    <n v="3"/>
    <n v="2026"/>
    <n v="1"/>
    <s v="No"/>
    <x v="3"/>
    <s v="United Kingdom"/>
    <x v="0"/>
    <s v="StayNest Lakeview"/>
    <x v="2"/>
    <s v="Resort"/>
    <n v="75"/>
    <x v="5"/>
    <s v="Direct"/>
    <d v="2026-03-24T00:00:00"/>
    <s v="No"/>
    <s v="No"/>
    <s v="Shoulder"/>
    <x v="1"/>
    <n v="0"/>
    <s v="0–7 days"/>
  </r>
  <r>
    <s v="B001111"/>
    <s v="G00593"/>
    <s v="H005"/>
    <s v="CH03"/>
    <d v="2025-09-13T00:00:00"/>
    <d v="2025-10-13T00:00:00"/>
    <x v="2"/>
    <n v="2722"/>
    <x v="0"/>
    <b v="0"/>
    <x v="2"/>
    <x v="11"/>
    <n v="2025"/>
    <n v="0"/>
    <n v="9"/>
    <n v="2025"/>
    <n v="5"/>
    <s v="No"/>
    <x v="1"/>
    <s v="India"/>
    <x v="0"/>
    <s v="StayNest Heritage"/>
    <x v="11"/>
    <s v="Heritage"/>
    <n v="90"/>
    <x v="1"/>
    <s v="OTA Promo"/>
    <d v="2025-10-13T00:00:00"/>
    <s v="No"/>
    <s v="No"/>
    <s v="Shoulder"/>
    <x v="1"/>
    <n v="0"/>
    <s v="8–30 days"/>
  </r>
  <r>
    <s v="B001112"/>
    <s v="G00260"/>
    <s v="H012"/>
    <s v="CH02"/>
    <d v="2026-08-14T00:00:00"/>
    <d v="2026-08-21T00:00:00"/>
    <x v="2"/>
    <n v="2471"/>
    <x v="2"/>
    <b v="0"/>
    <x v="4"/>
    <x v="7"/>
    <n v="2026"/>
    <n v="4"/>
    <n v="8"/>
    <n v="2026"/>
    <n v="4"/>
    <s v="No"/>
    <x v="2"/>
    <s v="India"/>
    <x v="1"/>
    <s v="StayNest Valley"/>
    <x v="4"/>
    <s v="Resort"/>
    <n v="65"/>
    <x v="3"/>
    <s v="App Push"/>
    <d v="2026-08-21T00:00:00"/>
    <s v="No"/>
    <s v="No"/>
    <s v="Off-Peak"/>
    <x v="1"/>
    <n v="0"/>
    <s v="0–7 days"/>
  </r>
  <r>
    <s v="B001113"/>
    <s v="G00137"/>
    <s v="H004"/>
    <s v="CH03"/>
    <d v="2025-04-26T00:00:00"/>
    <d v="2025-05-26T00:00:00"/>
    <x v="0"/>
    <n v="3556"/>
    <x v="0"/>
    <b v="0"/>
    <x v="2"/>
    <x v="9"/>
    <n v="2025"/>
    <n v="0"/>
    <n v="4"/>
    <n v="2025"/>
    <n v="5"/>
    <s v="No"/>
    <x v="0"/>
    <s v="India"/>
    <x v="0"/>
    <s v="StayNest Lakeview"/>
    <x v="2"/>
    <s v="Resort"/>
    <n v="75"/>
    <x v="1"/>
    <s v="OTA Promo"/>
    <d v="2025-05-26T00:00:00"/>
    <s v="No"/>
    <s v="No"/>
    <s v="Peak"/>
    <x v="1"/>
    <n v="0"/>
    <s v="8–30 days"/>
  </r>
  <r>
    <s v="B001114"/>
    <s v="G00127"/>
    <s v="H006"/>
    <s v="CH03"/>
    <d v="2026-02-25T00:00:00"/>
    <d v="2026-03-11T00:00:00"/>
    <x v="3"/>
    <n v="11702"/>
    <x v="2"/>
    <b v="0"/>
    <x v="3"/>
    <x v="3"/>
    <n v="2026"/>
    <n v="2"/>
    <n v="2"/>
    <n v="2026"/>
    <n v="2"/>
    <s v="No"/>
    <x v="1"/>
    <s v="Singapore"/>
    <x v="0"/>
    <s v="StayNest Beach"/>
    <x v="3"/>
    <s v="Resort"/>
    <n v="100"/>
    <x v="1"/>
    <s v="OTA Promo"/>
    <d v="2026-03-11T00:00:00"/>
    <s v="No"/>
    <s v="No"/>
    <s v="Shoulder"/>
    <x v="1"/>
    <n v="0"/>
    <s v="8–30 days"/>
  </r>
  <r>
    <s v="B001115"/>
    <s v="G00249"/>
    <s v="H008"/>
    <s v="CH04"/>
    <d v="2025-10-08T00:00:00"/>
    <d v="2025-10-22T00:00:00"/>
    <x v="3"/>
    <n v="7799"/>
    <x v="2"/>
    <b v="0"/>
    <x v="3"/>
    <x v="11"/>
    <n v="2025"/>
    <n v="2"/>
    <n v="10"/>
    <n v="2025"/>
    <n v="2"/>
    <s v="No"/>
    <x v="1"/>
    <s v="Germany"/>
    <x v="0"/>
    <s v="StayNest Palace"/>
    <x v="7"/>
    <s v="Heritage"/>
    <n v="85"/>
    <x v="4"/>
    <s v="Partner"/>
    <d v="2025-10-22T00:00:00"/>
    <s v="No"/>
    <s v="No"/>
    <s v="Shoulder"/>
    <x v="1"/>
    <n v="0"/>
    <s v="8–30 days"/>
  </r>
  <r>
    <s v="B001116"/>
    <s v="G00537"/>
    <s v="H005"/>
    <s v="CH02"/>
    <d v="2026-02-28T00:00:00"/>
    <d v="2026-03-03T00:00:00"/>
    <x v="3"/>
    <n v="7950"/>
    <x v="2"/>
    <b v="0"/>
    <x v="6"/>
    <x v="3"/>
    <n v="2026"/>
    <n v="1"/>
    <n v="2"/>
    <n v="2026"/>
    <n v="5"/>
    <s v="No"/>
    <x v="1"/>
    <s v="India"/>
    <x v="0"/>
    <s v="StayNest Heritage"/>
    <x v="11"/>
    <s v="Heritage"/>
    <n v="90"/>
    <x v="3"/>
    <s v="App Push"/>
    <d v="2026-03-03T00:00:00"/>
    <s v="No"/>
    <s v="No"/>
    <s v="Shoulder"/>
    <x v="1"/>
    <n v="0"/>
    <s v="0–7 days"/>
  </r>
  <r>
    <s v="B001117"/>
    <s v="G00067"/>
    <s v="H010"/>
    <s v="CH04"/>
    <d v="2025-12-23T00:00:00"/>
    <d v="2025-12-30T00:00:00"/>
    <x v="0"/>
    <n v="4628"/>
    <x v="0"/>
    <b v="0"/>
    <x v="4"/>
    <x v="5"/>
    <n v="2025"/>
    <n v="1"/>
    <n v="12"/>
    <n v="2025"/>
    <n v="1"/>
    <s v="No"/>
    <x v="2"/>
    <s v="Singapore"/>
    <x v="0"/>
    <s v="StayNest Garden"/>
    <x v="10"/>
    <s v="Boutique"/>
    <n v="70"/>
    <x v="4"/>
    <s v="Partner"/>
    <d v="2025-12-30T00:00:00"/>
    <s v="No"/>
    <s v="No"/>
    <s v="Peak"/>
    <x v="1"/>
    <n v="0"/>
    <s v="0–7 days"/>
  </r>
  <r>
    <s v="B001118"/>
    <s v="G00137"/>
    <s v="H001"/>
    <s v="CH02"/>
    <d v="2026-10-23T00:00:00"/>
    <d v="2026-11-06T00:00:00"/>
    <x v="0"/>
    <n v="4092"/>
    <x v="2"/>
    <b v="0"/>
    <x v="3"/>
    <x v="4"/>
    <n v="2026"/>
    <n v="4"/>
    <n v="10"/>
    <n v="2026"/>
    <n v="4"/>
    <s v="No"/>
    <x v="0"/>
    <s v="India"/>
    <x v="0"/>
    <s v="StayNest Marina"/>
    <x v="1"/>
    <s v="Business"/>
    <n v="120"/>
    <x v="3"/>
    <s v="App Push"/>
    <d v="2026-11-06T00:00:00"/>
    <s v="No"/>
    <s v="No"/>
    <s v="Off-Peak"/>
    <x v="1"/>
    <n v="0"/>
    <s v="8–30 days"/>
  </r>
  <r>
    <s v="B001119"/>
    <s v="G00279"/>
    <s v="H011"/>
    <s v="CH05"/>
    <d v="2025-11-14T00:00:00"/>
    <d v="2026-01-13T00:00:00"/>
    <x v="2"/>
    <n v="3361"/>
    <x v="2"/>
    <b v="0"/>
    <x v="1"/>
    <x v="6"/>
    <n v="2026"/>
    <n v="1"/>
    <n v="11"/>
    <n v="2025"/>
    <n v="4"/>
    <s v="No"/>
    <x v="0"/>
    <s v="India"/>
    <x v="0"/>
    <s v="StayNest Grand"/>
    <x v="8"/>
    <s v="Business"/>
    <n v="110"/>
    <x v="2"/>
    <s v="Corporate Rate"/>
    <d v="2026-01-13T00:00:00"/>
    <s v="No"/>
    <s v="No"/>
    <s v="Off-Peak"/>
    <x v="1"/>
    <n v="0"/>
    <s v="31–90 days"/>
  </r>
  <r>
    <s v="B001120"/>
    <s v="G00570"/>
    <s v="H010"/>
    <s v="CH05"/>
    <d v="2026-06-27T00:00:00"/>
    <d v="2026-11-24T00:00:00"/>
    <x v="1"/>
    <n v="6340"/>
    <x v="0"/>
    <b v="0"/>
    <x v="5"/>
    <x v="4"/>
    <n v="2026"/>
    <n v="1"/>
    <n v="6"/>
    <n v="2026"/>
    <n v="5"/>
    <s v="No"/>
    <x v="1"/>
    <s v="India"/>
    <x v="0"/>
    <s v="StayNest Garden"/>
    <x v="10"/>
    <s v="Boutique"/>
    <n v="70"/>
    <x v="2"/>
    <s v="Corporate Rate"/>
    <d v="2026-11-24T00:00:00"/>
    <s v="No"/>
    <s v="No"/>
    <s v="Off-Peak"/>
    <x v="1"/>
    <n v="0"/>
    <s v="91–180 days"/>
  </r>
  <r>
    <s v="B001121"/>
    <s v="G00350"/>
    <s v="H001"/>
    <s v="CH04"/>
    <d v="2025-07-18T00:00:00"/>
    <d v="2025-07-25T00:00:00"/>
    <x v="3"/>
    <n v="11302"/>
    <x v="3"/>
    <b v="0"/>
    <x v="4"/>
    <x v="8"/>
    <n v="2025"/>
    <n v="4"/>
    <n v="7"/>
    <n v="2025"/>
    <n v="4"/>
    <s v="No"/>
    <x v="3"/>
    <s v="Germany"/>
    <x v="1"/>
    <s v="StayNest Marina"/>
    <x v="1"/>
    <s v="Business"/>
    <n v="120"/>
    <x v="4"/>
    <s v="Partner"/>
    <d v="2025-07-25T00:00:00"/>
    <s v="No"/>
    <s v="No"/>
    <s v="Off-Peak"/>
    <x v="1"/>
    <n v="0"/>
    <s v="0–7 days"/>
  </r>
  <r>
    <s v="B001122"/>
    <s v="G00579"/>
    <s v="H010"/>
    <s v="CH03"/>
    <d v="2025-04-09T00:00:00"/>
    <d v="2025-04-23T00:00:00"/>
    <x v="0"/>
    <n v="3687"/>
    <x v="1"/>
    <b v="0"/>
    <x v="3"/>
    <x v="2"/>
    <n v="2025"/>
    <n v="2"/>
    <n v="4"/>
    <n v="2025"/>
    <n v="2"/>
    <s v="No"/>
    <x v="0"/>
    <s v="India"/>
    <x v="0"/>
    <s v="StayNest Garden"/>
    <x v="10"/>
    <s v="Boutique"/>
    <n v="70"/>
    <x v="1"/>
    <s v="OTA Promo"/>
    <d v="2025-04-23T00:00:00"/>
    <s v="No"/>
    <s v="No"/>
    <s v="Peak"/>
    <x v="1"/>
    <n v="1"/>
    <s v="8–30 days"/>
  </r>
  <r>
    <s v="B001123"/>
    <s v="G00342"/>
    <s v="H008"/>
    <s v="CH02"/>
    <d v="2026-03-18T00:00:00"/>
    <d v="2026-08-15T00:00:00"/>
    <x v="2"/>
    <n v="2411"/>
    <x v="1"/>
    <b v="0"/>
    <x v="5"/>
    <x v="7"/>
    <n v="2026"/>
    <n v="5"/>
    <n v="3"/>
    <n v="2026"/>
    <n v="2"/>
    <s v="Yes"/>
    <x v="1"/>
    <s v="India"/>
    <x v="0"/>
    <s v="StayNest Palace"/>
    <x v="7"/>
    <s v="Heritage"/>
    <n v="85"/>
    <x v="3"/>
    <s v="App Push"/>
    <d v="2026-08-15T00:00:00"/>
    <s v="Yes"/>
    <s v="Yes"/>
    <s v="Off-Peak"/>
    <x v="2"/>
    <n v="1"/>
    <s v="91–180 days"/>
  </r>
  <r>
    <s v="B001124"/>
    <s v="G00479"/>
    <s v="H007"/>
    <s v="CH05"/>
    <d v="2025-03-16T00:00:00"/>
    <d v="2025-03-19T00:00:00"/>
    <x v="1"/>
    <n v="6519"/>
    <x v="2"/>
    <b v="0"/>
    <x v="6"/>
    <x v="3"/>
    <n v="2025"/>
    <n v="2"/>
    <n v="3"/>
    <n v="2025"/>
    <n v="6"/>
    <s v="No"/>
    <x v="0"/>
    <s v="Unknown"/>
    <x v="0"/>
    <s v="StayNest Tech Park"/>
    <x v="6"/>
    <s v="Business"/>
    <n v="140"/>
    <x v="2"/>
    <s v="Corporate Rate"/>
    <d v="2025-03-19T00:00:00"/>
    <s v="No"/>
    <s v="No"/>
    <s v="Shoulder"/>
    <x v="1"/>
    <n v="0"/>
    <s v="0–7 days"/>
  </r>
  <r>
    <s v="B001125"/>
    <s v="G00419"/>
    <s v="H002"/>
    <s v="CH03"/>
    <d v="2026-10-21T00:00:00"/>
    <d v="2026-11-20T00:00:00"/>
    <x v="1"/>
    <n v="7505"/>
    <x v="2"/>
    <b v="0"/>
    <x v="2"/>
    <x v="4"/>
    <n v="2026"/>
    <n v="4"/>
    <n v="10"/>
    <n v="2026"/>
    <n v="2"/>
    <s v="No"/>
    <x v="2"/>
    <s v="India"/>
    <x v="0"/>
    <s v="StayNest Central"/>
    <x v="0"/>
    <s v="Business"/>
    <n v="150"/>
    <x v="1"/>
    <s v="OTA Promo"/>
    <d v="2026-11-20T00:00:00"/>
    <s v="No"/>
    <s v="No"/>
    <s v="Off-Peak"/>
    <x v="1"/>
    <n v="0"/>
    <s v="8–30 days"/>
  </r>
  <r>
    <s v="B001126"/>
    <s v="G00550"/>
    <s v="H012"/>
    <s v="CH06"/>
    <d v="2025-09-04T00:00:00"/>
    <d v="2025-09-05T00:00:00"/>
    <x v="3"/>
    <n v="10510"/>
    <x v="2"/>
    <b v="0"/>
    <x v="7"/>
    <x v="10"/>
    <n v="2025"/>
    <n v="4"/>
    <n v="9"/>
    <n v="2025"/>
    <n v="3"/>
    <s v="No"/>
    <x v="2"/>
    <s v="India"/>
    <x v="0"/>
    <s v="StayNest Valley"/>
    <x v="4"/>
    <s v="Resort"/>
    <n v="65"/>
    <x v="0"/>
    <s v="Retention"/>
    <d v="2025-09-05T00:00:00"/>
    <s v="No"/>
    <s v="No"/>
    <s v="Shoulder"/>
    <x v="1"/>
    <n v="0"/>
    <s v="0–7 days"/>
  </r>
  <r>
    <s v="B001127"/>
    <s v="G00103"/>
    <s v="H002"/>
    <s v="CH05"/>
    <d v="2026-08-20T00:00:00"/>
    <d v="2026-08-27T00:00:00"/>
    <x v="3"/>
    <n v="9423"/>
    <x v="0"/>
    <b v="0"/>
    <x v="4"/>
    <x v="7"/>
    <n v="2026"/>
    <n v="3"/>
    <n v="8"/>
    <n v="2026"/>
    <n v="3"/>
    <s v="No"/>
    <x v="1"/>
    <s v="UAE"/>
    <x v="0"/>
    <s v="StayNest Central"/>
    <x v="0"/>
    <s v="Business"/>
    <n v="150"/>
    <x v="2"/>
    <s v="Corporate Rate"/>
    <d v="2026-08-27T00:00:00"/>
    <s v="No"/>
    <s v="No"/>
    <s v="Off-Peak"/>
    <x v="1"/>
    <n v="0"/>
    <s v="0–7 days"/>
  </r>
  <r>
    <s v="B001128"/>
    <s v="G00100"/>
    <s v="H011"/>
    <s v="CH05"/>
    <d v="2025-01-22T00:00:00"/>
    <d v="2025-02-21T00:00:00"/>
    <x v="0"/>
    <n v="4142"/>
    <x v="2"/>
    <b v="0"/>
    <x v="2"/>
    <x v="0"/>
    <n v="2025"/>
    <n v="4"/>
    <n v="1"/>
    <n v="2025"/>
    <n v="2"/>
    <s v="No"/>
    <x v="1"/>
    <s v="India"/>
    <x v="0"/>
    <s v="StayNest Grand"/>
    <x v="8"/>
    <s v="Business"/>
    <n v="110"/>
    <x v="2"/>
    <s v="Corporate Rate"/>
    <d v="2025-02-21T00:00:00"/>
    <s v="No"/>
    <s v="No"/>
    <s v="Shoulder"/>
    <x v="1"/>
    <n v="0"/>
    <s v="8–30 days"/>
  </r>
  <r>
    <s v="B001129"/>
    <s v="G00203"/>
    <s v="H003"/>
    <s v="CH03"/>
    <d v="2026-04-17T00:00:00"/>
    <d v="2026-04-18T00:00:00"/>
    <x v="1"/>
    <n v="5482"/>
    <x v="0"/>
    <b v="0"/>
    <x v="7"/>
    <x v="2"/>
    <n v="2026"/>
    <n v="5"/>
    <n v="4"/>
    <n v="2026"/>
    <n v="4"/>
    <s v="Yes"/>
    <x v="3"/>
    <s v="United Kingdom"/>
    <x v="1"/>
    <s v="StayNest Hills"/>
    <x v="5"/>
    <s v="Resort"/>
    <n v="80"/>
    <x v="1"/>
    <s v="OTA Promo"/>
    <d v="2026-04-18T00:00:00"/>
    <s v="Yes"/>
    <s v="No"/>
    <s v="Peak"/>
    <x v="1"/>
    <n v="0"/>
    <s v="0–7 days"/>
  </r>
  <r>
    <s v="B001130"/>
    <s v="G00307"/>
    <s v="H011"/>
    <s v="CH04"/>
    <d v="2025-06-07T00:00:00"/>
    <d v="2025-08-06T00:00:00"/>
    <x v="0"/>
    <n v="3531"/>
    <x v="2"/>
    <b v="0"/>
    <x v="1"/>
    <x v="7"/>
    <n v="2025"/>
    <n v="2"/>
    <n v="6"/>
    <n v="2025"/>
    <n v="5"/>
    <s v="No"/>
    <x v="0"/>
    <s v="Unknown"/>
    <x v="0"/>
    <s v="StayNest Grand"/>
    <x v="8"/>
    <s v="Business"/>
    <n v="110"/>
    <x v="4"/>
    <s v="Partner"/>
    <d v="2025-08-06T00:00:00"/>
    <s v="No"/>
    <s v="No"/>
    <s v="Off-Peak"/>
    <x v="1"/>
    <n v="0"/>
    <s v="31–90 days"/>
  </r>
  <r>
    <s v="B001131"/>
    <s v="G00431"/>
    <s v="H002"/>
    <s v="CH01"/>
    <d v="2025-06-11T00:00:00"/>
    <d v="2025-06-18T00:00:00"/>
    <x v="0"/>
    <n v="5280"/>
    <x v="0"/>
    <b v="0"/>
    <x v="4"/>
    <x v="1"/>
    <n v="2025"/>
    <n v="2"/>
    <n v="6"/>
    <n v="2025"/>
    <n v="2"/>
    <s v="No"/>
    <x v="1"/>
    <s v="India"/>
    <x v="0"/>
    <s v="StayNest Central"/>
    <x v="0"/>
    <s v="Business"/>
    <n v="150"/>
    <x v="5"/>
    <s v="Direct"/>
    <d v="2025-06-18T00:00:00"/>
    <s v="No"/>
    <s v="No"/>
    <s v="Shoulder"/>
    <x v="1"/>
    <n v="0"/>
    <s v="0–7 days"/>
  </r>
  <r>
    <s v="B001132"/>
    <s v="G00569"/>
    <s v="H011"/>
    <s v="CH05"/>
    <d v="2026-08-29T00:00:00"/>
    <d v="2026-12-07T00:00:00"/>
    <x v="3"/>
    <n v="10865"/>
    <x v="0"/>
    <b v="0"/>
    <x v="0"/>
    <x v="5"/>
    <n v="2026"/>
    <n v="0"/>
    <n v="8"/>
    <n v="2026"/>
    <n v="5"/>
    <s v="No"/>
    <x v="1"/>
    <s v="Unknown"/>
    <x v="0"/>
    <s v="StayNest Grand"/>
    <x v="8"/>
    <s v="Business"/>
    <n v="110"/>
    <x v="2"/>
    <s v="Corporate Rate"/>
    <d v="2026-12-07T00:00:00"/>
    <s v="No"/>
    <s v="No"/>
    <s v="Peak"/>
    <x v="1"/>
    <n v="0"/>
    <s v="91–180 days"/>
  </r>
  <r>
    <s v="B001133"/>
    <s v="G00626"/>
    <s v="H008"/>
    <s v="CH03"/>
    <d v="2025-11-20T00:00:00"/>
    <d v="2025-11-27T00:00:00"/>
    <x v="0"/>
    <n v="5162"/>
    <x v="0"/>
    <b v="0"/>
    <x v="4"/>
    <x v="4"/>
    <n v="2025"/>
    <n v="3"/>
    <n v="11"/>
    <n v="2025"/>
    <n v="3"/>
    <s v="No"/>
    <x v="0"/>
    <s v="United States"/>
    <x v="1"/>
    <s v="StayNest Palace"/>
    <x v="7"/>
    <s v="Heritage"/>
    <n v="85"/>
    <x v="1"/>
    <s v="OTA Promo"/>
    <d v="2025-11-27T00:00:00"/>
    <s v="No"/>
    <s v="No"/>
    <s v="Off-Peak"/>
    <x v="1"/>
    <n v="0"/>
    <s v="0–7 days"/>
  </r>
  <r>
    <s v="B001134"/>
    <s v="G00596"/>
    <s v="H002"/>
    <s v="CH06"/>
    <d v="2025-05-10T00:00:00"/>
    <d v="2025-08-18T00:00:00"/>
    <x v="0"/>
    <n v="3963"/>
    <x v="2"/>
    <b v="0"/>
    <x v="0"/>
    <x v="7"/>
    <n v="2025"/>
    <n v="0"/>
    <n v="5"/>
    <n v="2025"/>
    <n v="5"/>
    <s v="No"/>
    <x v="1"/>
    <s v="United States"/>
    <x v="0"/>
    <s v="StayNest Central"/>
    <x v="0"/>
    <s v="Business"/>
    <n v="150"/>
    <x v="0"/>
    <s v="Retention"/>
    <d v="2025-08-18T00:00:00"/>
    <s v="No"/>
    <s v="No"/>
    <s v="Off-Peak"/>
    <x v="1"/>
    <n v="0"/>
    <s v="91–180 days"/>
  </r>
  <r>
    <s v="B001135"/>
    <s v="G00139"/>
    <s v="H001"/>
    <s v="CH05"/>
    <d v="2025-07-04T00:00:00"/>
    <d v="2025-08-03T00:00:00"/>
    <x v="0"/>
    <n v="3707"/>
    <x v="0"/>
    <b v="0"/>
    <x v="2"/>
    <x v="7"/>
    <n v="2025"/>
    <n v="6"/>
    <n v="7"/>
    <n v="2025"/>
    <n v="4"/>
    <s v="Yes"/>
    <x v="1"/>
    <s v="India"/>
    <x v="1"/>
    <s v="StayNest Marina"/>
    <x v="1"/>
    <s v="Business"/>
    <n v="120"/>
    <x v="2"/>
    <s v="Corporate Rate"/>
    <d v="2025-08-03T00:00:00"/>
    <s v="Yes"/>
    <s v="No"/>
    <s v="Off-Peak"/>
    <x v="1"/>
    <n v="0"/>
    <s v="8–30 days"/>
  </r>
  <r>
    <s v="B001136"/>
    <s v="G00566"/>
    <s v="H002"/>
    <s v="CH03"/>
    <d v="2026-06-22T00:00:00"/>
    <d v="2026-07-22T00:00:00"/>
    <x v="3"/>
    <n v="7615"/>
    <x v="2"/>
    <b v="0"/>
    <x v="2"/>
    <x v="8"/>
    <n v="2026"/>
    <n v="2"/>
    <n v="6"/>
    <n v="2026"/>
    <n v="0"/>
    <s v="No"/>
    <x v="1"/>
    <s v="India"/>
    <x v="0"/>
    <s v="StayNest Central"/>
    <x v="0"/>
    <s v="Business"/>
    <n v="150"/>
    <x v="1"/>
    <s v="OTA Promo"/>
    <d v="2026-07-22T00:00:00"/>
    <s v="No"/>
    <s v="No"/>
    <s v="Off-Peak"/>
    <x v="1"/>
    <n v="0"/>
    <s v="8–30 days"/>
  </r>
  <r>
    <s v="B001137"/>
    <s v="G00211"/>
    <s v="H003"/>
    <s v="CH02"/>
    <d v="2026-10-14T00:00:00"/>
    <d v="2026-10-17T00:00:00"/>
    <x v="0"/>
    <n v="3792"/>
    <x v="1"/>
    <b v="0"/>
    <x v="6"/>
    <x v="11"/>
    <n v="2026"/>
    <n v="5"/>
    <n v="10"/>
    <n v="2026"/>
    <n v="2"/>
    <s v="Yes"/>
    <x v="2"/>
    <s v="India"/>
    <x v="0"/>
    <s v="StayNest Hills"/>
    <x v="5"/>
    <s v="Resort"/>
    <n v="80"/>
    <x v="3"/>
    <s v="App Push"/>
    <d v="2026-10-17T00:00:00"/>
    <s v="Yes"/>
    <s v="No"/>
    <s v="Shoulder"/>
    <x v="1"/>
    <n v="1"/>
    <s v="0–7 days"/>
  </r>
  <r>
    <s v="B001138"/>
    <s v="G00330"/>
    <s v="H008"/>
    <s v="CH02"/>
    <d v="2026-11-29T00:00:00"/>
    <d v="2026-12-06T00:00:00"/>
    <x v="3"/>
    <n v="6723"/>
    <x v="1"/>
    <b v="0"/>
    <x v="4"/>
    <x v="5"/>
    <n v="2026"/>
    <n v="6"/>
    <n v="11"/>
    <n v="2026"/>
    <n v="6"/>
    <s v="Yes"/>
    <x v="3"/>
    <s v="United States"/>
    <x v="1"/>
    <s v="StayNest Palace"/>
    <x v="7"/>
    <s v="Heritage"/>
    <n v="85"/>
    <x v="3"/>
    <s v="App Push"/>
    <d v="2026-12-06T00:00:00"/>
    <s v="Yes"/>
    <s v="No"/>
    <s v="Peak"/>
    <x v="1"/>
    <n v="1"/>
    <s v="0–7 days"/>
  </r>
  <r>
    <s v="B001139"/>
    <s v="G00032"/>
    <s v="H002"/>
    <s v="CH03"/>
    <d v="2025-06-18T00:00:00"/>
    <d v="2025-08-17T00:00:00"/>
    <x v="2"/>
    <n v="3608"/>
    <x v="2"/>
    <b v="0"/>
    <x v="1"/>
    <x v="7"/>
    <n v="2025"/>
    <n v="6"/>
    <n v="6"/>
    <n v="2025"/>
    <n v="2"/>
    <s v="Yes"/>
    <x v="3"/>
    <s v="India"/>
    <x v="0"/>
    <s v="StayNest Central"/>
    <x v="0"/>
    <s v="Business"/>
    <n v="150"/>
    <x v="1"/>
    <s v="OTA Promo"/>
    <d v="2025-08-17T00:00:00"/>
    <s v="Yes"/>
    <s v="No"/>
    <s v="Off-Peak"/>
    <x v="1"/>
    <n v="0"/>
    <s v="31–90 days"/>
  </r>
  <r>
    <s v="B001140"/>
    <s v="G00381"/>
    <s v="H001"/>
    <s v="CH06"/>
    <d v="2026-09-12T00:00:00"/>
    <d v="2026-09-13T00:00:00"/>
    <x v="0"/>
    <n v="5052"/>
    <x v="2"/>
    <b v="0"/>
    <x v="7"/>
    <x v="10"/>
    <n v="2026"/>
    <n v="6"/>
    <n v="9"/>
    <n v="2026"/>
    <n v="5"/>
    <s v="Yes"/>
    <x v="0"/>
    <s v="India"/>
    <x v="0"/>
    <s v="StayNest Marina"/>
    <x v="1"/>
    <s v="Business"/>
    <n v="120"/>
    <x v="0"/>
    <s v="Retention"/>
    <d v="2026-09-13T00:00:00"/>
    <s v="Yes"/>
    <s v="No"/>
    <s v="Shoulder"/>
    <x v="1"/>
    <n v="0"/>
    <s v="0–7 days"/>
  </r>
  <r>
    <s v="B001141"/>
    <s v="G00268"/>
    <s v="H003"/>
    <s v="CH01"/>
    <d v="2026-07-13T00:00:00"/>
    <d v="2026-10-21T00:00:00"/>
    <x v="1"/>
    <n v="5616"/>
    <x v="0"/>
    <b v="0"/>
    <x v="0"/>
    <x v="11"/>
    <n v="2026"/>
    <n v="2"/>
    <n v="7"/>
    <n v="2026"/>
    <n v="0"/>
    <s v="No"/>
    <x v="1"/>
    <s v="India"/>
    <x v="0"/>
    <s v="StayNest Hills"/>
    <x v="5"/>
    <s v="Resort"/>
    <n v="80"/>
    <x v="5"/>
    <s v="Direct"/>
    <d v="2026-10-21T00:00:00"/>
    <s v="No"/>
    <s v="No"/>
    <s v="Shoulder"/>
    <x v="1"/>
    <n v="0"/>
    <s v="91–180 days"/>
  </r>
  <r>
    <s v="B001142"/>
    <s v="G00044"/>
    <s v="H006"/>
    <s v="CH04"/>
    <d v="2026-04-26T00:00:00"/>
    <d v="2026-04-27T00:00:00"/>
    <x v="1"/>
    <n v="39475"/>
    <x v="0"/>
    <b v="1"/>
    <x v="7"/>
    <x v="2"/>
    <n v="2026"/>
    <n v="0"/>
    <n v="4"/>
    <n v="2026"/>
    <n v="6"/>
    <s v="No"/>
    <x v="0"/>
    <s v="India"/>
    <x v="1"/>
    <s v="StayNest Beach"/>
    <x v="3"/>
    <s v="Resort"/>
    <n v="100"/>
    <x v="4"/>
    <s v="Partner"/>
    <d v="2026-04-27T00:00:00"/>
    <s v="No"/>
    <s v="No"/>
    <s v="Peak"/>
    <x v="1"/>
    <n v="0"/>
    <s v="0–7 days"/>
  </r>
  <r>
    <s v="B001143"/>
    <s v="G00350"/>
    <s v="H002"/>
    <s v="CH03"/>
    <d v="2026-06-13T00:00:00"/>
    <d v="2026-06-20T00:00:00"/>
    <x v="0"/>
    <n v="5806"/>
    <x v="0"/>
    <b v="0"/>
    <x v="4"/>
    <x v="1"/>
    <n v="2026"/>
    <n v="5"/>
    <n v="6"/>
    <n v="2026"/>
    <n v="5"/>
    <s v="Yes"/>
    <x v="3"/>
    <s v="Germany"/>
    <x v="1"/>
    <s v="StayNest Central"/>
    <x v="0"/>
    <s v="Business"/>
    <n v="150"/>
    <x v="1"/>
    <s v="OTA Promo"/>
    <d v="2026-06-20T00:00:00"/>
    <s v="Yes"/>
    <s v="No"/>
    <s v="Shoulder"/>
    <x v="1"/>
    <n v="0"/>
    <s v="0–7 days"/>
  </r>
  <r>
    <s v="B001144"/>
    <s v="G00330"/>
    <s v="H006"/>
    <s v="CH06"/>
    <d v="2025-02-20T00:00:00"/>
    <d v="2025-03-06T00:00:00"/>
    <x v="0"/>
    <n v="3671"/>
    <x v="0"/>
    <b v="0"/>
    <x v="3"/>
    <x v="3"/>
    <n v="2025"/>
    <n v="3"/>
    <n v="2"/>
    <n v="2025"/>
    <n v="3"/>
    <s v="No"/>
    <x v="3"/>
    <s v="United States"/>
    <x v="1"/>
    <s v="StayNest Beach"/>
    <x v="3"/>
    <s v="Resort"/>
    <n v="100"/>
    <x v="0"/>
    <s v="Retention"/>
    <d v="2025-03-06T00:00:00"/>
    <s v="No"/>
    <s v="No"/>
    <s v="Shoulder"/>
    <x v="1"/>
    <n v="0"/>
    <s v="8–30 days"/>
  </r>
  <r>
    <s v="B001145"/>
    <s v="G00247"/>
    <s v="H007"/>
    <s v="CH05"/>
    <d v="2026-09-21T00:00:00"/>
    <d v="2026-10-21T00:00:00"/>
    <x v="3"/>
    <n v="8013"/>
    <x v="0"/>
    <b v="0"/>
    <x v="2"/>
    <x v="11"/>
    <n v="2026"/>
    <n v="2"/>
    <n v="9"/>
    <n v="2026"/>
    <n v="0"/>
    <s v="No"/>
    <x v="1"/>
    <s v="India"/>
    <x v="0"/>
    <s v="StayNest Tech Park"/>
    <x v="6"/>
    <s v="Business"/>
    <n v="140"/>
    <x v="2"/>
    <s v="Corporate Rate"/>
    <d v="2026-10-21T00:00:00"/>
    <s v="No"/>
    <s v="No"/>
    <s v="Shoulder"/>
    <x v="1"/>
    <n v="0"/>
    <s v="8–30 days"/>
  </r>
  <r>
    <s v="B001146"/>
    <s v="G00126"/>
    <s v="H007"/>
    <s v="CH03"/>
    <d v="2026-06-26T00:00:00"/>
    <d v="2026-06-29T00:00:00"/>
    <x v="2"/>
    <n v="3481"/>
    <x v="2"/>
    <b v="0"/>
    <x v="6"/>
    <x v="1"/>
    <n v="2026"/>
    <n v="0"/>
    <n v="6"/>
    <n v="2026"/>
    <n v="4"/>
    <s v="No"/>
    <x v="1"/>
    <s v="India"/>
    <x v="0"/>
    <s v="StayNest Tech Park"/>
    <x v="6"/>
    <s v="Business"/>
    <n v="140"/>
    <x v="1"/>
    <s v="OTA Promo"/>
    <d v="2026-06-29T00:00:00"/>
    <s v="No"/>
    <s v="No"/>
    <s v="Shoulder"/>
    <x v="1"/>
    <n v="0"/>
    <s v="0–7 days"/>
  </r>
  <r>
    <s v="B001147"/>
    <s v="G00255"/>
    <s v="H009"/>
    <s v="CH02"/>
    <d v="2026-01-23T00:00:00"/>
    <d v="2026-03-24T00:00:00"/>
    <x v="0"/>
    <n v="3762"/>
    <x v="0"/>
    <b v="0"/>
    <x v="1"/>
    <x v="3"/>
    <n v="2026"/>
    <n v="1"/>
    <n v="1"/>
    <n v="2026"/>
    <n v="4"/>
    <s v="No"/>
    <x v="0"/>
    <s v="India"/>
    <x v="0"/>
    <s v="StayNest Airport"/>
    <x v="9"/>
    <s v="Business"/>
    <n v="160"/>
    <x v="3"/>
    <s v="App Push"/>
    <d v="2026-03-24T00:00:00"/>
    <s v="No"/>
    <s v="No"/>
    <s v="Shoulder"/>
    <x v="1"/>
    <n v="0"/>
    <s v="31–90 days"/>
  </r>
  <r>
    <s v="B001148"/>
    <s v="G00410"/>
    <s v="H010"/>
    <s v="CH06"/>
    <d v="2025-10-30T00:00:00"/>
    <d v="2025-12-29T00:00:00"/>
    <x v="3"/>
    <n v="6669"/>
    <x v="0"/>
    <b v="0"/>
    <x v="1"/>
    <x v="5"/>
    <n v="2025"/>
    <n v="0"/>
    <n v="10"/>
    <n v="2025"/>
    <n v="3"/>
    <s v="No"/>
    <x v="0"/>
    <s v="India"/>
    <x v="0"/>
    <s v="StayNest Garden"/>
    <x v="10"/>
    <s v="Boutique"/>
    <n v="70"/>
    <x v="0"/>
    <s v="Retention"/>
    <d v="2025-12-29T00:00:00"/>
    <s v="No"/>
    <s v="No"/>
    <s v="Peak"/>
    <x v="1"/>
    <n v="0"/>
    <s v="31–90 days"/>
  </r>
  <r>
    <s v="B001149"/>
    <s v="G00542"/>
    <s v="H007"/>
    <s v="CH02"/>
    <d v="2025-04-17T00:00:00"/>
    <d v="2025-04-24T00:00:00"/>
    <x v="3"/>
    <n v="9696"/>
    <x v="0"/>
    <b v="0"/>
    <x v="4"/>
    <x v="2"/>
    <n v="2025"/>
    <n v="3"/>
    <n v="4"/>
    <n v="2025"/>
    <n v="3"/>
    <s v="No"/>
    <x v="1"/>
    <s v="India"/>
    <x v="1"/>
    <s v="StayNest Tech Park"/>
    <x v="6"/>
    <s v="Business"/>
    <n v="140"/>
    <x v="3"/>
    <s v="App Push"/>
    <d v="2025-04-24T00:00:00"/>
    <s v="No"/>
    <s v="No"/>
    <s v="Peak"/>
    <x v="1"/>
    <n v="0"/>
    <s v="0–7 days"/>
  </r>
  <r>
    <s v="B001150"/>
    <s v="G00383"/>
    <s v="H005"/>
    <s v="CH01"/>
    <d v="2025-07-11T00:00:00"/>
    <d v="2025-07-25T00:00:00"/>
    <x v="0"/>
    <n v="5726"/>
    <x v="2"/>
    <b v="0"/>
    <x v="3"/>
    <x v="8"/>
    <n v="2025"/>
    <n v="4"/>
    <n v="7"/>
    <n v="2025"/>
    <n v="4"/>
    <s v="No"/>
    <x v="0"/>
    <s v="India"/>
    <x v="1"/>
    <s v="StayNest Heritage"/>
    <x v="11"/>
    <s v="Heritage"/>
    <n v="90"/>
    <x v="5"/>
    <s v="Direct"/>
    <d v="2025-07-25T00:00:00"/>
    <s v="No"/>
    <s v="No"/>
    <s v="Off-Peak"/>
    <x v="1"/>
    <n v="0"/>
    <s v="8–30 days"/>
  </r>
  <r>
    <s v="B001151"/>
    <s v="G00087"/>
    <s v="H008"/>
    <s v="CH04"/>
    <d v="2025-11-12T00:00:00"/>
    <d v="2025-11-26T00:00:00"/>
    <x v="3"/>
    <n v="10844"/>
    <x v="1"/>
    <b v="0"/>
    <x v="3"/>
    <x v="4"/>
    <n v="2025"/>
    <n v="2"/>
    <n v="11"/>
    <n v="2025"/>
    <n v="2"/>
    <s v="No"/>
    <x v="1"/>
    <s v="Germany"/>
    <x v="0"/>
    <s v="StayNest Palace"/>
    <x v="7"/>
    <s v="Heritage"/>
    <n v="85"/>
    <x v="4"/>
    <s v="Partner"/>
    <d v="2025-11-26T00:00:00"/>
    <s v="No"/>
    <s v="No"/>
    <s v="Off-Peak"/>
    <x v="1"/>
    <n v="1"/>
    <s v="8–30 days"/>
  </r>
  <r>
    <s v="B001152"/>
    <s v="G00232"/>
    <s v="H012"/>
    <s v="CH01"/>
    <d v="2026-01-13T00:00:00"/>
    <d v="2026-01-20T00:00:00"/>
    <x v="0"/>
    <n v="4049"/>
    <x v="1"/>
    <b v="0"/>
    <x v="4"/>
    <x v="6"/>
    <n v="2026"/>
    <n v="1"/>
    <n v="1"/>
    <n v="2026"/>
    <n v="1"/>
    <s v="No"/>
    <x v="2"/>
    <s v="United Kingdom"/>
    <x v="0"/>
    <s v="StayNest Valley"/>
    <x v="4"/>
    <s v="Resort"/>
    <n v="65"/>
    <x v="5"/>
    <s v="Direct"/>
    <d v="2026-01-20T00:00:00"/>
    <s v="No"/>
    <s v="No"/>
    <s v="Off-Peak"/>
    <x v="1"/>
    <n v="1"/>
    <s v="0–7 days"/>
  </r>
  <r>
    <s v="B001153"/>
    <s v="G00349"/>
    <s v="H001"/>
    <s v="CH03"/>
    <d v="2026-10-17T00:00:00"/>
    <d v="2026-10-18T00:00:00"/>
    <x v="3"/>
    <n v="8211"/>
    <x v="2"/>
    <b v="0"/>
    <x v="7"/>
    <x v="11"/>
    <n v="2026"/>
    <n v="6"/>
    <n v="10"/>
    <n v="2026"/>
    <n v="5"/>
    <s v="Yes"/>
    <x v="0"/>
    <s v="India"/>
    <x v="1"/>
    <s v="StayNest Marina"/>
    <x v="1"/>
    <s v="Business"/>
    <n v="120"/>
    <x v="1"/>
    <s v="OTA Promo"/>
    <d v="2026-10-18T00:00:00"/>
    <s v="Yes"/>
    <s v="No"/>
    <s v="Shoulder"/>
    <x v="1"/>
    <n v="0"/>
    <s v="0–7 days"/>
  </r>
  <r>
    <s v="B001154"/>
    <s v="G00264"/>
    <s v="H010"/>
    <s v="CH03"/>
    <d v="2025-05-06T00:00:00"/>
    <d v="2025-05-20T00:00:00"/>
    <x v="0"/>
    <n v="3918"/>
    <x v="0"/>
    <b v="0"/>
    <x v="3"/>
    <x v="9"/>
    <n v="2025"/>
    <n v="1"/>
    <n v="5"/>
    <n v="2025"/>
    <n v="1"/>
    <s v="No"/>
    <x v="3"/>
    <s v="UAE"/>
    <x v="0"/>
    <s v="StayNest Garden"/>
    <x v="10"/>
    <s v="Boutique"/>
    <n v="70"/>
    <x v="1"/>
    <s v="OTA Promo"/>
    <d v="2025-05-20T00:00:00"/>
    <s v="No"/>
    <s v="No"/>
    <s v="Peak"/>
    <x v="1"/>
    <n v="0"/>
    <s v="8–30 days"/>
  </r>
  <r>
    <s v="B001155"/>
    <s v="G00127"/>
    <s v="H009"/>
    <s v="CH01"/>
    <d v="2026-09-14T00:00:00"/>
    <d v="2027-04-22T00:00:00"/>
    <x v="0"/>
    <n v="4310"/>
    <x v="3"/>
    <b v="0"/>
    <x v="8"/>
    <x v="2"/>
    <n v="2027"/>
    <n v="3"/>
    <n v="9"/>
    <n v="2026"/>
    <n v="0"/>
    <s v="No"/>
    <x v="1"/>
    <s v="Singapore"/>
    <x v="0"/>
    <s v="StayNest Airport"/>
    <x v="9"/>
    <s v="Business"/>
    <n v="160"/>
    <x v="5"/>
    <s v="Direct"/>
    <m/>
    <s v="Unknown"/>
    <s v="Unknown"/>
    <s v="Unknown"/>
    <x v="0"/>
    <n v="0"/>
    <s v="181+ days"/>
  </r>
  <r>
    <s v="B001156"/>
    <s v="G00041"/>
    <s v="H007"/>
    <s v="CH01"/>
    <d v="2025-03-20T00:00:00"/>
    <d v="2025-08-17T00:00:00"/>
    <x v="1"/>
    <n v="8935"/>
    <x v="0"/>
    <b v="0"/>
    <x v="5"/>
    <x v="7"/>
    <n v="2025"/>
    <n v="6"/>
    <n v="3"/>
    <n v="2025"/>
    <n v="3"/>
    <s v="Yes"/>
    <x v="0"/>
    <s v="India"/>
    <x v="0"/>
    <s v="StayNest Tech Park"/>
    <x v="6"/>
    <s v="Business"/>
    <n v="140"/>
    <x v="5"/>
    <s v="Direct"/>
    <d v="2025-08-17T00:00:00"/>
    <s v="Yes"/>
    <s v="No"/>
    <s v="Off-Peak"/>
    <x v="1"/>
    <n v="0"/>
    <s v="91–180 days"/>
  </r>
  <r>
    <s v="B001157"/>
    <s v="G00538"/>
    <s v="H001"/>
    <s v="CH01"/>
    <d v="2025-07-09T00:00:00"/>
    <d v="2025-07-16T00:00:00"/>
    <x v="2"/>
    <n v="3400"/>
    <x v="2"/>
    <b v="0"/>
    <x v="4"/>
    <x v="8"/>
    <n v="2025"/>
    <n v="2"/>
    <n v="7"/>
    <n v="2025"/>
    <n v="2"/>
    <s v="No"/>
    <x v="3"/>
    <s v="India"/>
    <x v="0"/>
    <s v="StayNest Marina"/>
    <x v="1"/>
    <s v="Business"/>
    <n v="120"/>
    <x v="5"/>
    <s v="Direct"/>
    <d v="2025-07-16T00:00:00"/>
    <s v="No"/>
    <s v="No"/>
    <s v="Off-Peak"/>
    <x v="1"/>
    <n v="0"/>
    <s v="0–7 days"/>
  </r>
  <r>
    <s v="B001158"/>
    <s v="G00537"/>
    <s v="H001"/>
    <s v="CH02"/>
    <d v="2026-01-22T00:00:00"/>
    <d v="2026-02-05T00:00:00"/>
    <x v="1"/>
    <n v="5490"/>
    <x v="2"/>
    <b v="0"/>
    <x v="3"/>
    <x v="0"/>
    <n v="2026"/>
    <n v="3"/>
    <n v="1"/>
    <n v="2026"/>
    <n v="3"/>
    <s v="No"/>
    <x v="1"/>
    <s v="India"/>
    <x v="0"/>
    <s v="StayNest Marina"/>
    <x v="1"/>
    <s v="Business"/>
    <n v="120"/>
    <x v="3"/>
    <s v="App Push"/>
    <d v="2026-02-05T00:00:00"/>
    <s v="No"/>
    <s v="No"/>
    <s v="Shoulder"/>
    <x v="1"/>
    <n v="0"/>
    <s v="8–30 days"/>
  </r>
  <r>
    <s v="B001159"/>
    <s v="G00636"/>
    <s v="H011"/>
    <s v="CH02"/>
    <d v="2026-02-06T00:00:00"/>
    <d v="2026-02-20T00:00:00"/>
    <x v="3"/>
    <n v="7124"/>
    <x v="2"/>
    <b v="0"/>
    <x v="3"/>
    <x v="0"/>
    <n v="2026"/>
    <n v="4"/>
    <n v="2"/>
    <n v="2026"/>
    <n v="4"/>
    <s v="No"/>
    <x v="0"/>
    <s v="India"/>
    <x v="0"/>
    <s v="StayNest Grand"/>
    <x v="8"/>
    <s v="Business"/>
    <n v="110"/>
    <x v="3"/>
    <s v="App Push"/>
    <d v="2026-02-20T00:00:00"/>
    <s v="No"/>
    <s v="No"/>
    <s v="Shoulder"/>
    <x v="1"/>
    <n v="0"/>
    <s v="8–30 days"/>
  </r>
  <r>
    <s v="B001160"/>
    <s v="G00589"/>
    <s v="H005"/>
    <s v="CH01"/>
    <d v="2026-07-07T00:00:00"/>
    <d v="2026-07-14T00:00:00"/>
    <x v="0"/>
    <n v="5455"/>
    <x v="3"/>
    <b v="0"/>
    <x v="4"/>
    <x v="8"/>
    <n v="2026"/>
    <n v="1"/>
    <n v="7"/>
    <n v="2026"/>
    <n v="1"/>
    <s v="No"/>
    <x v="1"/>
    <s v="India"/>
    <x v="1"/>
    <s v="StayNest Heritage"/>
    <x v="11"/>
    <s v="Heritage"/>
    <n v="90"/>
    <x v="5"/>
    <s v="Direct"/>
    <d v="2026-07-14T00:00:00"/>
    <s v="No"/>
    <s v="No"/>
    <s v="Off-Peak"/>
    <x v="1"/>
    <n v="0"/>
    <s v="0–7 days"/>
  </r>
  <r>
    <s v="B001161"/>
    <s v="G00200"/>
    <s v="H003"/>
    <s v="CH06"/>
    <d v="2025-06-11T00:00:00"/>
    <d v="2025-11-08T00:00:00"/>
    <x v="0"/>
    <n v="5348"/>
    <x v="1"/>
    <b v="0"/>
    <x v="5"/>
    <x v="4"/>
    <n v="2025"/>
    <n v="5"/>
    <n v="6"/>
    <n v="2025"/>
    <n v="2"/>
    <s v="Yes"/>
    <x v="1"/>
    <s v="India"/>
    <x v="0"/>
    <s v="StayNest Hills"/>
    <x v="5"/>
    <s v="Resort"/>
    <n v="80"/>
    <x v="0"/>
    <s v="Retention"/>
    <d v="2025-11-08T00:00:00"/>
    <s v="Yes"/>
    <s v="No"/>
    <s v="Off-Peak"/>
    <x v="1"/>
    <n v="1"/>
    <s v="91–180 days"/>
  </r>
  <r>
    <s v="B001162"/>
    <s v="G00262"/>
    <s v="H001"/>
    <s v="CH06"/>
    <d v="2025-10-29T00:00:00"/>
    <d v="2025-11-01T00:00:00"/>
    <x v="1"/>
    <n v="5087"/>
    <x v="0"/>
    <b v="0"/>
    <x v="6"/>
    <x v="4"/>
    <n v="2025"/>
    <n v="5"/>
    <n v="10"/>
    <n v="2025"/>
    <n v="2"/>
    <s v="Yes"/>
    <x v="3"/>
    <s v="India"/>
    <x v="0"/>
    <s v="StayNest Marina"/>
    <x v="1"/>
    <s v="Business"/>
    <n v="120"/>
    <x v="0"/>
    <s v="Retention"/>
    <d v="2025-11-01T00:00:00"/>
    <s v="Yes"/>
    <s v="No"/>
    <s v="Off-Peak"/>
    <x v="1"/>
    <n v="0"/>
    <s v="0–7 days"/>
  </r>
  <r>
    <s v="B001163"/>
    <s v="G00405"/>
    <s v="H007"/>
    <s v="CH04"/>
    <d v="2025-02-17T00:00:00"/>
    <d v="2025-03-19T00:00:00"/>
    <x v="2"/>
    <n v="3728"/>
    <x v="3"/>
    <b v="0"/>
    <x v="2"/>
    <x v="3"/>
    <n v="2025"/>
    <n v="2"/>
    <n v="2"/>
    <n v="2025"/>
    <n v="0"/>
    <s v="No"/>
    <x v="2"/>
    <s v="India"/>
    <x v="0"/>
    <s v="StayNest Tech Park"/>
    <x v="6"/>
    <s v="Business"/>
    <n v="140"/>
    <x v="4"/>
    <s v="Partner"/>
    <d v="2025-03-19T00:00:00"/>
    <s v="No"/>
    <s v="No"/>
    <s v="Shoulder"/>
    <x v="1"/>
    <n v="0"/>
    <s v="8–30 days"/>
  </r>
  <r>
    <s v="B001164"/>
    <s v="G00057"/>
    <s v="H009"/>
    <s v="CH02"/>
    <d v="2026-01-05T00:00:00"/>
    <d v="2026-01-19T00:00:00"/>
    <x v="2"/>
    <n v="2991"/>
    <x v="0"/>
    <b v="0"/>
    <x v="3"/>
    <x v="6"/>
    <n v="2026"/>
    <n v="0"/>
    <n v="1"/>
    <n v="2026"/>
    <n v="0"/>
    <s v="No"/>
    <x v="1"/>
    <s v="India"/>
    <x v="0"/>
    <s v="StayNest Airport"/>
    <x v="9"/>
    <s v="Business"/>
    <n v="160"/>
    <x v="3"/>
    <s v="App Push"/>
    <d v="2026-01-19T00:00:00"/>
    <s v="No"/>
    <s v="No"/>
    <s v="Off-Peak"/>
    <x v="1"/>
    <n v="0"/>
    <s v="8–30 days"/>
  </r>
  <r>
    <s v="B001165"/>
    <s v="G00180"/>
    <s v="H004"/>
    <s v="CH03"/>
    <d v="2025-12-15T00:00:00"/>
    <d v="2025-12-29T00:00:00"/>
    <x v="1"/>
    <n v="7343"/>
    <x v="0"/>
    <b v="0"/>
    <x v="3"/>
    <x v="5"/>
    <n v="2025"/>
    <n v="0"/>
    <n v="12"/>
    <n v="2025"/>
    <n v="0"/>
    <s v="No"/>
    <x v="3"/>
    <s v="United States"/>
    <x v="1"/>
    <s v="StayNest Lakeview"/>
    <x v="2"/>
    <s v="Resort"/>
    <n v="75"/>
    <x v="1"/>
    <s v="OTA Promo"/>
    <d v="2025-12-29T00:00:00"/>
    <s v="No"/>
    <s v="No"/>
    <s v="Peak"/>
    <x v="1"/>
    <n v="0"/>
    <s v="8–30 days"/>
  </r>
  <r>
    <s v="B001166"/>
    <s v="G00575"/>
    <s v="H011"/>
    <s v="CH02"/>
    <d v="2026-09-29T00:00:00"/>
    <d v="2026-10-06T00:00:00"/>
    <x v="3"/>
    <n v="7448"/>
    <x v="2"/>
    <b v="0"/>
    <x v="4"/>
    <x v="11"/>
    <n v="2026"/>
    <n v="1"/>
    <n v="9"/>
    <n v="2026"/>
    <n v="1"/>
    <s v="No"/>
    <x v="3"/>
    <s v="Germany"/>
    <x v="0"/>
    <s v="StayNest Grand"/>
    <x v="8"/>
    <s v="Business"/>
    <n v="110"/>
    <x v="3"/>
    <s v="App Push"/>
    <d v="2026-10-06T00:00:00"/>
    <s v="No"/>
    <s v="No"/>
    <s v="Shoulder"/>
    <x v="1"/>
    <n v="0"/>
    <s v="0–7 days"/>
  </r>
  <r>
    <s v="B001167"/>
    <s v="G00459"/>
    <s v="H004"/>
    <s v="CH03"/>
    <d v="2025-11-02T00:00:00"/>
    <d v="2025-11-09T00:00:00"/>
    <x v="0"/>
    <n v="4368"/>
    <x v="0"/>
    <b v="0"/>
    <x v="4"/>
    <x v="4"/>
    <n v="2025"/>
    <n v="6"/>
    <n v="11"/>
    <n v="2025"/>
    <n v="6"/>
    <s v="Yes"/>
    <x v="1"/>
    <s v="India"/>
    <x v="1"/>
    <s v="StayNest Lakeview"/>
    <x v="2"/>
    <s v="Resort"/>
    <n v="75"/>
    <x v="1"/>
    <s v="OTA Promo"/>
    <d v="2025-11-09T00:00:00"/>
    <s v="Yes"/>
    <s v="No"/>
    <s v="Off-Peak"/>
    <x v="1"/>
    <n v="0"/>
    <s v="0–7 days"/>
  </r>
  <r>
    <s v="B001168"/>
    <s v="G00380"/>
    <s v="H008"/>
    <s v="CH06"/>
    <d v="2025-01-19T00:00:00"/>
    <d v="2025-02-18T00:00:00"/>
    <x v="2"/>
    <n v="2954"/>
    <x v="0"/>
    <b v="0"/>
    <x v="2"/>
    <x v="0"/>
    <n v="2025"/>
    <n v="1"/>
    <n v="1"/>
    <n v="2025"/>
    <n v="6"/>
    <s v="No"/>
    <x v="1"/>
    <s v="India"/>
    <x v="1"/>
    <s v="StayNest Palace"/>
    <x v="7"/>
    <s v="Heritage"/>
    <n v="85"/>
    <x v="0"/>
    <s v="Retention"/>
    <d v="2025-02-18T00:00:00"/>
    <s v="No"/>
    <s v="No"/>
    <s v="Shoulder"/>
    <x v="1"/>
    <n v="0"/>
    <s v="8–30 days"/>
  </r>
  <r>
    <s v="B001169"/>
    <s v="G00017"/>
    <s v="H012"/>
    <s v="CH04"/>
    <d v="2025-09-19T00:00:00"/>
    <d v="2025-10-19T00:00:00"/>
    <x v="0"/>
    <n v="5948"/>
    <x v="0"/>
    <b v="0"/>
    <x v="2"/>
    <x v="11"/>
    <n v="2025"/>
    <n v="6"/>
    <n v="9"/>
    <n v="2025"/>
    <n v="4"/>
    <s v="Yes"/>
    <x v="0"/>
    <s v="India"/>
    <x v="0"/>
    <s v="StayNest Valley"/>
    <x v="4"/>
    <s v="Resort"/>
    <n v="65"/>
    <x v="4"/>
    <s v="Partner"/>
    <d v="2025-10-19T00:00:00"/>
    <s v="Yes"/>
    <s v="No"/>
    <s v="Shoulder"/>
    <x v="1"/>
    <n v="0"/>
    <s v="8–30 days"/>
  </r>
  <r>
    <s v="B001170"/>
    <s v="G00385"/>
    <s v="H011"/>
    <s v="CH03"/>
    <d v="2026-07-20T00:00:00"/>
    <d v="2026-08-19T00:00:00"/>
    <x v="1"/>
    <n v="5594"/>
    <x v="0"/>
    <b v="0"/>
    <x v="2"/>
    <x v="7"/>
    <n v="2026"/>
    <n v="2"/>
    <n v="7"/>
    <n v="2026"/>
    <n v="0"/>
    <s v="No"/>
    <x v="0"/>
    <s v="India"/>
    <x v="0"/>
    <s v="StayNest Grand"/>
    <x v="8"/>
    <s v="Business"/>
    <n v="110"/>
    <x v="1"/>
    <s v="OTA Promo"/>
    <d v="2026-08-19T00:00:00"/>
    <s v="No"/>
    <s v="No"/>
    <s v="Off-Peak"/>
    <x v="1"/>
    <n v="0"/>
    <s v="8–30 days"/>
  </r>
  <r>
    <s v="B001171"/>
    <s v="G00583"/>
    <s v="H004"/>
    <s v="CH02"/>
    <d v="2025-12-05T00:00:00"/>
    <d v="2026-01-04T00:00:00"/>
    <x v="3"/>
    <n v="9036"/>
    <x v="0"/>
    <b v="0"/>
    <x v="2"/>
    <x v="6"/>
    <n v="2026"/>
    <n v="6"/>
    <n v="12"/>
    <n v="2025"/>
    <n v="4"/>
    <s v="Yes"/>
    <x v="0"/>
    <s v="India"/>
    <x v="1"/>
    <s v="StayNest Lakeview"/>
    <x v="2"/>
    <s v="Resort"/>
    <n v="75"/>
    <x v="3"/>
    <s v="App Push"/>
    <d v="2026-01-04T00:00:00"/>
    <s v="Yes"/>
    <s v="No"/>
    <s v="Off-Peak"/>
    <x v="1"/>
    <n v="0"/>
    <s v="8–30 days"/>
  </r>
  <r>
    <s v="B001172"/>
    <s v="G00180"/>
    <s v="H004"/>
    <s v="CH01"/>
    <d v="2025-07-09T00:00:00"/>
    <d v="2025-10-17T00:00:00"/>
    <x v="0"/>
    <n v="4078"/>
    <x v="0"/>
    <b v="0"/>
    <x v="0"/>
    <x v="11"/>
    <n v="2025"/>
    <n v="4"/>
    <n v="7"/>
    <n v="2025"/>
    <n v="2"/>
    <s v="No"/>
    <x v="3"/>
    <s v="United States"/>
    <x v="1"/>
    <s v="StayNest Lakeview"/>
    <x v="2"/>
    <s v="Resort"/>
    <n v="75"/>
    <x v="5"/>
    <s v="Direct"/>
    <d v="2025-10-17T00:00:00"/>
    <s v="No"/>
    <s v="No"/>
    <s v="Shoulder"/>
    <x v="1"/>
    <n v="0"/>
    <s v="91–180 days"/>
  </r>
  <r>
    <s v="B001173"/>
    <s v="G00638"/>
    <s v="H012"/>
    <s v="CH01"/>
    <d v="2026-07-26T00:00:00"/>
    <d v="2026-08-09T00:00:00"/>
    <x v="1"/>
    <n v="7629"/>
    <x v="0"/>
    <b v="0"/>
    <x v="3"/>
    <x v="7"/>
    <n v="2026"/>
    <n v="6"/>
    <n v="7"/>
    <n v="2026"/>
    <n v="6"/>
    <s v="Yes"/>
    <x v="3"/>
    <s v="India"/>
    <x v="0"/>
    <s v="StayNest Valley"/>
    <x v="4"/>
    <s v="Resort"/>
    <n v="65"/>
    <x v="5"/>
    <s v="Direct"/>
    <d v="2026-08-09T00:00:00"/>
    <s v="Yes"/>
    <s v="No"/>
    <s v="Off-Peak"/>
    <x v="1"/>
    <n v="0"/>
    <s v="8–30 days"/>
  </r>
  <r>
    <s v="B001174"/>
    <s v="G00234"/>
    <s v="H009"/>
    <s v="CH05"/>
    <d v="2025-08-14T00:00:00"/>
    <d v="2025-08-28T00:00:00"/>
    <x v="3"/>
    <n v="7634"/>
    <x v="2"/>
    <b v="0"/>
    <x v="3"/>
    <x v="7"/>
    <n v="2025"/>
    <n v="3"/>
    <n v="8"/>
    <n v="2025"/>
    <n v="3"/>
    <s v="No"/>
    <x v="3"/>
    <s v="India"/>
    <x v="0"/>
    <s v="StayNest Airport"/>
    <x v="9"/>
    <s v="Business"/>
    <n v="160"/>
    <x v="2"/>
    <s v="Corporate Rate"/>
    <d v="2025-08-28T00:00:00"/>
    <s v="No"/>
    <s v="No"/>
    <s v="Off-Peak"/>
    <x v="1"/>
    <n v="0"/>
    <s v="8–30 days"/>
  </r>
  <r>
    <s v="B001175"/>
    <s v="G00292"/>
    <s v="H001"/>
    <s v="CH03"/>
    <d v="2026-02-22T00:00:00"/>
    <d v="2026-06-02T00:00:00"/>
    <x v="2"/>
    <n v="4047"/>
    <x v="2"/>
    <b v="0"/>
    <x v="0"/>
    <x v="1"/>
    <n v="2026"/>
    <n v="1"/>
    <n v="2"/>
    <n v="2026"/>
    <n v="6"/>
    <s v="No"/>
    <x v="1"/>
    <s v="Singapore"/>
    <x v="0"/>
    <s v="StayNest Marina"/>
    <x v="1"/>
    <s v="Business"/>
    <n v="120"/>
    <x v="1"/>
    <s v="OTA Promo"/>
    <d v="2026-06-02T00:00:00"/>
    <s v="No"/>
    <s v="No"/>
    <s v="Shoulder"/>
    <x v="1"/>
    <n v="0"/>
    <s v="91–180 days"/>
  </r>
  <r>
    <s v="B001176"/>
    <s v="G00151"/>
    <s v="H007"/>
    <s v="CH05"/>
    <d v="2026-01-03T00:00:00"/>
    <d v="2026-02-02T00:00:00"/>
    <x v="0"/>
    <n v="4589"/>
    <x v="0"/>
    <b v="0"/>
    <x v="2"/>
    <x v="0"/>
    <n v="2026"/>
    <n v="0"/>
    <n v="1"/>
    <n v="2026"/>
    <n v="5"/>
    <s v="No"/>
    <x v="2"/>
    <s v="United States"/>
    <x v="0"/>
    <s v="StayNest Tech Park"/>
    <x v="6"/>
    <s v="Business"/>
    <n v="140"/>
    <x v="2"/>
    <s v="Corporate Rate"/>
    <d v="2026-02-02T00:00:00"/>
    <s v="No"/>
    <s v="No"/>
    <s v="Shoulder"/>
    <x v="1"/>
    <n v="0"/>
    <s v="8–30 days"/>
  </r>
  <r>
    <s v="B001177"/>
    <s v="G00646"/>
    <s v="H002"/>
    <s v="CH02"/>
    <d v="2025-01-16T00:00:00"/>
    <d v="2025-02-15T00:00:00"/>
    <x v="1"/>
    <n v="8306"/>
    <x v="3"/>
    <b v="0"/>
    <x v="2"/>
    <x v="0"/>
    <n v="2025"/>
    <n v="5"/>
    <n v="1"/>
    <n v="2025"/>
    <n v="3"/>
    <s v="Yes"/>
    <x v="2"/>
    <s v="Germany"/>
    <x v="1"/>
    <s v="StayNest Central"/>
    <x v="0"/>
    <s v="Business"/>
    <n v="150"/>
    <x v="3"/>
    <s v="App Push"/>
    <d v="2025-02-15T00:00:00"/>
    <s v="Yes"/>
    <s v="No"/>
    <s v="Shoulder"/>
    <x v="1"/>
    <n v="0"/>
    <s v="8–30 days"/>
  </r>
  <r>
    <s v="B001178"/>
    <s v="G00124"/>
    <s v="H005"/>
    <s v="CH02"/>
    <d v="2025-10-01T00:00:00"/>
    <d v="2025-10-15T00:00:00"/>
    <x v="0"/>
    <n v="4772"/>
    <x v="1"/>
    <b v="0"/>
    <x v="3"/>
    <x v="11"/>
    <n v="2025"/>
    <n v="2"/>
    <n v="10"/>
    <n v="2025"/>
    <n v="2"/>
    <s v="No"/>
    <x v="2"/>
    <s v="India"/>
    <x v="0"/>
    <s v="StayNest Heritage"/>
    <x v="11"/>
    <s v="Heritage"/>
    <n v="90"/>
    <x v="3"/>
    <s v="App Push"/>
    <d v="2025-10-15T00:00:00"/>
    <s v="No"/>
    <s v="No"/>
    <s v="Shoulder"/>
    <x v="1"/>
    <n v="1"/>
    <s v="8–30 days"/>
  </r>
  <r>
    <s v="B001179"/>
    <s v="G00031"/>
    <s v="H003"/>
    <s v="CH04"/>
    <d v="2025-08-18T00:00:00"/>
    <d v="2025-08-19T00:00:00"/>
    <x v="1"/>
    <n v="5225"/>
    <x v="0"/>
    <b v="0"/>
    <x v="7"/>
    <x v="7"/>
    <n v="2025"/>
    <n v="1"/>
    <n v="8"/>
    <n v="2025"/>
    <n v="0"/>
    <s v="No"/>
    <x v="1"/>
    <s v="India"/>
    <x v="0"/>
    <s v="StayNest Hills"/>
    <x v="5"/>
    <s v="Resort"/>
    <n v="80"/>
    <x v="4"/>
    <s v="Partner"/>
    <d v="2025-08-19T00:00:00"/>
    <s v="No"/>
    <s v="No"/>
    <s v="Off-Peak"/>
    <x v="1"/>
    <n v="0"/>
    <s v="0–7 days"/>
  </r>
  <r>
    <s v="B001180"/>
    <s v="G00207"/>
    <s v="H002"/>
    <s v="CH01"/>
    <d v="2026-11-16T00:00:00"/>
    <d v="2026-11-23T00:00:00"/>
    <x v="3"/>
    <n v="9573"/>
    <x v="0"/>
    <b v="0"/>
    <x v="4"/>
    <x v="4"/>
    <n v="2026"/>
    <n v="0"/>
    <n v="11"/>
    <n v="2026"/>
    <n v="0"/>
    <s v="No"/>
    <x v="0"/>
    <s v="India"/>
    <x v="1"/>
    <s v="StayNest Central"/>
    <x v="0"/>
    <s v="Business"/>
    <n v="150"/>
    <x v="5"/>
    <s v="Direct"/>
    <d v="2026-11-23T00:00:00"/>
    <s v="No"/>
    <s v="No"/>
    <s v="Off-Peak"/>
    <x v="1"/>
    <n v="0"/>
    <s v="0–7 days"/>
  </r>
  <r>
    <s v="B001181"/>
    <s v="G00645"/>
    <s v="H010"/>
    <s v="CH01"/>
    <d v="2025-11-26T00:00:00"/>
    <d v="2025-11-27T00:00:00"/>
    <x v="1"/>
    <n v="8571"/>
    <x v="0"/>
    <b v="0"/>
    <x v="7"/>
    <x v="4"/>
    <n v="2025"/>
    <n v="3"/>
    <n v="11"/>
    <n v="2025"/>
    <n v="2"/>
    <s v="No"/>
    <x v="1"/>
    <s v="India"/>
    <x v="1"/>
    <s v="StayNest Garden"/>
    <x v="10"/>
    <s v="Boutique"/>
    <n v="70"/>
    <x v="5"/>
    <s v="Direct"/>
    <d v="2025-11-27T00:00:00"/>
    <s v="No"/>
    <s v="No"/>
    <s v="Off-Peak"/>
    <x v="1"/>
    <n v="0"/>
    <s v="0–7 days"/>
  </r>
  <r>
    <s v="B001182"/>
    <s v="G00148"/>
    <s v="H001"/>
    <s v="CH06"/>
    <d v="2026-01-13T00:00:00"/>
    <d v="2026-01-20T00:00:00"/>
    <x v="3"/>
    <n v="10109"/>
    <x v="0"/>
    <b v="0"/>
    <x v="4"/>
    <x v="6"/>
    <n v="2026"/>
    <n v="1"/>
    <n v="1"/>
    <n v="2026"/>
    <n v="1"/>
    <s v="No"/>
    <x v="2"/>
    <s v="India"/>
    <x v="0"/>
    <s v="StayNest Marina"/>
    <x v="1"/>
    <s v="Business"/>
    <n v="120"/>
    <x v="0"/>
    <s v="Retention"/>
    <d v="2026-01-20T00:00:00"/>
    <s v="No"/>
    <s v="No"/>
    <s v="Off-Peak"/>
    <x v="1"/>
    <n v="0"/>
    <s v="0–7 days"/>
  </r>
  <r>
    <s v="B001183"/>
    <s v="G00460"/>
    <s v="H003"/>
    <s v="CH06"/>
    <d v="2026-02-17T00:00:00"/>
    <d v="2026-04-18T00:00:00"/>
    <x v="1"/>
    <n v="5079"/>
    <x v="2"/>
    <b v="0"/>
    <x v="1"/>
    <x v="2"/>
    <n v="2026"/>
    <n v="5"/>
    <n v="2"/>
    <n v="2026"/>
    <n v="1"/>
    <s v="Yes"/>
    <x v="2"/>
    <s v="India"/>
    <x v="1"/>
    <s v="StayNest Hills"/>
    <x v="5"/>
    <s v="Resort"/>
    <n v="80"/>
    <x v="0"/>
    <s v="Retention"/>
    <d v="2026-04-18T00:00:00"/>
    <s v="Yes"/>
    <s v="No"/>
    <s v="Peak"/>
    <x v="1"/>
    <n v="0"/>
    <s v="31–90 days"/>
  </r>
  <r>
    <s v="B001184"/>
    <s v="G00641"/>
    <s v="H008"/>
    <s v="CH04"/>
    <d v="2025-02-18T00:00:00"/>
    <d v="2025-09-26T00:00:00"/>
    <x v="2"/>
    <n v="2246"/>
    <x v="1"/>
    <b v="0"/>
    <x v="8"/>
    <x v="10"/>
    <n v="2025"/>
    <n v="4"/>
    <n v="2"/>
    <n v="2025"/>
    <n v="1"/>
    <s v="No"/>
    <x v="0"/>
    <s v="India"/>
    <x v="0"/>
    <s v="StayNest Palace"/>
    <x v="7"/>
    <s v="Heritage"/>
    <n v="85"/>
    <x v="4"/>
    <s v="Partner"/>
    <d v="2025-09-26T00:00:00"/>
    <s v="No"/>
    <s v="No"/>
    <s v="Shoulder"/>
    <x v="1"/>
    <n v="1"/>
    <s v="181+ days"/>
  </r>
  <r>
    <s v="B001185"/>
    <s v="G00200"/>
    <s v="H004"/>
    <s v="CH02"/>
    <d v="2026-04-10T00:00:00"/>
    <d v="2026-04-17T00:00:00"/>
    <x v="0"/>
    <n v="4201"/>
    <x v="0"/>
    <b v="0"/>
    <x v="4"/>
    <x v="2"/>
    <n v="2026"/>
    <n v="4"/>
    <n v="4"/>
    <n v="2026"/>
    <n v="4"/>
    <s v="No"/>
    <x v="1"/>
    <s v="India"/>
    <x v="0"/>
    <s v="StayNest Lakeview"/>
    <x v="2"/>
    <s v="Resort"/>
    <n v="75"/>
    <x v="3"/>
    <s v="App Push"/>
    <d v="2026-04-17T00:00:00"/>
    <s v="No"/>
    <s v="No"/>
    <s v="Peak"/>
    <x v="1"/>
    <n v="0"/>
    <s v="0–7 days"/>
  </r>
  <r>
    <s v="B001186"/>
    <s v="G00082"/>
    <s v="H008"/>
    <s v="CH01"/>
    <d v="2025-07-29T00:00:00"/>
    <d v="2025-11-06T00:00:00"/>
    <x v="0"/>
    <n v="5969"/>
    <x v="1"/>
    <b v="0"/>
    <x v="0"/>
    <x v="4"/>
    <n v="2025"/>
    <n v="3"/>
    <n v="7"/>
    <n v="2025"/>
    <n v="1"/>
    <s v="No"/>
    <x v="2"/>
    <s v="Unknown"/>
    <x v="0"/>
    <s v="StayNest Palace"/>
    <x v="7"/>
    <s v="Heritage"/>
    <n v="85"/>
    <x v="5"/>
    <s v="Direct"/>
    <d v="2025-11-06T00:00:00"/>
    <s v="No"/>
    <s v="No"/>
    <s v="Off-Peak"/>
    <x v="1"/>
    <n v="1"/>
    <s v="91–180 days"/>
  </r>
  <r>
    <s v="B001187"/>
    <s v="G00433"/>
    <s v="H004"/>
    <s v="CH05"/>
    <d v="2026-11-17T00:00:00"/>
    <d v="2026-11-24T00:00:00"/>
    <x v="1"/>
    <n v="6540"/>
    <x v="0"/>
    <b v="0"/>
    <x v="4"/>
    <x v="4"/>
    <n v="2026"/>
    <n v="1"/>
    <n v="11"/>
    <n v="2026"/>
    <n v="1"/>
    <s v="No"/>
    <x v="2"/>
    <s v="India"/>
    <x v="0"/>
    <s v="StayNest Lakeview"/>
    <x v="2"/>
    <s v="Resort"/>
    <n v="75"/>
    <x v="2"/>
    <s v="Corporate Rate"/>
    <d v="2026-11-24T00:00:00"/>
    <s v="No"/>
    <s v="No"/>
    <s v="Off-Peak"/>
    <x v="1"/>
    <n v="0"/>
    <s v="0–7 days"/>
  </r>
  <r>
    <s v="B001188"/>
    <s v="G00559"/>
    <s v="H005"/>
    <s v="CH03"/>
    <d v="2025-09-28T00:00:00"/>
    <d v="2025-10-28T00:00:00"/>
    <x v="0"/>
    <n v="3695"/>
    <x v="3"/>
    <b v="0"/>
    <x v="2"/>
    <x v="11"/>
    <n v="2025"/>
    <n v="1"/>
    <n v="9"/>
    <n v="2025"/>
    <n v="6"/>
    <s v="No"/>
    <x v="1"/>
    <s v="India"/>
    <x v="0"/>
    <s v="StayNest Heritage"/>
    <x v="11"/>
    <s v="Heritage"/>
    <n v="90"/>
    <x v="1"/>
    <s v="OTA Promo"/>
    <d v="2025-10-28T00:00:00"/>
    <s v="No"/>
    <s v="No"/>
    <s v="Shoulder"/>
    <x v="1"/>
    <n v="0"/>
    <s v="8–30 days"/>
  </r>
  <r>
    <s v="B001189"/>
    <s v="G00097"/>
    <s v="H007"/>
    <s v="CH03"/>
    <d v="2025-10-19T00:00:00"/>
    <d v="2026-05-27T00:00:00"/>
    <x v="0"/>
    <n v="4524"/>
    <x v="1"/>
    <b v="0"/>
    <x v="8"/>
    <x v="9"/>
    <n v="2026"/>
    <n v="2"/>
    <n v="10"/>
    <n v="2025"/>
    <n v="6"/>
    <s v="No"/>
    <x v="3"/>
    <s v="India"/>
    <x v="1"/>
    <s v="StayNest Tech Park"/>
    <x v="6"/>
    <s v="Business"/>
    <n v="140"/>
    <x v="1"/>
    <s v="OTA Promo"/>
    <d v="2026-05-27T00:00:00"/>
    <s v="No"/>
    <s v="No"/>
    <s v="Peak"/>
    <x v="1"/>
    <n v="1"/>
    <s v="181+ days"/>
  </r>
  <r>
    <s v="B001190"/>
    <s v="G00146"/>
    <s v="H008"/>
    <s v="CH06"/>
    <d v="2026-05-27T00:00:00"/>
    <d v="2026-06-26T00:00:00"/>
    <x v="0"/>
    <n v="3557"/>
    <x v="2"/>
    <b v="0"/>
    <x v="2"/>
    <x v="1"/>
    <n v="2026"/>
    <n v="4"/>
    <n v="5"/>
    <n v="2026"/>
    <n v="2"/>
    <s v="No"/>
    <x v="1"/>
    <s v="India"/>
    <x v="0"/>
    <s v="StayNest Palace"/>
    <x v="7"/>
    <s v="Heritage"/>
    <n v="85"/>
    <x v="0"/>
    <s v="Retention"/>
    <d v="2026-06-26T00:00:00"/>
    <s v="No"/>
    <s v="No"/>
    <s v="Shoulder"/>
    <x v="1"/>
    <n v="0"/>
    <s v="8–30 days"/>
  </r>
  <r>
    <s v="B001191"/>
    <s v="G00550"/>
    <s v="H003"/>
    <s v="CH01"/>
    <d v="2026-10-06T00:00:00"/>
    <d v="2026-10-13T00:00:00"/>
    <x v="1"/>
    <n v="8008"/>
    <x v="2"/>
    <b v="0"/>
    <x v="4"/>
    <x v="11"/>
    <n v="2026"/>
    <n v="1"/>
    <n v="10"/>
    <n v="2026"/>
    <n v="1"/>
    <s v="No"/>
    <x v="2"/>
    <s v="India"/>
    <x v="0"/>
    <s v="StayNest Hills"/>
    <x v="5"/>
    <s v="Resort"/>
    <n v="80"/>
    <x v="5"/>
    <s v="Direct"/>
    <d v="2026-10-13T00:00:00"/>
    <s v="No"/>
    <s v="No"/>
    <s v="Shoulder"/>
    <x v="1"/>
    <n v="0"/>
    <s v="0–7 days"/>
  </r>
  <r>
    <s v="B001192"/>
    <s v="G00449"/>
    <s v="H004"/>
    <s v="CH04"/>
    <d v="2025-08-26T00:00:00"/>
    <d v="2025-12-04T00:00:00"/>
    <x v="0"/>
    <n v="5610"/>
    <x v="0"/>
    <b v="0"/>
    <x v="0"/>
    <x v="5"/>
    <n v="2025"/>
    <n v="3"/>
    <n v="8"/>
    <n v="2025"/>
    <n v="1"/>
    <s v="No"/>
    <x v="0"/>
    <s v="India"/>
    <x v="0"/>
    <s v="StayNest Lakeview"/>
    <x v="2"/>
    <s v="Resort"/>
    <n v="75"/>
    <x v="4"/>
    <s v="Partner"/>
    <d v="2025-12-04T00:00:00"/>
    <s v="No"/>
    <s v="No"/>
    <s v="Peak"/>
    <x v="1"/>
    <n v="0"/>
    <s v="91–180 days"/>
  </r>
  <r>
    <s v="B001193"/>
    <s v="G00235"/>
    <s v="H010"/>
    <s v="CH04"/>
    <d v="2025-01-24T00:00:00"/>
    <d v="2025-02-23T00:00:00"/>
    <x v="1"/>
    <n v="6959"/>
    <x v="2"/>
    <b v="0"/>
    <x v="2"/>
    <x v="0"/>
    <n v="2025"/>
    <n v="6"/>
    <n v="1"/>
    <n v="2025"/>
    <n v="4"/>
    <s v="Yes"/>
    <x v="0"/>
    <s v="India"/>
    <x v="1"/>
    <s v="StayNest Garden"/>
    <x v="10"/>
    <s v="Boutique"/>
    <n v="70"/>
    <x v="4"/>
    <s v="Partner"/>
    <d v="2025-02-23T00:00:00"/>
    <s v="Yes"/>
    <s v="No"/>
    <s v="Shoulder"/>
    <x v="1"/>
    <n v="0"/>
    <s v="8–30 days"/>
  </r>
  <r>
    <s v="B001194"/>
    <s v="G00242"/>
    <s v="H007"/>
    <s v="CH05"/>
    <d v="2025-05-31T00:00:00"/>
    <d v="2025-09-08T00:00:00"/>
    <x v="2"/>
    <n v="3765"/>
    <x v="0"/>
    <b v="0"/>
    <x v="0"/>
    <x v="10"/>
    <n v="2025"/>
    <n v="0"/>
    <n v="5"/>
    <n v="2025"/>
    <n v="5"/>
    <s v="No"/>
    <x v="3"/>
    <s v="Germany"/>
    <x v="0"/>
    <s v="StayNest Tech Park"/>
    <x v="6"/>
    <s v="Business"/>
    <n v="140"/>
    <x v="2"/>
    <s v="Corporate Rate"/>
    <d v="2025-09-08T00:00:00"/>
    <s v="No"/>
    <s v="No"/>
    <s v="Shoulder"/>
    <x v="1"/>
    <n v="0"/>
    <s v="91–180 days"/>
  </r>
  <r>
    <s v="B001195"/>
    <s v="G00230"/>
    <s v="H011"/>
    <s v="CH03"/>
    <d v="2025-12-02T00:00:00"/>
    <d v="2026-01-31T00:00:00"/>
    <x v="2"/>
    <n v="3590"/>
    <x v="2"/>
    <b v="0"/>
    <x v="1"/>
    <x v="6"/>
    <n v="2026"/>
    <n v="5"/>
    <n v="12"/>
    <n v="2025"/>
    <n v="1"/>
    <s v="Yes"/>
    <x v="1"/>
    <s v="India"/>
    <x v="0"/>
    <s v="StayNest Grand"/>
    <x v="8"/>
    <s v="Business"/>
    <n v="110"/>
    <x v="1"/>
    <s v="OTA Promo"/>
    <d v="2026-01-31T00:00:00"/>
    <s v="Yes"/>
    <s v="No"/>
    <s v="Off-Peak"/>
    <x v="1"/>
    <n v="0"/>
    <s v="31–90 days"/>
  </r>
  <r>
    <s v="B001196"/>
    <s v="G00272"/>
    <s v="H007"/>
    <s v="CH05"/>
    <d v="2025-06-03T00:00:00"/>
    <d v="2025-08-02T00:00:00"/>
    <x v="0"/>
    <n v="4068"/>
    <x v="0"/>
    <b v="0"/>
    <x v="1"/>
    <x v="7"/>
    <n v="2025"/>
    <n v="5"/>
    <n v="6"/>
    <n v="2025"/>
    <n v="1"/>
    <s v="Yes"/>
    <x v="0"/>
    <s v="India"/>
    <x v="1"/>
    <s v="StayNest Tech Park"/>
    <x v="6"/>
    <s v="Business"/>
    <n v="140"/>
    <x v="2"/>
    <s v="Corporate Rate"/>
    <d v="2025-08-02T00:00:00"/>
    <s v="Yes"/>
    <s v="No"/>
    <s v="Off-Peak"/>
    <x v="1"/>
    <n v="0"/>
    <s v="31–90 days"/>
  </r>
  <r>
    <s v="B001197"/>
    <s v="G00041"/>
    <s v="H009"/>
    <s v="CH05"/>
    <d v="2026-07-02T00:00:00"/>
    <d v="2026-08-31T00:00:00"/>
    <x v="3"/>
    <n v="10938"/>
    <x v="3"/>
    <b v="0"/>
    <x v="1"/>
    <x v="7"/>
    <n v="2026"/>
    <n v="0"/>
    <n v="7"/>
    <n v="2026"/>
    <n v="3"/>
    <s v="No"/>
    <x v="0"/>
    <s v="India"/>
    <x v="0"/>
    <s v="StayNest Airport"/>
    <x v="9"/>
    <s v="Business"/>
    <n v="160"/>
    <x v="2"/>
    <s v="Corporate Rate"/>
    <d v="2026-08-31T00:00:00"/>
    <s v="No"/>
    <s v="No"/>
    <s v="Off-Peak"/>
    <x v="1"/>
    <n v="0"/>
    <s v="31–90 days"/>
  </r>
  <r>
    <s v="B001198"/>
    <s v="G00130"/>
    <s v="H001"/>
    <s v="CH03"/>
    <d v="2025-02-04T00:00:00"/>
    <d v="2025-07-04T00:00:00"/>
    <x v="0"/>
    <n v="5950"/>
    <x v="0"/>
    <b v="0"/>
    <x v="5"/>
    <x v="8"/>
    <n v="2025"/>
    <n v="4"/>
    <n v="2"/>
    <n v="2025"/>
    <n v="1"/>
    <s v="No"/>
    <x v="3"/>
    <s v="Germany"/>
    <x v="0"/>
    <s v="StayNest Marina"/>
    <x v="1"/>
    <s v="Business"/>
    <n v="120"/>
    <x v="1"/>
    <s v="OTA Promo"/>
    <d v="2025-07-04T00:00:00"/>
    <s v="No"/>
    <s v="No"/>
    <s v="Off-Peak"/>
    <x v="1"/>
    <n v="0"/>
    <s v="91–180 days"/>
  </r>
  <r>
    <s v="B001199"/>
    <s v="G00621"/>
    <s v="H006"/>
    <s v="CH06"/>
    <d v="2026-09-17T00:00:00"/>
    <d v="2026-10-17T00:00:00"/>
    <x v="2"/>
    <n v="2780"/>
    <x v="2"/>
    <b v="0"/>
    <x v="2"/>
    <x v="11"/>
    <n v="2026"/>
    <n v="5"/>
    <n v="9"/>
    <n v="2026"/>
    <n v="3"/>
    <s v="Yes"/>
    <x v="0"/>
    <s v="India"/>
    <x v="1"/>
    <s v="StayNest Beach"/>
    <x v="3"/>
    <s v="Resort"/>
    <n v="100"/>
    <x v="0"/>
    <s v="Retention"/>
    <d v="2026-10-17T00:00:00"/>
    <s v="Yes"/>
    <s v="No"/>
    <s v="Shoulder"/>
    <x v="1"/>
    <n v="0"/>
    <s v="8–30 days"/>
  </r>
  <r>
    <s v="B001200"/>
    <s v="G00037"/>
    <s v="H012"/>
    <s v="CH06"/>
    <d v="2026-03-28T00:00:00"/>
    <d v="2026-03-31T00:00:00"/>
    <x v="0"/>
    <n v="5728"/>
    <x v="2"/>
    <b v="0"/>
    <x v="6"/>
    <x v="3"/>
    <n v="2026"/>
    <n v="1"/>
    <n v="3"/>
    <n v="2026"/>
    <n v="5"/>
    <s v="No"/>
    <x v="3"/>
    <s v="Germany"/>
    <x v="0"/>
    <s v="StayNest Valley"/>
    <x v="4"/>
    <s v="Resort"/>
    <n v="65"/>
    <x v="0"/>
    <s v="Retention"/>
    <d v="2026-03-31T00:00:00"/>
    <s v="No"/>
    <s v="No"/>
    <s v="Shoulder"/>
    <x v="1"/>
    <n v="0"/>
    <s v="0–7 days"/>
  </r>
  <r>
    <s v="B001201"/>
    <s v="G00192"/>
    <s v="H001"/>
    <s v="CH05"/>
    <d v="2026-04-08T00:00:00"/>
    <d v="2026-04-15T00:00:00"/>
    <x v="2"/>
    <n v="2330"/>
    <x v="0"/>
    <b v="0"/>
    <x v="4"/>
    <x v="2"/>
    <n v="2026"/>
    <n v="2"/>
    <n v="4"/>
    <n v="2026"/>
    <n v="2"/>
    <s v="No"/>
    <x v="2"/>
    <s v="India"/>
    <x v="0"/>
    <s v="StayNest Marina"/>
    <x v="1"/>
    <s v="Business"/>
    <n v="120"/>
    <x v="2"/>
    <s v="Corporate Rate"/>
    <d v="2026-04-15T00:00:00"/>
    <s v="No"/>
    <s v="No"/>
    <s v="Peak"/>
    <x v="1"/>
    <n v="0"/>
    <s v="0–7 days"/>
  </r>
  <r>
    <s v="B001203"/>
    <s v="G00545"/>
    <s v="H006"/>
    <s v="CH06"/>
    <d v="2026-06-21T00:00:00"/>
    <d v="2026-06-22T00:00:00"/>
    <x v="0"/>
    <n v="3712"/>
    <x v="0"/>
    <b v="0"/>
    <x v="7"/>
    <x v="1"/>
    <n v="2026"/>
    <n v="0"/>
    <n v="6"/>
    <n v="2026"/>
    <n v="6"/>
    <s v="No"/>
    <x v="0"/>
    <s v="Singapore"/>
    <x v="0"/>
    <s v="StayNest Beach"/>
    <x v="3"/>
    <s v="Resort"/>
    <n v="100"/>
    <x v="0"/>
    <s v="Retention"/>
    <d v="2026-06-22T00:00:00"/>
    <s v="No"/>
    <s v="No"/>
    <s v="Shoulder"/>
    <x v="1"/>
    <n v="0"/>
    <s v="0–7 days"/>
  </r>
  <r>
    <s v="B001204"/>
    <s v="G00400"/>
    <s v="H007"/>
    <s v="CH06"/>
    <d v="2026-09-27T00:00:00"/>
    <d v="2026-10-11T00:00:00"/>
    <x v="1"/>
    <n v="5687"/>
    <x v="2"/>
    <b v="0"/>
    <x v="3"/>
    <x v="11"/>
    <n v="2026"/>
    <n v="6"/>
    <n v="9"/>
    <n v="2026"/>
    <n v="6"/>
    <s v="Yes"/>
    <x v="0"/>
    <s v="UAE"/>
    <x v="1"/>
    <s v="StayNest Tech Park"/>
    <x v="6"/>
    <s v="Business"/>
    <n v="140"/>
    <x v="0"/>
    <s v="Retention"/>
    <d v="2026-10-11T00:00:00"/>
    <s v="Yes"/>
    <s v="No"/>
    <s v="Shoulder"/>
    <x v="1"/>
    <n v="0"/>
    <s v="8–30 days"/>
  </r>
  <r>
    <s v="B001205"/>
    <s v="G00351"/>
    <s v="H006"/>
    <s v="CH03"/>
    <d v="2025-09-15T00:00:00"/>
    <d v="2025-09-22T00:00:00"/>
    <x v="1"/>
    <n v="5574"/>
    <x v="0"/>
    <b v="0"/>
    <x v="4"/>
    <x v="10"/>
    <n v="2025"/>
    <n v="0"/>
    <n v="9"/>
    <n v="2025"/>
    <n v="0"/>
    <s v="No"/>
    <x v="0"/>
    <s v="Singapore"/>
    <x v="0"/>
    <s v="StayNest Beach"/>
    <x v="3"/>
    <s v="Resort"/>
    <n v="100"/>
    <x v="1"/>
    <s v="OTA Promo"/>
    <d v="2025-09-22T00:00:00"/>
    <s v="No"/>
    <s v="No"/>
    <s v="Shoulder"/>
    <x v="1"/>
    <n v="0"/>
    <s v="0–7 days"/>
  </r>
  <r>
    <s v="B001206"/>
    <s v="G00253"/>
    <s v="H011"/>
    <s v="CH02"/>
    <d v="2026-12-01T00:00:00"/>
    <d v="2026-12-31T00:00:00"/>
    <x v="3"/>
    <n v="8093"/>
    <x v="2"/>
    <b v="0"/>
    <x v="2"/>
    <x v="5"/>
    <n v="2026"/>
    <n v="3"/>
    <n v="12"/>
    <n v="2026"/>
    <n v="1"/>
    <s v="No"/>
    <x v="3"/>
    <s v="India"/>
    <x v="1"/>
    <s v="StayNest Grand"/>
    <x v="8"/>
    <s v="Business"/>
    <n v="110"/>
    <x v="3"/>
    <s v="App Push"/>
    <d v="2026-12-31T00:00:00"/>
    <s v="No"/>
    <s v="No"/>
    <s v="Peak"/>
    <x v="1"/>
    <n v="0"/>
    <s v="8–30 days"/>
  </r>
  <r>
    <s v="B001207"/>
    <s v="G00349"/>
    <s v="H007"/>
    <s v="CH02"/>
    <d v="2025-09-24T00:00:00"/>
    <d v="2025-09-25T00:00:00"/>
    <x v="3"/>
    <n v="10459"/>
    <x v="0"/>
    <b v="0"/>
    <x v="7"/>
    <x v="10"/>
    <n v="2025"/>
    <n v="3"/>
    <n v="9"/>
    <n v="2025"/>
    <n v="2"/>
    <s v="No"/>
    <x v="0"/>
    <s v="India"/>
    <x v="1"/>
    <s v="StayNest Tech Park"/>
    <x v="6"/>
    <s v="Business"/>
    <n v="140"/>
    <x v="3"/>
    <s v="App Push"/>
    <d v="2025-09-25T00:00:00"/>
    <s v="No"/>
    <s v="No"/>
    <s v="Shoulder"/>
    <x v="1"/>
    <n v="0"/>
    <s v="0–7 days"/>
  </r>
  <r>
    <s v="B001208"/>
    <s v="G00590"/>
    <s v="H003"/>
    <s v="CH04"/>
    <d v="2026-08-27T00:00:00"/>
    <d v="2026-09-03T00:00:00"/>
    <x v="0"/>
    <n v="5990"/>
    <x v="0"/>
    <b v="0"/>
    <x v="4"/>
    <x v="10"/>
    <n v="2026"/>
    <n v="3"/>
    <n v="8"/>
    <n v="2026"/>
    <n v="3"/>
    <s v="No"/>
    <x v="2"/>
    <s v="India"/>
    <x v="0"/>
    <s v="StayNest Hills"/>
    <x v="5"/>
    <s v="Resort"/>
    <n v="80"/>
    <x v="4"/>
    <s v="Partner"/>
    <d v="2026-09-03T00:00:00"/>
    <s v="No"/>
    <s v="No"/>
    <s v="Shoulder"/>
    <x v="1"/>
    <n v="0"/>
    <s v="0–7 days"/>
  </r>
  <r>
    <s v="B001209"/>
    <s v="G00574"/>
    <s v="H012"/>
    <s v="CH04"/>
    <d v="2026-01-14T00:00:00"/>
    <d v="2026-01-28T00:00:00"/>
    <x v="1"/>
    <n v="6328"/>
    <x v="0"/>
    <b v="0"/>
    <x v="3"/>
    <x v="6"/>
    <n v="2026"/>
    <n v="2"/>
    <n v="1"/>
    <n v="2026"/>
    <n v="2"/>
    <s v="No"/>
    <x v="0"/>
    <s v="United States"/>
    <x v="1"/>
    <s v="StayNest Valley"/>
    <x v="4"/>
    <s v="Resort"/>
    <n v="65"/>
    <x v="4"/>
    <s v="Partner"/>
    <d v="2026-01-28T00:00:00"/>
    <s v="No"/>
    <s v="No"/>
    <s v="Off-Peak"/>
    <x v="1"/>
    <n v="0"/>
    <s v="8–30 days"/>
  </r>
  <r>
    <s v="B001210"/>
    <s v="G00295"/>
    <s v="H005"/>
    <s v="CH02"/>
    <d v="2025-01-08T00:00:00"/>
    <d v="2025-01-15T00:00:00"/>
    <x v="2"/>
    <n v="3888"/>
    <x v="0"/>
    <b v="0"/>
    <x v="4"/>
    <x v="6"/>
    <n v="2025"/>
    <n v="2"/>
    <n v="1"/>
    <n v="2025"/>
    <n v="2"/>
    <s v="No"/>
    <x v="1"/>
    <s v="United Kingdom"/>
    <x v="0"/>
    <s v="StayNest Heritage"/>
    <x v="11"/>
    <s v="Heritage"/>
    <n v="90"/>
    <x v="3"/>
    <s v="App Push"/>
    <d v="2025-01-15T00:00:00"/>
    <s v="No"/>
    <s v="No"/>
    <s v="Off-Peak"/>
    <x v="1"/>
    <n v="0"/>
    <s v="0–7 days"/>
  </r>
  <r>
    <s v="B001211"/>
    <s v="G00169"/>
    <s v="H001"/>
    <s v="CH02"/>
    <d v="2026-06-19T00:00:00"/>
    <d v="2026-09-27T00:00:00"/>
    <x v="3"/>
    <n v="6808"/>
    <x v="1"/>
    <b v="0"/>
    <x v="0"/>
    <x v="10"/>
    <n v="2026"/>
    <n v="6"/>
    <n v="6"/>
    <n v="2026"/>
    <n v="4"/>
    <s v="Yes"/>
    <x v="1"/>
    <s v="India"/>
    <x v="1"/>
    <s v="StayNest Marina"/>
    <x v="1"/>
    <s v="Business"/>
    <n v="120"/>
    <x v="3"/>
    <s v="App Push"/>
    <d v="2026-09-27T00:00:00"/>
    <s v="Yes"/>
    <s v="No"/>
    <s v="Shoulder"/>
    <x v="1"/>
    <n v="1"/>
    <s v="91–180 days"/>
  </r>
  <r>
    <s v="B001212"/>
    <s v="G00315"/>
    <s v="H002"/>
    <s v="CH03"/>
    <d v="2025-10-28T00:00:00"/>
    <d v="2025-11-11T00:00:00"/>
    <x v="3"/>
    <n v="8274"/>
    <x v="0"/>
    <b v="0"/>
    <x v="3"/>
    <x v="4"/>
    <n v="2025"/>
    <n v="1"/>
    <n v="10"/>
    <n v="2025"/>
    <n v="1"/>
    <s v="No"/>
    <x v="0"/>
    <s v="United States"/>
    <x v="0"/>
    <s v="StayNest Central"/>
    <x v="0"/>
    <s v="Business"/>
    <n v="150"/>
    <x v="1"/>
    <s v="OTA Promo"/>
    <d v="2025-11-11T00:00:00"/>
    <s v="No"/>
    <s v="No"/>
    <s v="Off-Peak"/>
    <x v="1"/>
    <n v="0"/>
    <s v="8–30 days"/>
  </r>
  <r>
    <s v="B001213"/>
    <s v="G00430"/>
    <s v="H008"/>
    <s v="CH06"/>
    <d v="2026-06-22T00:00:00"/>
    <d v="2026-06-25T00:00:00"/>
    <x v="1"/>
    <n v="5065"/>
    <x v="2"/>
    <b v="0"/>
    <x v="6"/>
    <x v="1"/>
    <n v="2026"/>
    <n v="3"/>
    <n v="6"/>
    <n v="2026"/>
    <n v="0"/>
    <s v="No"/>
    <x v="2"/>
    <s v="India"/>
    <x v="0"/>
    <s v="StayNest Palace"/>
    <x v="7"/>
    <s v="Heritage"/>
    <n v="85"/>
    <x v="0"/>
    <s v="Retention"/>
    <d v="2026-06-25T00:00:00"/>
    <s v="No"/>
    <s v="No"/>
    <s v="Shoulder"/>
    <x v="1"/>
    <n v="0"/>
    <s v="0–7 days"/>
  </r>
  <r>
    <s v="B001215"/>
    <s v="G00135"/>
    <s v="H008"/>
    <s v="CH01"/>
    <d v="2025-10-06T00:00:00"/>
    <d v="2025-10-20T00:00:00"/>
    <x v="0"/>
    <n v="5784"/>
    <x v="0"/>
    <b v="0"/>
    <x v="3"/>
    <x v="11"/>
    <n v="2025"/>
    <n v="0"/>
    <n v="10"/>
    <n v="2025"/>
    <n v="0"/>
    <s v="No"/>
    <x v="3"/>
    <s v="UAE"/>
    <x v="0"/>
    <s v="StayNest Palace"/>
    <x v="7"/>
    <s v="Heritage"/>
    <n v="85"/>
    <x v="5"/>
    <s v="Direct"/>
    <d v="2025-10-20T00:00:00"/>
    <s v="No"/>
    <s v="No"/>
    <s v="Shoulder"/>
    <x v="1"/>
    <n v="0"/>
    <s v="8–30 days"/>
  </r>
  <r>
    <s v="B001216"/>
    <s v="G00439"/>
    <s v="H007"/>
    <s v="CH01"/>
    <d v="2025-11-29T00:00:00"/>
    <d v="2026-03-09T00:00:00"/>
    <x v="1"/>
    <n v="6223"/>
    <x v="1"/>
    <b v="0"/>
    <x v="0"/>
    <x v="3"/>
    <n v="2026"/>
    <n v="0"/>
    <n v="11"/>
    <n v="2025"/>
    <n v="5"/>
    <s v="No"/>
    <x v="1"/>
    <s v="India"/>
    <x v="1"/>
    <s v="StayNest Tech Park"/>
    <x v="6"/>
    <s v="Business"/>
    <n v="140"/>
    <x v="5"/>
    <s v="Direct"/>
    <d v="2026-03-09T00:00:00"/>
    <s v="No"/>
    <s v="No"/>
    <s v="Shoulder"/>
    <x v="1"/>
    <n v="1"/>
    <s v="91–180 days"/>
  </r>
  <r>
    <s v="B001217"/>
    <s v="G00346"/>
    <s v="H009"/>
    <s v="CH03"/>
    <d v="2026-11-17T00:00:00"/>
    <d v="2026-11-24T00:00:00"/>
    <x v="3"/>
    <n v="9099"/>
    <x v="0"/>
    <b v="0"/>
    <x v="4"/>
    <x v="4"/>
    <n v="2026"/>
    <n v="1"/>
    <n v="11"/>
    <n v="2026"/>
    <n v="1"/>
    <s v="No"/>
    <x v="0"/>
    <s v="India"/>
    <x v="0"/>
    <s v="StayNest Airport"/>
    <x v="9"/>
    <s v="Business"/>
    <n v="160"/>
    <x v="1"/>
    <s v="OTA Promo"/>
    <d v="2026-11-24T00:00:00"/>
    <s v="No"/>
    <s v="No"/>
    <s v="Off-Peak"/>
    <x v="1"/>
    <n v="0"/>
    <s v="0–7 days"/>
  </r>
  <r>
    <s v="B001218"/>
    <s v="G00132"/>
    <s v="H005"/>
    <s v="CH05"/>
    <d v="2025-05-02T00:00:00"/>
    <d v="2025-09-29T00:00:00"/>
    <x v="1"/>
    <n v="8614"/>
    <x v="1"/>
    <b v="0"/>
    <x v="5"/>
    <x v="10"/>
    <n v="2025"/>
    <n v="0"/>
    <n v="5"/>
    <n v="2025"/>
    <n v="4"/>
    <s v="No"/>
    <x v="3"/>
    <s v="India"/>
    <x v="0"/>
    <s v="StayNest Heritage"/>
    <x v="11"/>
    <s v="Heritage"/>
    <n v="90"/>
    <x v="2"/>
    <s v="Corporate Rate"/>
    <d v="2025-09-29T00:00:00"/>
    <s v="No"/>
    <s v="No"/>
    <s v="Shoulder"/>
    <x v="1"/>
    <n v="1"/>
    <s v="91–180 days"/>
  </r>
  <r>
    <s v="B001219"/>
    <s v="G00315"/>
    <s v="H006"/>
    <s v="CH06"/>
    <d v="2025-08-24T00:00:00"/>
    <d v="2025-09-23T00:00:00"/>
    <x v="0"/>
    <n v="4468"/>
    <x v="2"/>
    <b v="0"/>
    <x v="2"/>
    <x v="10"/>
    <n v="2025"/>
    <n v="1"/>
    <n v="8"/>
    <n v="2025"/>
    <n v="6"/>
    <s v="No"/>
    <x v="0"/>
    <s v="United States"/>
    <x v="0"/>
    <s v="StayNest Beach"/>
    <x v="3"/>
    <s v="Resort"/>
    <n v="100"/>
    <x v="0"/>
    <s v="Retention"/>
    <d v="2025-09-23T00:00:00"/>
    <s v="No"/>
    <s v="No"/>
    <s v="Shoulder"/>
    <x v="1"/>
    <n v="0"/>
    <s v="8–30 days"/>
  </r>
  <r>
    <s v="B001220"/>
    <s v="G00334"/>
    <s v="H006"/>
    <s v="CH01"/>
    <d v="2025-08-02T00:00:00"/>
    <d v="2025-08-03T00:00:00"/>
    <x v="3"/>
    <n v="8171"/>
    <x v="0"/>
    <b v="0"/>
    <x v="7"/>
    <x v="7"/>
    <n v="2025"/>
    <n v="6"/>
    <n v="8"/>
    <n v="2025"/>
    <n v="5"/>
    <s v="Yes"/>
    <x v="2"/>
    <s v="India"/>
    <x v="0"/>
    <s v="StayNest Beach"/>
    <x v="3"/>
    <s v="Resort"/>
    <n v="100"/>
    <x v="5"/>
    <s v="Direct"/>
    <d v="2025-08-03T00:00:00"/>
    <s v="Yes"/>
    <s v="No"/>
    <s v="Off-Peak"/>
    <x v="1"/>
    <n v="0"/>
    <s v="0–7 days"/>
  </r>
  <r>
    <s v="B001221"/>
    <s v="G00103"/>
    <s v="H005"/>
    <s v="CH03"/>
    <d v="2025-10-19T00:00:00"/>
    <d v="2026-01-27T00:00:00"/>
    <x v="1"/>
    <n v="7046"/>
    <x v="2"/>
    <b v="0"/>
    <x v="0"/>
    <x v="6"/>
    <n v="2026"/>
    <n v="1"/>
    <n v="10"/>
    <n v="2025"/>
    <n v="6"/>
    <s v="No"/>
    <x v="1"/>
    <s v="UAE"/>
    <x v="0"/>
    <s v="StayNest Heritage"/>
    <x v="11"/>
    <s v="Heritage"/>
    <n v="90"/>
    <x v="1"/>
    <s v="OTA Promo"/>
    <d v="2026-01-27T00:00:00"/>
    <s v="No"/>
    <s v="No"/>
    <s v="Off-Peak"/>
    <x v="1"/>
    <n v="0"/>
    <s v="91–180 days"/>
  </r>
  <r>
    <s v="B001222"/>
    <s v="G00434"/>
    <s v="H008"/>
    <s v="CH06"/>
    <d v="2026-03-28T00:00:00"/>
    <d v="2026-05-27T00:00:00"/>
    <x v="3"/>
    <n v="7562"/>
    <x v="2"/>
    <b v="0"/>
    <x v="1"/>
    <x v="9"/>
    <n v="2026"/>
    <n v="2"/>
    <n v="3"/>
    <n v="2026"/>
    <n v="5"/>
    <s v="No"/>
    <x v="0"/>
    <s v="United Kingdom"/>
    <x v="0"/>
    <s v="StayNest Palace"/>
    <x v="7"/>
    <s v="Heritage"/>
    <n v="85"/>
    <x v="0"/>
    <s v="Retention"/>
    <d v="2026-05-27T00:00:00"/>
    <s v="No"/>
    <s v="No"/>
    <s v="Peak"/>
    <x v="1"/>
    <n v="0"/>
    <s v="31–90 days"/>
  </r>
  <r>
    <s v="B001223"/>
    <s v="G00378"/>
    <s v="H005"/>
    <s v="CH02"/>
    <d v="2025-03-13T00:00:00"/>
    <d v="2025-04-12T00:00:00"/>
    <x v="0"/>
    <n v="3933"/>
    <x v="0"/>
    <b v="0"/>
    <x v="2"/>
    <x v="2"/>
    <n v="2025"/>
    <n v="5"/>
    <n v="3"/>
    <n v="2025"/>
    <n v="3"/>
    <s v="Yes"/>
    <x v="1"/>
    <s v="India"/>
    <x v="1"/>
    <s v="StayNest Heritage"/>
    <x v="11"/>
    <s v="Heritage"/>
    <n v="90"/>
    <x v="3"/>
    <s v="App Push"/>
    <d v="2025-04-12T00:00:00"/>
    <s v="Yes"/>
    <s v="No"/>
    <s v="Peak"/>
    <x v="1"/>
    <n v="0"/>
    <s v="8–30 days"/>
  </r>
  <r>
    <s v="B001224"/>
    <s v="G00008"/>
    <s v="H011"/>
    <s v="CH03"/>
    <d v="2026-10-02T00:00:00"/>
    <d v="2026-10-05T00:00:00"/>
    <x v="1"/>
    <n v="6002"/>
    <x v="0"/>
    <b v="0"/>
    <x v="6"/>
    <x v="11"/>
    <n v="2026"/>
    <n v="0"/>
    <n v="10"/>
    <n v="2026"/>
    <n v="4"/>
    <s v="No"/>
    <x v="0"/>
    <s v="India"/>
    <x v="1"/>
    <s v="StayNest Grand"/>
    <x v="8"/>
    <s v="Business"/>
    <n v="110"/>
    <x v="1"/>
    <s v="OTA Promo"/>
    <d v="2026-10-05T00:00:00"/>
    <s v="No"/>
    <s v="No"/>
    <s v="Shoulder"/>
    <x v="1"/>
    <n v="0"/>
    <s v="0–7 days"/>
  </r>
  <r>
    <s v="B001225"/>
    <s v="G00567"/>
    <s v="H008"/>
    <s v="CH03"/>
    <d v="2025-01-25T00:00:00"/>
    <d v="2025-02-24T00:00:00"/>
    <x v="1"/>
    <n v="6867"/>
    <x v="1"/>
    <b v="0"/>
    <x v="2"/>
    <x v="0"/>
    <n v="2025"/>
    <n v="0"/>
    <n v="1"/>
    <n v="2025"/>
    <n v="5"/>
    <s v="No"/>
    <x v="3"/>
    <s v="India"/>
    <x v="0"/>
    <s v="StayNest Palace"/>
    <x v="7"/>
    <s v="Heritage"/>
    <n v="85"/>
    <x v="1"/>
    <s v="OTA Promo"/>
    <d v="2025-02-24T00:00:00"/>
    <s v="No"/>
    <s v="No"/>
    <s v="Shoulder"/>
    <x v="1"/>
    <n v="1"/>
    <s v="8–30 days"/>
  </r>
  <r>
    <s v="B001226"/>
    <s v="G00359"/>
    <s v="H008"/>
    <s v="CH04"/>
    <d v="2025-11-25T00:00:00"/>
    <d v="2025-12-02T00:00:00"/>
    <x v="3"/>
    <n v="10463"/>
    <x v="3"/>
    <b v="0"/>
    <x v="4"/>
    <x v="5"/>
    <n v="2025"/>
    <n v="1"/>
    <n v="11"/>
    <n v="2025"/>
    <n v="1"/>
    <s v="No"/>
    <x v="0"/>
    <s v="Singapore"/>
    <x v="0"/>
    <s v="StayNest Palace"/>
    <x v="7"/>
    <s v="Heritage"/>
    <n v="85"/>
    <x v="4"/>
    <s v="Partner"/>
    <d v="2025-12-02T00:00:00"/>
    <s v="No"/>
    <s v="No"/>
    <s v="Peak"/>
    <x v="1"/>
    <n v="0"/>
    <s v="0–7 days"/>
  </r>
  <r>
    <s v="B001227"/>
    <s v="G00334"/>
    <s v="H003"/>
    <s v="CH05"/>
    <d v="2025-04-03T00:00:00"/>
    <d v="2025-05-03T00:00:00"/>
    <x v="1"/>
    <n v="7988"/>
    <x v="1"/>
    <b v="0"/>
    <x v="2"/>
    <x v="9"/>
    <n v="2025"/>
    <n v="5"/>
    <n v="4"/>
    <n v="2025"/>
    <n v="3"/>
    <s v="Yes"/>
    <x v="2"/>
    <s v="India"/>
    <x v="0"/>
    <s v="StayNest Hills"/>
    <x v="5"/>
    <s v="Resort"/>
    <n v="80"/>
    <x v="2"/>
    <s v="Corporate Rate"/>
    <d v="2025-05-03T00:00:00"/>
    <s v="Yes"/>
    <s v="No"/>
    <s v="Peak"/>
    <x v="1"/>
    <n v="1"/>
    <s v="8–30 days"/>
  </r>
  <r>
    <s v="B001228"/>
    <s v="G00187"/>
    <s v="H012"/>
    <s v="CH04"/>
    <d v="2025-05-04T00:00:00"/>
    <d v="2025-06-03T00:00:00"/>
    <x v="0"/>
    <n v="4380"/>
    <x v="2"/>
    <b v="0"/>
    <x v="2"/>
    <x v="1"/>
    <n v="2025"/>
    <n v="1"/>
    <n v="5"/>
    <n v="2025"/>
    <n v="6"/>
    <s v="No"/>
    <x v="0"/>
    <s v="India"/>
    <x v="0"/>
    <s v="StayNest Valley"/>
    <x v="4"/>
    <s v="Resort"/>
    <n v="65"/>
    <x v="4"/>
    <s v="Partner"/>
    <d v="2025-06-03T00:00:00"/>
    <s v="No"/>
    <s v="No"/>
    <s v="Shoulder"/>
    <x v="1"/>
    <n v="0"/>
    <s v="8–30 days"/>
  </r>
  <r>
    <s v="B001229"/>
    <s v="G00597"/>
    <s v="H003"/>
    <s v="CH01"/>
    <d v="2025-11-30T00:00:00"/>
    <d v="2025-12-07T00:00:00"/>
    <x v="0"/>
    <n v="5821"/>
    <x v="3"/>
    <b v="0"/>
    <x v="4"/>
    <x v="5"/>
    <n v="2025"/>
    <n v="6"/>
    <n v="11"/>
    <n v="2025"/>
    <n v="6"/>
    <s v="Yes"/>
    <x v="3"/>
    <s v="India"/>
    <x v="0"/>
    <s v="StayNest Hills"/>
    <x v="5"/>
    <s v="Resort"/>
    <n v="80"/>
    <x v="5"/>
    <s v="Direct"/>
    <d v="2025-12-07T00:00:00"/>
    <s v="Yes"/>
    <s v="No"/>
    <s v="Peak"/>
    <x v="1"/>
    <n v="0"/>
    <s v="0–7 days"/>
  </r>
  <r>
    <s v="B001230"/>
    <s v="G00438"/>
    <s v="H006"/>
    <s v="CH06"/>
    <d v="2026-08-23T00:00:00"/>
    <d v="2026-08-24T00:00:00"/>
    <x v="3"/>
    <n v="7678"/>
    <x v="0"/>
    <b v="0"/>
    <x v="7"/>
    <x v="7"/>
    <n v="2026"/>
    <n v="0"/>
    <n v="8"/>
    <n v="2026"/>
    <n v="6"/>
    <s v="No"/>
    <x v="1"/>
    <s v="Germany"/>
    <x v="0"/>
    <s v="StayNest Beach"/>
    <x v="3"/>
    <s v="Resort"/>
    <n v="100"/>
    <x v="0"/>
    <s v="Retention"/>
    <d v="2026-08-24T00:00:00"/>
    <s v="No"/>
    <s v="No"/>
    <s v="Off-Peak"/>
    <x v="1"/>
    <n v="0"/>
    <s v="0–7 days"/>
  </r>
  <r>
    <s v="B001231"/>
    <s v="G00251"/>
    <s v="H010"/>
    <s v="CH05"/>
    <d v="2025-07-28T00:00:00"/>
    <d v="2025-08-11T00:00:00"/>
    <x v="3"/>
    <n v="10506"/>
    <x v="2"/>
    <b v="0"/>
    <x v="3"/>
    <x v="7"/>
    <n v="2025"/>
    <n v="0"/>
    <n v="7"/>
    <n v="2025"/>
    <n v="0"/>
    <s v="No"/>
    <x v="1"/>
    <s v="Unknown"/>
    <x v="0"/>
    <s v="StayNest Garden"/>
    <x v="10"/>
    <s v="Boutique"/>
    <n v="70"/>
    <x v="2"/>
    <s v="Corporate Rate"/>
    <d v="2025-08-11T00:00:00"/>
    <s v="No"/>
    <s v="No"/>
    <s v="Off-Peak"/>
    <x v="1"/>
    <n v="0"/>
    <s v="8–30 days"/>
  </r>
  <r>
    <s v="B001232"/>
    <s v="G00225"/>
    <s v="H003"/>
    <s v="CH04"/>
    <d v="2025-10-24T00:00:00"/>
    <d v="2025-10-31T00:00:00"/>
    <x v="2"/>
    <n v="2881"/>
    <x v="0"/>
    <b v="0"/>
    <x v="4"/>
    <x v="11"/>
    <n v="2025"/>
    <n v="4"/>
    <n v="10"/>
    <n v="2025"/>
    <n v="4"/>
    <s v="No"/>
    <x v="2"/>
    <s v="India"/>
    <x v="0"/>
    <s v="StayNest Hills"/>
    <x v="5"/>
    <s v="Resort"/>
    <n v="80"/>
    <x v="4"/>
    <s v="Partner"/>
    <d v="2025-10-31T00:00:00"/>
    <s v="No"/>
    <s v="No"/>
    <s v="Shoulder"/>
    <x v="1"/>
    <n v="0"/>
    <s v="0–7 days"/>
  </r>
  <r>
    <s v="B001233"/>
    <s v="G00120"/>
    <s v="H003"/>
    <s v="CH04"/>
    <d v="2026-09-11T00:00:00"/>
    <d v="2026-12-20T00:00:00"/>
    <x v="1"/>
    <n v="6802"/>
    <x v="1"/>
    <b v="0"/>
    <x v="0"/>
    <x v="5"/>
    <n v="2026"/>
    <n v="6"/>
    <n v="9"/>
    <n v="2026"/>
    <n v="4"/>
    <s v="Yes"/>
    <x v="1"/>
    <s v="India"/>
    <x v="0"/>
    <s v="StayNest Hills"/>
    <x v="5"/>
    <s v="Resort"/>
    <n v="80"/>
    <x v="4"/>
    <s v="Partner"/>
    <d v="2026-12-20T00:00:00"/>
    <s v="Yes"/>
    <s v="No"/>
    <s v="Peak"/>
    <x v="1"/>
    <n v="1"/>
    <s v="91–180 days"/>
  </r>
  <r>
    <s v="B001234"/>
    <s v="G00253"/>
    <s v="H011"/>
    <s v="CH05"/>
    <d v="2026-04-25T00:00:00"/>
    <d v="2026-06-24T00:00:00"/>
    <x v="1"/>
    <n v="5566"/>
    <x v="2"/>
    <b v="0"/>
    <x v="1"/>
    <x v="1"/>
    <n v="2026"/>
    <n v="2"/>
    <n v="4"/>
    <n v="2026"/>
    <n v="5"/>
    <s v="No"/>
    <x v="3"/>
    <s v="India"/>
    <x v="1"/>
    <s v="StayNest Grand"/>
    <x v="8"/>
    <s v="Business"/>
    <n v="110"/>
    <x v="2"/>
    <s v="Corporate Rate"/>
    <d v="2026-06-24T00:00:00"/>
    <s v="No"/>
    <s v="No"/>
    <s v="Shoulder"/>
    <x v="1"/>
    <n v="0"/>
    <s v="31–90 days"/>
  </r>
  <r>
    <s v="B001235"/>
    <s v="G00249"/>
    <s v="H003"/>
    <s v="CH02"/>
    <d v="2025-01-29T00:00:00"/>
    <d v="2025-05-09T00:00:00"/>
    <x v="2"/>
    <n v="3824"/>
    <x v="0"/>
    <b v="0"/>
    <x v="0"/>
    <x v="9"/>
    <n v="2025"/>
    <n v="4"/>
    <n v="1"/>
    <n v="2025"/>
    <n v="2"/>
    <s v="No"/>
    <x v="1"/>
    <s v="Germany"/>
    <x v="0"/>
    <s v="StayNest Hills"/>
    <x v="5"/>
    <s v="Resort"/>
    <n v="80"/>
    <x v="3"/>
    <s v="App Push"/>
    <d v="2025-05-09T00:00:00"/>
    <s v="No"/>
    <s v="No"/>
    <s v="Peak"/>
    <x v="1"/>
    <n v="0"/>
    <s v="91–180 days"/>
  </r>
  <r>
    <s v="B001236"/>
    <s v="G00178"/>
    <s v="H001"/>
    <s v="CH01"/>
    <d v="2025-09-29T00:00:00"/>
    <d v="2025-11-28T00:00:00"/>
    <x v="1"/>
    <n v="7062"/>
    <x v="0"/>
    <b v="0"/>
    <x v="1"/>
    <x v="4"/>
    <n v="2025"/>
    <n v="4"/>
    <n v="9"/>
    <n v="2025"/>
    <n v="0"/>
    <s v="No"/>
    <x v="0"/>
    <s v="India"/>
    <x v="1"/>
    <s v="StayNest Marina"/>
    <x v="1"/>
    <s v="Business"/>
    <n v="120"/>
    <x v="5"/>
    <s v="Direct"/>
    <d v="2025-11-28T00:00:00"/>
    <s v="No"/>
    <s v="No"/>
    <s v="Off-Peak"/>
    <x v="1"/>
    <n v="0"/>
    <s v="31–90 days"/>
  </r>
  <r>
    <s v="B001237"/>
    <s v="G00216"/>
    <s v="H012"/>
    <s v="CH06"/>
    <d v="2026-01-17T00:00:00"/>
    <d v="2026-02-16T00:00:00"/>
    <x v="3"/>
    <n v="9730"/>
    <x v="2"/>
    <b v="0"/>
    <x v="2"/>
    <x v="0"/>
    <n v="2026"/>
    <n v="0"/>
    <n v="1"/>
    <n v="2026"/>
    <n v="5"/>
    <s v="No"/>
    <x v="3"/>
    <s v="Singapore"/>
    <x v="0"/>
    <s v="StayNest Valley"/>
    <x v="4"/>
    <s v="Resort"/>
    <n v="65"/>
    <x v="0"/>
    <s v="Retention"/>
    <d v="2026-02-16T00:00:00"/>
    <s v="No"/>
    <s v="No"/>
    <s v="Shoulder"/>
    <x v="1"/>
    <n v="0"/>
    <s v="8–30 days"/>
  </r>
  <r>
    <s v="B001238"/>
    <s v="G00042"/>
    <s v="H004"/>
    <s v="CH01"/>
    <d v="2025-10-12T00:00:00"/>
    <d v="2026-05-20T00:00:00"/>
    <x v="0"/>
    <n v="3835"/>
    <x v="0"/>
    <b v="0"/>
    <x v="8"/>
    <x v="9"/>
    <n v="2026"/>
    <n v="2"/>
    <n v="10"/>
    <n v="2025"/>
    <n v="6"/>
    <s v="No"/>
    <x v="3"/>
    <s v="India"/>
    <x v="0"/>
    <s v="StayNest Lakeview"/>
    <x v="2"/>
    <s v="Resort"/>
    <n v="75"/>
    <x v="5"/>
    <s v="Direct"/>
    <d v="2026-05-20T00:00:00"/>
    <s v="No"/>
    <s v="No"/>
    <s v="Peak"/>
    <x v="1"/>
    <n v="0"/>
    <s v="181+ days"/>
  </r>
  <r>
    <s v="B001239"/>
    <s v="G00356"/>
    <s v="H003"/>
    <s v="CH02"/>
    <d v="2026-08-08T00:00:00"/>
    <d v="2026-11-16T00:00:00"/>
    <x v="2"/>
    <n v="3795"/>
    <x v="3"/>
    <b v="0"/>
    <x v="0"/>
    <x v="4"/>
    <n v="2026"/>
    <n v="0"/>
    <n v="8"/>
    <n v="2026"/>
    <n v="5"/>
    <s v="No"/>
    <x v="1"/>
    <s v="India"/>
    <x v="0"/>
    <s v="StayNest Hills"/>
    <x v="5"/>
    <s v="Resort"/>
    <n v="80"/>
    <x v="3"/>
    <s v="App Push"/>
    <d v="2026-11-16T00:00:00"/>
    <s v="No"/>
    <s v="No"/>
    <s v="Off-Peak"/>
    <x v="1"/>
    <n v="0"/>
    <s v="91–180 days"/>
  </r>
  <r>
    <s v="B001240"/>
    <s v="G00357"/>
    <s v="H011"/>
    <s v="CH01"/>
    <d v="2025-04-05T00:00:00"/>
    <d v="2025-04-12T00:00:00"/>
    <x v="1"/>
    <n v="5232"/>
    <x v="0"/>
    <b v="0"/>
    <x v="4"/>
    <x v="2"/>
    <n v="2025"/>
    <n v="5"/>
    <n v="4"/>
    <n v="2025"/>
    <n v="5"/>
    <s v="Yes"/>
    <x v="1"/>
    <s v="Unknown"/>
    <x v="0"/>
    <s v="StayNest Grand"/>
    <x v="8"/>
    <s v="Business"/>
    <n v="110"/>
    <x v="5"/>
    <s v="Direct"/>
    <d v="2025-04-12T00:00:00"/>
    <s v="Yes"/>
    <s v="No"/>
    <s v="Peak"/>
    <x v="1"/>
    <n v="0"/>
    <s v="0–7 days"/>
  </r>
  <r>
    <s v="B001241"/>
    <s v="G00426"/>
    <s v="H008"/>
    <s v="CH01"/>
    <d v="2025-08-04T00:00:00"/>
    <d v="2025-10-03T00:00:00"/>
    <x v="1"/>
    <n v="6629"/>
    <x v="0"/>
    <b v="0"/>
    <x v="1"/>
    <x v="11"/>
    <n v="2025"/>
    <n v="4"/>
    <n v="8"/>
    <n v="2025"/>
    <n v="0"/>
    <s v="No"/>
    <x v="3"/>
    <s v="India"/>
    <x v="0"/>
    <s v="StayNest Palace"/>
    <x v="7"/>
    <s v="Heritage"/>
    <n v="85"/>
    <x v="5"/>
    <s v="Direct"/>
    <d v="2025-10-03T00:00:00"/>
    <s v="No"/>
    <s v="No"/>
    <s v="Shoulder"/>
    <x v="1"/>
    <n v="0"/>
    <s v="31–90 days"/>
  </r>
  <r>
    <s v="B001242"/>
    <s v="G00213"/>
    <s v="H003"/>
    <s v="CH01"/>
    <d v="2026-04-17T00:00:00"/>
    <d v="2026-05-01T00:00:00"/>
    <x v="0"/>
    <n v="5981"/>
    <x v="0"/>
    <b v="0"/>
    <x v="3"/>
    <x v="9"/>
    <n v="2026"/>
    <n v="4"/>
    <n v="4"/>
    <n v="2026"/>
    <n v="4"/>
    <s v="No"/>
    <x v="1"/>
    <s v="India"/>
    <x v="0"/>
    <s v="StayNest Hills"/>
    <x v="5"/>
    <s v="Resort"/>
    <n v="80"/>
    <x v="5"/>
    <s v="Direct"/>
    <d v="2026-05-01T00:00:00"/>
    <s v="No"/>
    <s v="No"/>
    <s v="Peak"/>
    <x v="1"/>
    <n v="0"/>
    <s v="8–30 days"/>
  </r>
  <r>
    <s v="B001243"/>
    <s v="G00186"/>
    <s v="H001"/>
    <s v="CH01"/>
    <d v="2026-09-25T00:00:00"/>
    <d v="2026-11-24T00:00:00"/>
    <x v="1"/>
    <n v="8041"/>
    <x v="2"/>
    <b v="0"/>
    <x v="1"/>
    <x v="4"/>
    <n v="2026"/>
    <n v="1"/>
    <n v="9"/>
    <n v="2026"/>
    <n v="4"/>
    <s v="No"/>
    <x v="3"/>
    <s v="Unknown"/>
    <x v="0"/>
    <s v="StayNest Marina"/>
    <x v="1"/>
    <s v="Business"/>
    <n v="120"/>
    <x v="5"/>
    <s v="Direct"/>
    <d v="2026-11-24T00:00:00"/>
    <s v="No"/>
    <s v="No"/>
    <s v="Off-Peak"/>
    <x v="1"/>
    <n v="0"/>
    <s v="31–90 days"/>
  </r>
  <r>
    <s v="B001244"/>
    <s v="G00203"/>
    <s v="H010"/>
    <s v="CH06"/>
    <d v="2025-08-08T00:00:00"/>
    <d v="2025-08-09T00:00:00"/>
    <x v="0"/>
    <n v="24405"/>
    <x v="2"/>
    <b v="0"/>
    <x v="7"/>
    <x v="7"/>
    <n v="2025"/>
    <n v="5"/>
    <n v="8"/>
    <n v="2025"/>
    <n v="4"/>
    <s v="Yes"/>
    <x v="3"/>
    <s v="United Kingdom"/>
    <x v="1"/>
    <s v="StayNest Garden"/>
    <x v="10"/>
    <s v="Boutique"/>
    <n v="70"/>
    <x v="0"/>
    <s v="Retention"/>
    <d v="2025-08-09T00:00:00"/>
    <s v="Yes"/>
    <s v="No"/>
    <s v="Off-Peak"/>
    <x v="1"/>
    <n v="0"/>
    <s v="0–7 days"/>
  </r>
  <r>
    <s v="B001245"/>
    <s v="G00309"/>
    <s v="H009"/>
    <s v="CH01"/>
    <d v="2025-06-03T00:00:00"/>
    <d v="2025-08-02T00:00:00"/>
    <x v="3"/>
    <n v="8830"/>
    <x v="0"/>
    <b v="0"/>
    <x v="1"/>
    <x v="7"/>
    <n v="2025"/>
    <n v="5"/>
    <n v="6"/>
    <n v="2025"/>
    <n v="1"/>
    <s v="Yes"/>
    <x v="0"/>
    <s v="India"/>
    <x v="0"/>
    <s v="StayNest Airport"/>
    <x v="9"/>
    <s v="Business"/>
    <n v="160"/>
    <x v="5"/>
    <s v="Direct"/>
    <d v="2025-08-02T00:00:00"/>
    <s v="Yes"/>
    <s v="No"/>
    <s v="Off-Peak"/>
    <x v="1"/>
    <n v="0"/>
    <s v="31–90 days"/>
  </r>
  <r>
    <s v="B001246"/>
    <s v="G00144"/>
    <s v="H006"/>
    <s v="CH01"/>
    <d v="2026-08-14T00:00:00"/>
    <d v="2026-09-13T00:00:00"/>
    <x v="0"/>
    <n v="4674"/>
    <x v="0"/>
    <b v="0"/>
    <x v="2"/>
    <x v="10"/>
    <n v="2026"/>
    <n v="6"/>
    <n v="8"/>
    <n v="2026"/>
    <n v="4"/>
    <s v="Yes"/>
    <x v="0"/>
    <s v="India"/>
    <x v="0"/>
    <s v="StayNest Beach"/>
    <x v="3"/>
    <s v="Resort"/>
    <n v="100"/>
    <x v="5"/>
    <s v="Direct"/>
    <d v="2026-09-13T00:00:00"/>
    <s v="Yes"/>
    <s v="No"/>
    <s v="Shoulder"/>
    <x v="1"/>
    <n v="0"/>
    <s v="8–30 days"/>
  </r>
  <r>
    <s v="B001247"/>
    <s v="G00376"/>
    <s v="H006"/>
    <s v="CH06"/>
    <d v="2026-01-25T00:00:00"/>
    <d v="2026-05-05T00:00:00"/>
    <x v="2"/>
    <n v="3849"/>
    <x v="1"/>
    <b v="0"/>
    <x v="0"/>
    <x v="9"/>
    <n v="2026"/>
    <n v="1"/>
    <n v="1"/>
    <n v="2026"/>
    <n v="6"/>
    <s v="No"/>
    <x v="1"/>
    <s v="UAE"/>
    <x v="0"/>
    <s v="StayNest Beach"/>
    <x v="3"/>
    <s v="Resort"/>
    <n v="100"/>
    <x v="0"/>
    <s v="Retention"/>
    <d v="2026-05-05T00:00:00"/>
    <s v="No"/>
    <s v="No"/>
    <s v="Peak"/>
    <x v="1"/>
    <n v="1"/>
    <s v="91–180 days"/>
  </r>
  <r>
    <s v="B001248"/>
    <s v="G00598"/>
    <s v="H008"/>
    <s v="CH01"/>
    <d v="2025-04-10T00:00:00"/>
    <d v="2025-04-17T00:00:00"/>
    <x v="1"/>
    <n v="6736"/>
    <x v="0"/>
    <b v="0"/>
    <x v="4"/>
    <x v="2"/>
    <n v="2025"/>
    <n v="3"/>
    <n v="4"/>
    <n v="2025"/>
    <n v="3"/>
    <s v="No"/>
    <x v="1"/>
    <s v="India"/>
    <x v="0"/>
    <s v="StayNest Palace"/>
    <x v="7"/>
    <s v="Heritage"/>
    <n v="85"/>
    <x v="5"/>
    <s v="Direct"/>
    <d v="2025-04-17T00:00:00"/>
    <s v="No"/>
    <s v="No"/>
    <s v="Peak"/>
    <x v="1"/>
    <n v="0"/>
    <s v="0–7 days"/>
  </r>
  <r>
    <s v="B001249"/>
    <s v="G00397"/>
    <s v="H005"/>
    <s v="CH02"/>
    <d v="2025-08-06T00:00:00"/>
    <d v="2025-11-14T00:00:00"/>
    <x v="3"/>
    <n v="6710"/>
    <x v="0"/>
    <b v="0"/>
    <x v="0"/>
    <x v="4"/>
    <n v="2025"/>
    <n v="4"/>
    <n v="8"/>
    <n v="2025"/>
    <n v="2"/>
    <s v="No"/>
    <x v="3"/>
    <s v="India"/>
    <x v="0"/>
    <s v="StayNest Heritage"/>
    <x v="11"/>
    <s v="Heritage"/>
    <n v="90"/>
    <x v="3"/>
    <s v="App Push"/>
    <d v="2025-11-14T00:00:00"/>
    <s v="No"/>
    <s v="No"/>
    <s v="Off-Peak"/>
    <x v="1"/>
    <n v="0"/>
    <s v="91–180 days"/>
  </r>
  <r>
    <s v="B001250"/>
    <s v="G00371"/>
    <s v="H010"/>
    <s v="CH02"/>
    <d v="2026-05-06T00:00:00"/>
    <d v="2026-05-13T00:00:00"/>
    <x v="1"/>
    <n v="7537"/>
    <x v="3"/>
    <b v="0"/>
    <x v="4"/>
    <x v="9"/>
    <n v="2026"/>
    <n v="2"/>
    <n v="5"/>
    <n v="2026"/>
    <n v="2"/>
    <s v="No"/>
    <x v="3"/>
    <s v="India"/>
    <x v="0"/>
    <s v="StayNest Garden"/>
    <x v="10"/>
    <s v="Boutique"/>
    <n v="70"/>
    <x v="3"/>
    <s v="App Push"/>
    <d v="2026-05-13T00:00:00"/>
    <s v="No"/>
    <s v="No"/>
    <s v="Peak"/>
    <x v="1"/>
    <n v="0"/>
    <s v="0–7 days"/>
  </r>
  <r>
    <s v="B001251"/>
    <s v="G00442"/>
    <s v="H007"/>
    <s v="CH05"/>
    <d v="2025-01-23T00:00:00"/>
    <d v="2025-02-06T00:00:00"/>
    <x v="0"/>
    <n v="4652"/>
    <x v="0"/>
    <b v="0"/>
    <x v="3"/>
    <x v="0"/>
    <n v="2025"/>
    <n v="3"/>
    <n v="1"/>
    <n v="2025"/>
    <n v="3"/>
    <s v="No"/>
    <x v="1"/>
    <s v="United Kingdom"/>
    <x v="1"/>
    <s v="StayNest Tech Park"/>
    <x v="6"/>
    <s v="Business"/>
    <n v="140"/>
    <x v="2"/>
    <s v="Corporate Rate"/>
    <d v="2025-02-06T00:00:00"/>
    <s v="No"/>
    <s v="No"/>
    <s v="Shoulder"/>
    <x v="1"/>
    <n v="0"/>
    <s v="8–30 days"/>
  </r>
  <r>
    <s v="B001252"/>
    <s v="G00163"/>
    <s v="H011"/>
    <s v="CH06"/>
    <d v="2026-10-20T00:00:00"/>
    <d v="2026-10-21T00:00:00"/>
    <x v="3"/>
    <n v="7521"/>
    <x v="0"/>
    <b v="0"/>
    <x v="7"/>
    <x v="11"/>
    <n v="2026"/>
    <n v="2"/>
    <n v="10"/>
    <n v="2026"/>
    <n v="1"/>
    <s v="No"/>
    <x v="3"/>
    <s v="United States"/>
    <x v="0"/>
    <s v="StayNest Grand"/>
    <x v="8"/>
    <s v="Business"/>
    <n v="110"/>
    <x v="0"/>
    <s v="Retention"/>
    <d v="2026-10-21T00:00:00"/>
    <s v="No"/>
    <s v="No"/>
    <s v="Shoulder"/>
    <x v="1"/>
    <n v="0"/>
    <s v="0–7 days"/>
  </r>
  <r>
    <s v="B001253"/>
    <s v="G00509"/>
    <s v="H010"/>
    <s v="CH06"/>
    <d v="2026-04-08T00:00:00"/>
    <d v="2026-04-22T00:00:00"/>
    <x v="3"/>
    <n v="10127"/>
    <x v="0"/>
    <b v="0"/>
    <x v="3"/>
    <x v="2"/>
    <n v="2026"/>
    <n v="2"/>
    <n v="4"/>
    <n v="2026"/>
    <n v="2"/>
    <s v="No"/>
    <x v="3"/>
    <s v="India"/>
    <x v="1"/>
    <s v="StayNest Garden"/>
    <x v="10"/>
    <s v="Boutique"/>
    <n v="70"/>
    <x v="0"/>
    <s v="Retention"/>
    <d v="2026-04-22T00:00:00"/>
    <s v="No"/>
    <s v="No"/>
    <s v="Peak"/>
    <x v="1"/>
    <n v="0"/>
    <s v="8–30 days"/>
  </r>
  <r>
    <s v="B001254"/>
    <s v="G00436"/>
    <s v="H003"/>
    <s v="CH02"/>
    <d v="2025-09-15T00:00:00"/>
    <d v="2025-09-29T00:00:00"/>
    <x v="2"/>
    <n v="18088"/>
    <x v="2"/>
    <b v="1"/>
    <x v="3"/>
    <x v="10"/>
    <n v="2025"/>
    <n v="0"/>
    <n v="9"/>
    <n v="2025"/>
    <n v="0"/>
    <s v="No"/>
    <x v="3"/>
    <s v="India"/>
    <x v="0"/>
    <s v="StayNest Hills"/>
    <x v="5"/>
    <s v="Resort"/>
    <n v="80"/>
    <x v="3"/>
    <s v="App Push"/>
    <d v="2025-09-29T00:00:00"/>
    <s v="No"/>
    <s v="No"/>
    <s v="Shoulder"/>
    <x v="1"/>
    <n v="0"/>
    <s v="8–30 days"/>
  </r>
  <r>
    <s v="B001255"/>
    <s v="G00527"/>
    <s v="H002"/>
    <s v="CH01"/>
    <d v="2025-08-01T00:00:00"/>
    <d v="2025-08-02T00:00:00"/>
    <x v="1"/>
    <n v="6632"/>
    <x v="0"/>
    <b v="0"/>
    <x v="7"/>
    <x v="7"/>
    <n v="2025"/>
    <n v="5"/>
    <n v="8"/>
    <n v="2025"/>
    <n v="4"/>
    <s v="Yes"/>
    <x v="1"/>
    <s v="Germany"/>
    <x v="0"/>
    <s v="StayNest Central"/>
    <x v="0"/>
    <s v="Business"/>
    <n v="150"/>
    <x v="5"/>
    <s v="Direct"/>
    <d v="2025-08-02T00:00:00"/>
    <s v="Yes"/>
    <s v="No"/>
    <s v="Off-Peak"/>
    <x v="1"/>
    <n v="0"/>
    <s v="0–7 days"/>
  </r>
  <r>
    <s v="B001256"/>
    <s v="G00434"/>
    <s v="H009"/>
    <s v="CH01"/>
    <d v="2026-07-12T00:00:00"/>
    <d v="2026-07-13T00:00:00"/>
    <x v="2"/>
    <n v="3117"/>
    <x v="3"/>
    <b v="0"/>
    <x v="7"/>
    <x v="8"/>
    <n v="2026"/>
    <n v="0"/>
    <n v="7"/>
    <n v="2026"/>
    <n v="6"/>
    <s v="No"/>
    <x v="0"/>
    <s v="United Kingdom"/>
    <x v="0"/>
    <s v="StayNest Airport"/>
    <x v="9"/>
    <s v="Business"/>
    <n v="160"/>
    <x v="5"/>
    <s v="Direct"/>
    <d v="2026-07-13T00:00:00"/>
    <s v="No"/>
    <s v="No"/>
    <s v="Off-Peak"/>
    <x v="1"/>
    <n v="0"/>
    <s v="0–7 days"/>
  </r>
  <r>
    <s v="B001257"/>
    <s v="G00063"/>
    <s v="H008"/>
    <s v="CH01"/>
    <d v="2025-07-20T00:00:00"/>
    <d v="2025-08-19T00:00:00"/>
    <x v="1"/>
    <n v="6892"/>
    <x v="3"/>
    <b v="0"/>
    <x v="2"/>
    <x v="7"/>
    <n v="2025"/>
    <n v="1"/>
    <n v="7"/>
    <n v="2025"/>
    <n v="6"/>
    <s v="No"/>
    <x v="2"/>
    <s v="India"/>
    <x v="1"/>
    <s v="StayNest Palace"/>
    <x v="7"/>
    <s v="Heritage"/>
    <n v="85"/>
    <x v="5"/>
    <s v="Direct"/>
    <d v="2025-08-19T00:00:00"/>
    <s v="No"/>
    <s v="No"/>
    <s v="Off-Peak"/>
    <x v="1"/>
    <n v="0"/>
    <s v="8–30 days"/>
  </r>
  <r>
    <s v="B001258"/>
    <s v="G00295"/>
    <s v="H006"/>
    <s v="CH05"/>
    <d v="2025-10-10T00:00:00"/>
    <d v="2025-11-09T00:00:00"/>
    <x v="0"/>
    <n v="3967"/>
    <x v="0"/>
    <b v="0"/>
    <x v="2"/>
    <x v="4"/>
    <n v="2025"/>
    <n v="6"/>
    <n v="10"/>
    <n v="2025"/>
    <n v="4"/>
    <s v="Yes"/>
    <x v="1"/>
    <s v="United Kingdom"/>
    <x v="0"/>
    <s v="StayNest Beach"/>
    <x v="3"/>
    <s v="Resort"/>
    <n v="100"/>
    <x v="2"/>
    <s v="Corporate Rate"/>
    <d v="2025-11-09T00:00:00"/>
    <s v="Yes"/>
    <s v="No"/>
    <s v="Off-Peak"/>
    <x v="1"/>
    <n v="0"/>
    <s v="8–30 days"/>
  </r>
  <r>
    <s v="B001259"/>
    <s v="G00541"/>
    <s v="H011"/>
    <s v="CH03"/>
    <d v="2026-04-03T00:00:00"/>
    <d v="2026-04-17T00:00:00"/>
    <x v="1"/>
    <n v="5837"/>
    <x v="1"/>
    <b v="0"/>
    <x v="3"/>
    <x v="2"/>
    <n v="2026"/>
    <n v="4"/>
    <n v="4"/>
    <n v="2026"/>
    <n v="4"/>
    <s v="No"/>
    <x v="3"/>
    <s v="United Kingdom"/>
    <x v="0"/>
    <s v="StayNest Grand"/>
    <x v="8"/>
    <s v="Business"/>
    <n v="110"/>
    <x v="1"/>
    <s v="OTA Promo"/>
    <d v="2026-04-17T00:00:00"/>
    <s v="No"/>
    <s v="No"/>
    <s v="Peak"/>
    <x v="1"/>
    <n v="1"/>
    <s v="8–30 days"/>
  </r>
  <r>
    <s v="B001260"/>
    <s v="G00204"/>
    <s v="H011"/>
    <s v="CH02"/>
    <d v="2026-09-14T00:00:00"/>
    <d v="2026-09-28T00:00:00"/>
    <x v="1"/>
    <n v="6789"/>
    <x v="1"/>
    <b v="0"/>
    <x v="3"/>
    <x v="10"/>
    <n v="2026"/>
    <n v="0"/>
    <n v="9"/>
    <n v="2026"/>
    <n v="0"/>
    <s v="No"/>
    <x v="1"/>
    <s v="United States"/>
    <x v="0"/>
    <s v="StayNest Grand"/>
    <x v="8"/>
    <s v="Business"/>
    <n v="110"/>
    <x v="3"/>
    <s v="App Push"/>
    <d v="2026-09-28T00:00:00"/>
    <s v="No"/>
    <s v="No"/>
    <s v="Shoulder"/>
    <x v="1"/>
    <n v="1"/>
    <s v="8–30 days"/>
  </r>
  <r>
    <s v="B001261"/>
    <s v="G00600"/>
    <s v="H002"/>
    <s v="CH05"/>
    <d v="2025-09-04T00:00:00"/>
    <d v="2025-12-13T00:00:00"/>
    <x v="1"/>
    <n v="6650"/>
    <x v="1"/>
    <b v="0"/>
    <x v="0"/>
    <x v="5"/>
    <n v="2025"/>
    <n v="5"/>
    <n v="9"/>
    <n v="2025"/>
    <n v="3"/>
    <s v="Yes"/>
    <x v="3"/>
    <s v="India"/>
    <x v="0"/>
    <s v="StayNest Central"/>
    <x v="0"/>
    <s v="Business"/>
    <n v="150"/>
    <x v="2"/>
    <s v="Corporate Rate"/>
    <d v="2025-12-13T00:00:00"/>
    <s v="Yes"/>
    <s v="No"/>
    <s v="Peak"/>
    <x v="1"/>
    <n v="1"/>
    <s v="91–180 days"/>
  </r>
  <r>
    <s v="B001262"/>
    <s v="G00339"/>
    <s v="H011"/>
    <s v="CH05"/>
    <d v="2025-01-26T00:00:00"/>
    <d v="2025-03-27T00:00:00"/>
    <x v="2"/>
    <n v="3115"/>
    <x v="0"/>
    <b v="0"/>
    <x v="1"/>
    <x v="3"/>
    <n v="2025"/>
    <n v="3"/>
    <n v="1"/>
    <n v="2025"/>
    <n v="6"/>
    <s v="No"/>
    <x v="0"/>
    <s v="India"/>
    <x v="1"/>
    <s v="StayNest Grand"/>
    <x v="8"/>
    <s v="Business"/>
    <n v="110"/>
    <x v="2"/>
    <s v="Corporate Rate"/>
    <d v="2025-03-27T00:00:00"/>
    <s v="No"/>
    <s v="No"/>
    <s v="Shoulder"/>
    <x v="1"/>
    <n v="0"/>
    <s v="31–90 days"/>
  </r>
  <r>
    <s v="B001263"/>
    <s v="G00269"/>
    <s v="H010"/>
    <s v="CH02"/>
    <d v="2026-07-11T00:00:00"/>
    <d v="2026-09-09T00:00:00"/>
    <x v="2"/>
    <n v="3750"/>
    <x v="2"/>
    <b v="0"/>
    <x v="1"/>
    <x v="10"/>
    <n v="2026"/>
    <n v="2"/>
    <n v="7"/>
    <n v="2026"/>
    <n v="5"/>
    <s v="No"/>
    <x v="3"/>
    <s v="India"/>
    <x v="0"/>
    <s v="StayNest Garden"/>
    <x v="10"/>
    <s v="Boutique"/>
    <n v="70"/>
    <x v="3"/>
    <s v="App Push"/>
    <d v="2026-09-09T00:00:00"/>
    <s v="No"/>
    <s v="No"/>
    <s v="Shoulder"/>
    <x v="1"/>
    <n v="0"/>
    <s v="31–90 days"/>
  </r>
  <r>
    <s v="B001264"/>
    <s v="G00325"/>
    <s v="H003"/>
    <s v="CH01"/>
    <d v="2025-09-19T00:00:00"/>
    <d v="2025-10-19T00:00:00"/>
    <x v="2"/>
    <n v="2809"/>
    <x v="0"/>
    <b v="0"/>
    <x v="2"/>
    <x v="11"/>
    <n v="2025"/>
    <n v="6"/>
    <n v="9"/>
    <n v="2025"/>
    <n v="4"/>
    <s v="Yes"/>
    <x v="0"/>
    <s v="UAE"/>
    <x v="0"/>
    <s v="StayNest Hills"/>
    <x v="5"/>
    <s v="Resort"/>
    <n v="80"/>
    <x v="5"/>
    <s v="Direct"/>
    <d v="2025-10-19T00:00:00"/>
    <s v="Yes"/>
    <s v="No"/>
    <s v="Shoulder"/>
    <x v="1"/>
    <n v="0"/>
    <s v="8–30 days"/>
  </r>
  <r>
    <s v="B001265"/>
    <s v="G00505"/>
    <s v="H011"/>
    <s v="CH02"/>
    <d v="2026-10-26T00:00:00"/>
    <d v="2026-10-27T00:00:00"/>
    <x v="1"/>
    <n v="6565"/>
    <x v="0"/>
    <b v="0"/>
    <x v="7"/>
    <x v="11"/>
    <n v="2026"/>
    <n v="1"/>
    <n v="10"/>
    <n v="2026"/>
    <n v="0"/>
    <s v="No"/>
    <x v="0"/>
    <s v="Germany"/>
    <x v="0"/>
    <s v="StayNest Grand"/>
    <x v="8"/>
    <s v="Business"/>
    <n v="110"/>
    <x v="3"/>
    <s v="App Push"/>
    <d v="2026-10-27T00:00:00"/>
    <s v="No"/>
    <s v="No"/>
    <s v="Shoulder"/>
    <x v="1"/>
    <n v="0"/>
    <s v="0–7 days"/>
  </r>
  <r>
    <s v="B001266"/>
    <s v="G00392"/>
    <s v="H002"/>
    <s v="CH02"/>
    <d v="2025-08-10T00:00:00"/>
    <d v="2025-08-24T00:00:00"/>
    <x v="2"/>
    <n v="3182"/>
    <x v="0"/>
    <b v="0"/>
    <x v="3"/>
    <x v="7"/>
    <n v="2025"/>
    <n v="6"/>
    <n v="8"/>
    <n v="2025"/>
    <n v="6"/>
    <s v="Yes"/>
    <x v="1"/>
    <s v="Unknown"/>
    <x v="0"/>
    <s v="StayNest Central"/>
    <x v="0"/>
    <s v="Business"/>
    <n v="150"/>
    <x v="3"/>
    <s v="App Push"/>
    <d v="2025-08-24T00:00:00"/>
    <s v="Yes"/>
    <s v="No"/>
    <s v="Off-Peak"/>
    <x v="1"/>
    <n v="0"/>
    <s v="8–30 days"/>
  </r>
  <r>
    <s v="B001267"/>
    <s v="G00188"/>
    <s v="H004"/>
    <s v="CH06"/>
    <d v="2026-06-12T00:00:00"/>
    <d v="2026-07-12T00:00:00"/>
    <x v="3"/>
    <n v="11501"/>
    <x v="1"/>
    <b v="0"/>
    <x v="2"/>
    <x v="8"/>
    <n v="2026"/>
    <n v="6"/>
    <n v="6"/>
    <n v="2026"/>
    <n v="4"/>
    <s v="Yes"/>
    <x v="1"/>
    <s v="India"/>
    <x v="0"/>
    <s v="StayNest Lakeview"/>
    <x v="2"/>
    <s v="Resort"/>
    <n v="75"/>
    <x v="0"/>
    <s v="Retention"/>
    <d v="2026-07-12T00:00:00"/>
    <s v="Yes"/>
    <s v="No"/>
    <s v="Off-Peak"/>
    <x v="1"/>
    <n v="1"/>
    <s v="8–30 days"/>
  </r>
  <r>
    <s v="B001268"/>
    <s v="G00271"/>
    <s v="H003"/>
    <s v="CH04"/>
    <d v="2026-11-08T00:00:00"/>
    <d v="2026-11-11T00:00:00"/>
    <x v="0"/>
    <n v="5611"/>
    <x v="0"/>
    <b v="0"/>
    <x v="6"/>
    <x v="4"/>
    <n v="2026"/>
    <n v="2"/>
    <n v="11"/>
    <n v="2026"/>
    <n v="6"/>
    <s v="No"/>
    <x v="3"/>
    <s v="India"/>
    <x v="1"/>
    <s v="StayNest Hills"/>
    <x v="5"/>
    <s v="Resort"/>
    <n v="80"/>
    <x v="4"/>
    <s v="Partner"/>
    <d v="2026-11-11T00:00:00"/>
    <s v="No"/>
    <s v="No"/>
    <s v="Off-Peak"/>
    <x v="1"/>
    <n v="0"/>
    <s v="0–7 days"/>
  </r>
  <r>
    <s v="B001269"/>
    <s v="G00421"/>
    <s v="H001"/>
    <s v="CH02"/>
    <d v="2026-11-08T00:00:00"/>
    <d v="2026-12-08T00:00:00"/>
    <x v="2"/>
    <n v="2394"/>
    <x v="0"/>
    <b v="0"/>
    <x v="2"/>
    <x v="5"/>
    <n v="2026"/>
    <n v="1"/>
    <n v="11"/>
    <n v="2026"/>
    <n v="6"/>
    <s v="No"/>
    <x v="1"/>
    <s v="India"/>
    <x v="1"/>
    <s v="StayNest Marina"/>
    <x v="1"/>
    <s v="Business"/>
    <n v="120"/>
    <x v="3"/>
    <s v="App Push"/>
    <d v="2026-12-08T00:00:00"/>
    <s v="No"/>
    <s v="No"/>
    <s v="Peak"/>
    <x v="1"/>
    <n v="0"/>
    <s v="8–30 days"/>
  </r>
  <r>
    <s v="B001270"/>
    <s v="G00526"/>
    <s v="H010"/>
    <s v="CH05"/>
    <d v="2026-08-22T00:00:00"/>
    <d v="2026-09-05T00:00:00"/>
    <x v="0"/>
    <n v="5320"/>
    <x v="0"/>
    <b v="0"/>
    <x v="3"/>
    <x v="10"/>
    <n v="2026"/>
    <n v="5"/>
    <n v="8"/>
    <n v="2026"/>
    <n v="5"/>
    <s v="Yes"/>
    <x v="2"/>
    <s v="United Kingdom"/>
    <x v="0"/>
    <s v="StayNest Garden"/>
    <x v="10"/>
    <s v="Boutique"/>
    <n v="70"/>
    <x v="2"/>
    <s v="Corporate Rate"/>
    <d v="2026-09-05T00:00:00"/>
    <s v="Yes"/>
    <s v="No"/>
    <s v="Shoulder"/>
    <x v="1"/>
    <n v="0"/>
    <s v="8–30 days"/>
  </r>
  <r>
    <s v="B001271"/>
    <s v="G00297"/>
    <s v="H011"/>
    <s v="CH05"/>
    <d v="2025-02-01T00:00:00"/>
    <d v="2025-05-12T00:00:00"/>
    <x v="2"/>
    <n v="4100"/>
    <x v="1"/>
    <b v="0"/>
    <x v="0"/>
    <x v="9"/>
    <n v="2025"/>
    <n v="0"/>
    <n v="2"/>
    <n v="2025"/>
    <n v="5"/>
    <s v="No"/>
    <x v="1"/>
    <s v="Unknown"/>
    <x v="0"/>
    <s v="StayNest Grand"/>
    <x v="8"/>
    <s v="Business"/>
    <n v="110"/>
    <x v="2"/>
    <s v="Corporate Rate"/>
    <d v="2025-05-12T00:00:00"/>
    <s v="No"/>
    <s v="No"/>
    <s v="Peak"/>
    <x v="1"/>
    <n v="1"/>
    <s v="91–180 days"/>
  </r>
  <r>
    <s v="B001272"/>
    <s v="G00124"/>
    <s v="H008"/>
    <s v="CH03"/>
    <d v="2026-06-19T00:00:00"/>
    <d v="2026-07-19T00:00:00"/>
    <x v="0"/>
    <n v="5576"/>
    <x v="0"/>
    <b v="0"/>
    <x v="2"/>
    <x v="8"/>
    <n v="2026"/>
    <n v="6"/>
    <n v="6"/>
    <n v="2026"/>
    <n v="4"/>
    <s v="Yes"/>
    <x v="2"/>
    <s v="India"/>
    <x v="0"/>
    <s v="StayNest Palace"/>
    <x v="7"/>
    <s v="Heritage"/>
    <n v="85"/>
    <x v="1"/>
    <s v="OTA Promo"/>
    <d v="2026-07-19T00:00:00"/>
    <s v="Yes"/>
    <s v="No"/>
    <s v="Off-Peak"/>
    <x v="1"/>
    <n v="0"/>
    <s v="8–30 days"/>
  </r>
  <r>
    <s v="B001273"/>
    <s v="G00027"/>
    <s v="H005"/>
    <s v="CH05"/>
    <d v="2025-02-17T00:00:00"/>
    <d v="2025-03-03T00:00:00"/>
    <x v="3"/>
    <n v="7973"/>
    <x v="0"/>
    <b v="0"/>
    <x v="3"/>
    <x v="3"/>
    <n v="2025"/>
    <n v="0"/>
    <n v="2"/>
    <n v="2025"/>
    <n v="0"/>
    <s v="No"/>
    <x v="1"/>
    <s v="India"/>
    <x v="0"/>
    <s v="StayNest Heritage"/>
    <x v="11"/>
    <s v="Heritage"/>
    <n v="90"/>
    <x v="2"/>
    <s v="Corporate Rate"/>
    <d v="2025-03-03T00:00:00"/>
    <s v="No"/>
    <s v="No"/>
    <s v="Shoulder"/>
    <x v="1"/>
    <n v="0"/>
    <s v="8–30 days"/>
  </r>
  <r>
    <s v="B001274"/>
    <s v="G00413"/>
    <s v="H002"/>
    <s v="CH06"/>
    <d v="2026-11-16T00:00:00"/>
    <d v="2026-11-19T00:00:00"/>
    <x v="0"/>
    <n v="5546"/>
    <x v="0"/>
    <b v="0"/>
    <x v="6"/>
    <x v="4"/>
    <n v="2026"/>
    <n v="3"/>
    <n v="11"/>
    <n v="2026"/>
    <n v="0"/>
    <s v="No"/>
    <x v="1"/>
    <s v="India"/>
    <x v="0"/>
    <s v="StayNest Central"/>
    <x v="0"/>
    <s v="Business"/>
    <n v="150"/>
    <x v="0"/>
    <s v="Retention"/>
    <d v="2026-11-19T00:00:00"/>
    <s v="No"/>
    <s v="No"/>
    <s v="Off-Peak"/>
    <x v="1"/>
    <n v="0"/>
    <s v="0–7 days"/>
  </r>
  <r>
    <s v="B001275"/>
    <s v="G00517"/>
    <s v="H003"/>
    <s v="CH04"/>
    <d v="2026-02-06T00:00:00"/>
    <d v="2026-03-08T00:00:00"/>
    <x v="1"/>
    <n v="6452"/>
    <x v="1"/>
    <b v="0"/>
    <x v="2"/>
    <x v="3"/>
    <n v="2026"/>
    <n v="6"/>
    <n v="2"/>
    <n v="2026"/>
    <n v="4"/>
    <s v="Yes"/>
    <x v="2"/>
    <s v="India"/>
    <x v="0"/>
    <s v="StayNest Hills"/>
    <x v="5"/>
    <s v="Resort"/>
    <n v="80"/>
    <x v="4"/>
    <s v="Partner"/>
    <d v="2026-03-08T00:00:00"/>
    <s v="Yes"/>
    <s v="No"/>
    <s v="Shoulder"/>
    <x v="1"/>
    <n v="1"/>
    <s v="8–30 days"/>
  </r>
  <r>
    <s v="B001276"/>
    <s v="G00091"/>
    <s v="H010"/>
    <s v="CH04"/>
    <d v="2025-04-26T00:00:00"/>
    <d v="2025-05-10T00:00:00"/>
    <x v="2"/>
    <n v="4042"/>
    <x v="2"/>
    <b v="0"/>
    <x v="3"/>
    <x v="9"/>
    <n v="2025"/>
    <n v="5"/>
    <n v="4"/>
    <n v="2025"/>
    <n v="5"/>
    <s v="Yes"/>
    <x v="0"/>
    <s v="India"/>
    <x v="0"/>
    <s v="StayNest Garden"/>
    <x v="10"/>
    <s v="Boutique"/>
    <n v="70"/>
    <x v="4"/>
    <s v="Partner"/>
    <d v="2025-05-10T00:00:00"/>
    <s v="Yes"/>
    <s v="No"/>
    <s v="Peak"/>
    <x v="1"/>
    <n v="0"/>
    <s v="8–30 days"/>
  </r>
  <r>
    <s v="B001277"/>
    <s v="G00567"/>
    <s v="H009"/>
    <s v="CH02"/>
    <d v="2025-12-08T00:00:00"/>
    <d v="2026-02-06T00:00:00"/>
    <x v="3"/>
    <n v="11259"/>
    <x v="0"/>
    <b v="0"/>
    <x v="1"/>
    <x v="0"/>
    <n v="2026"/>
    <n v="4"/>
    <n v="12"/>
    <n v="2025"/>
    <n v="0"/>
    <s v="No"/>
    <x v="3"/>
    <s v="India"/>
    <x v="0"/>
    <s v="StayNest Airport"/>
    <x v="9"/>
    <s v="Business"/>
    <n v="160"/>
    <x v="3"/>
    <s v="App Push"/>
    <d v="2026-02-06T00:00:00"/>
    <s v="No"/>
    <s v="No"/>
    <s v="Shoulder"/>
    <x v="1"/>
    <n v="0"/>
    <s v="31–90 days"/>
  </r>
  <r>
    <s v="B001278"/>
    <s v="G00187"/>
    <s v="H005"/>
    <s v="CH06"/>
    <d v="2025-02-16T00:00:00"/>
    <d v="2025-05-27T00:00:00"/>
    <x v="1"/>
    <n v="6571"/>
    <x v="2"/>
    <b v="0"/>
    <x v="0"/>
    <x v="9"/>
    <n v="2025"/>
    <n v="1"/>
    <n v="2"/>
    <n v="2025"/>
    <n v="6"/>
    <s v="No"/>
    <x v="0"/>
    <s v="India"/>
    <x v="0"/>
    <s v="StayNest Heritage"/>
    <x v="11"/>
    <s v="Heritage"/>
    <n v="90"/>
    <x v="0"/>
    <s v="Retention"/>
    <d v="2025-05-27T00:00:00"/>
    <s v="No"/>
    <s v="No"/>
    <s v="Peak"/>
    <x v="1"/>
    <n v="0"/>
    <s v="91–180 days"/>
  </r>
  <r>
    <s v="B001279"/>
    <s v="G00440"/>
    <s v="H001"/>
    <s v="CH03"/>
    <d v="2026-04-09T00:00:00"/>
    <d v="2026-05-09T00:00:00"/>
    <x v="0"/>
    <n v="3547"/>
    <x v="0"/>
    <b v="0"/>
    <x v="2"/>
    <x v="9"/>
    <n v="2026"/>
    <n v="5"/>
    <n v="4"/>
    <n v="2026"/>
    <n v="3"/>
    <s v="Yes"/>
    <x v="0"/>
    <s v="India"/>
    <x v="0"/>
    <s v="StayNest Marina"/>
    <x v="1"/>
    <s v="Business"/>
    <n v="120"/>
    <x v="1"/>
    <s v="OTA Promo"/>
    <d v="2026-05-09T00:00:00"/>
    <s v="Yes"/>
    <s v="No"/>
    <s v="Peak"/>
    <x v="1"/>
    <n v="0"/>
    <s v="8–30 days"/>
  </r>
  <r>
    <s v="B001280"/>
    <s v="G00365"/>
    <s v="H010"/>
    <s v="CH02"/>
    <d v="2026-10-08T00:00:00"/>
    <d v="2026-10-22T00:00:00"/>
    <x v="0"/>
    <n v="5850"/>
    <x v="0"/>
    <b v="0"/>
    <x v="3"/>
    <x v="11"/>
    <n v="2026"/>
    <n v="3"/>
    <n v="10"/>
    <n v="2026"/>
    <n v="3"/>
    <s v="No"/>
    <x v="0"/>
    <s v="India"/>
    <x v="1"/>
    <s v="StayNest Garden"/>
    <x v="10"/>
    <s v="Boutique"/>
    <n v="70"/>
    <x v="3"/>
    <s v="App Push"/>
    <d v="2026-10-22T00:00:00"/>
    <s v="No"/>
    <s v="No"/>
    <s v="Shoulder"/>
    <x v="1"/>
    <n v="0"/>
    <s v="8–30 days"/>
  </r>
  <r>
    <s v="B001281"/>
    <s v="G00629"/>
    <s v="H001"/>
    <s v="CH04"/>
    <d v="2025-05-21T00:00:00"/>
    <d v="2025-12-27T00:00:00"/>
    <x v="1"/>
    <n v="7465"/>
    <x v="0"/>
    <b v="0"/>
    <x v="8"/>
    <x v="5"/>
    <n v="2025"/>
    <n v="5"/>
    <n v="5"/>
    <n v="2025"/>
    <n v="2"/>
    <s v="Yes"/>
    <x v="1"/>
    <s v="India"/>
    <x v="0"/>
    <s v="StayNest Marina"/>
    <x v="1"/>
    <s v="Business"/>
    <n v="120"/>
    <x v="4"/>
    <s v="Partner"/>
    <d v="2025-12-27T00:00:00"/>
    <s v="Yes"/>
    <s v="No"/>
    <s v="Peak"/>
    <x v="1"/>
    <n v="0"/>
    <s v="181+ days"/>
  </r>
  <r>
    <s v="B001282"/>
    <s v="G00065"/>
    <s v="H002"/>
    <s v="CH03"/>
    <d v="2025-03-17T00:00:00"/>
    <d v="2025-03-24T00:00:00"/>
    <x v="2"/>
    <n v="4035"/>
    <x v="2"/>
    <b v="0"/>
    <x v="4"/>
    <x v="3"/>
    <n v="2025"/>
    <n v="0"/>
    <n v="3"/>
    <n v="2025"/>
    <n v="0"/>
    <s v="No"/>
    <x v="1"/>
    <s v="UAE"/>
    <x v="0"/>
    <s v="StayNest Central"/>
    <x v="0"/>
    <s v="Business"/>
    <n v="150"/>
    <x v="1"/>
    <s v="OTA Promo"/>
    <d v="2025-03-24T00:00:00"/>
    <s v="No"/>
    <s v="No"/>
    <s v="Shoulder"/>
    <x v="1"/>
    <n v="0"/>
    <s v="0–7 days"/>
  </r>
  <r>
    <s v="B001283"/>
    <s v="G00210"/>
    <s v="H012"/>
    <s v="CH04"/>
    <d v="2025-04-21T00:00:00"/>
    <d v="2025-04-28T00:00:00"/>
    <x v="1"/>
    <n v="5764"/>
    <x v="1"/>
    <b v="0"/>
    <x v="4"/>
    <x v="2"/>
    <n v="2025"/>
    <n v="0"/>
    <n v="4"/>
    <n v="2025"/>
    <n v="0"/>
    <s v="No"/>
    <x v="1"/>
    <s v="India"/>
    <x v="0"/>
    <s v="StayNest Valley"/>
    <x v="4"/>
    <s v="Resort"/>
    <n v="65"/>
    <x v="4"/>
    <s v="Partner"/>
    <d v="2025-04-28T00:00:00"/>
    <s v="No"/>
    <s v="No"/>
    <s v="Peak"/>
    <x v="1"/>
    <n v="1"/>
    <s v="0–7 days"/>
  </r>
  <r>
    <s v="B001284"/>
    <s v="G00261"/>
    <s v="H006"/>
    <s v="CH05"/>
    <d v="2026-06-08T00:00:00"/>
    <d v="2026-06-11T00:00:00"/>
    <x v="3"/>
    <n v="9451"/>
    <x v="0"/>
    <b v="0"/>
    <x v="6"/>
    <x v="1"/>
    <n v="2026"/>
    <n v="3"/>
    <n v="6"/>
    <n v="2026"/>
    <n v="0"/>
    <s v="No"/>
    <x v="0"/>
    <s v="India"/>
    <x v="0"/>
    <s v="StayNest Beach"/>
    <x v="3"/>
    <s v="Resort"/>
    <n v="100"/>
    <x v="2"/>
    <s v="Corporate Rate"/>
    <d v="2026-06-11T00:00:00"/>
    <s v="No"/>
    <s v="No"/>
    <s v="Shoulder"/>
    <x v="1"/>
    <n v="0"/>
    <s v="0–7 days"/>
  </r>
  <r>
    <s v="B001285"/>
    <s v="G00269"/>
    <s v="H002"/>
    <s v="CH05"/>
    <d v="2025-04-10T00:00:00"/>
    <d v="2025-04-24T00:00:00"/>
    <x v="2"/>
    <n v="3627"/>
    <x v="2"/>
    <b v="0"/>
    <x v="3"/>
    <x v="2"/>
    <n v="2025"/>
    <n v="3"/>
    <n v="4"/>
    <n v="2025"/>
    <n v="3"/>
    <s v="No"/>
    <x v="3"/>
    <s v="India"/>
    <x v="0"/>
    <s v="StayNest Central"/>
    <x v="0"/>
    <s v="Business"/>
    <n v="150"/>
    <x v="2"/>
    <s v="Corporate Rate"/>
    <d v="2025-04-24T00:00:00"/>
    <s v="No"/>
    <s v="No"/>
    <s v="Peak"/>
    <x v="1"/>
    <n v="0"/>
    <s v="8–30 days"/>
  </r>
  <r>
    <s v="B001286"/>
    <s v="G00482"/>
    <s v="H012"/>
    <s v="CH04"/>
    <d v="2025-03-08T00:00:00"/>
    <d v="2025-05-07T00:00:00"/>
    <x v="0"/>
    <n v="5704"/>
    <x v="1"/>
    <b v="0"/>
    <x v="1"/>
    <x v="9"/>
    <n v="2025"/>
    <n v="2"/>
    <n v="3"/>
    <n v="2025"/>
    <n v="5"/>
    <s v="No"/>
    <x v="0"/>
    <s v="India"/>
    <x v="0"/>
    <s v="StayNest Valley"/>
    <x v="4"/>
    <s v="Resort"/>
    <n v="65"/>
    <x v="4"/>
    <s v="Partner"/>
    <d v="2025-05-07T00:00:00"/>
    <s v="No"/>
    <s v="No"/>
    <s v="Peak"/>
    <x v="1"/>
    <n v="1"/>
    <s v="31–90 days"/>
  </r>
  <r>
    <s v="B001287"/>
    <s v="G00555"/>
    <s v="H012"/>
    <s v="CH01"/>
    <d v="2026-02-15T00:00:00"/>
    <d v="2026-03-01T00:00:00"/>
    <x v="0"/>
    <n v="3826"/>
    <x v="0"/>
    <b v="0"/>
    <x v="3"/>
    <x v="3"/>
    <n v="2026"/>
    <n v="6"/>
    <n v="2"/>
    <n v="2026"/>
    <n v="6"/>
    <s v="Yes"/>
    <x v="1"/>
    <s v="India"/>
    <x v="0"/>
    <s v="StayNest Valley"/>
    <x v="4"/>
    <s v="Resort"/>
    <n v="65"/>
    <x v="5"/>
    <s v="Direct"/>
    <d v="2026-03-01T00:00:00"/>
    <s v="Yes"/>
    <s v="No"/>
    <s v="Shoulder"/>
    <x v="1"/>
    <n v="0"/>
    <s v="8–30 days"/>
  </r>
  <r>
    <s v="B001288"/>
    <s v="G00232"/>
    <s v="H006"/>
    <s v="CH05"/>
    <d v="2025-07-09T00:00:00"/>
    <d v="2025-12-06T00:00:00"/>
    <x v="1"/>
    <n v="7716"/>
    <x v="0"/>
    <b v="0"/>
    <x v="5"/>
    <x v="5"/>
    <n v="2025"/>
    <n v="5"/>
    <n v="7"/>
    <n v="2025"/>
    <n v="2"/>
    <s v="Yes"/>
    <x v="2"/>
    <s v="United Kingdom"/>
    <x v="0"/>
    <s v="StayNest Beach"/>
    <x v="3"/>
    <s v="Resort"/>
    <n v="100"/>
    <x v="2"/>
    <s v="Corporate Rate"/>
    <d v="2025-12-06T00:00:00"/>
    <s v="Yes"/>
    <s v="No"/>
    <s v="Peak"/>
    <x v="1"/>
    <n v="0"/>
    <s v="91–180 days"/>
  </r>
  <r>
    <s v="B001289"/>
    <s v="G00596"/>
    <s v="H007"/>
    <s v="CH06"/>
    <d v="2026-09-26T00:00:00"/>
    <d v="2026-10-26T00:00:00"/>
    <x v="3"/>
    <n v="9058"/>
    <x v="1"/>
    <b v="0"/>
    <x v="2"/>
    <x v="11"/>
    <n v="2026"/>
    <n v="0"/>
    <n v="9"/>
    <n v="2026"/>
    <n v="5"/>
    <s v="No"/>
    <x v="1"/>
    <s v="United States"/>
    <x v="0"/>
    <s v="StayNest Tech Park"/>
    <x v="6"/>
    <s v="Business"/>
    <n v="140"/>
    <x v="0"/>
    <s v="Retention"/>
    <d v="2026-10-26T00:00:00"/>
    <s v="No"/>
    <s v="No"/>
    <s v="Shoulder"/>
    <x v="1"/>
    <n v="1"/>
    <s v="8–30 days"/>
  </r>
  <r>
    <s v="B001290"/>
    <s v="G00349"/>
    <s v="H010"/>
    <s v="CH03"/>
    <d v="2025-11-18T00:00:00"/>
    <d v="2026-01-17T00:00:00"/>
    <x v="2"/>
    <n v="2454"/>
    <x v="2"/>
    <b v="0"/>
    <x v="1"/>
    <x v="6"/>
    <n v="2026"/>
    <n v="5"/>
    <n v="11"/>
    <n v="2025"/>
    <n v="1"/>
    <s v="Yes"/>
    <x v="0"/>
    <s v="India"/>
    <x v="1"/>
    <s v="StayNest Garden"/>
    <x v="10"/>
    <s v="Boutique"/>
    <n v="70"/>
    <x v="1"/>
    <s v="OTA Promo"/>
    <d v="2026-01-17T00:00:00"/>
    <s v="Yes"/>
    <s v="No"/>
    <s v="Off-Peak"/>
    <x v="1"/>
    <n v="0"/>
    <s v="31–90 days"/>
  </r>
  <r>
    <s v="B001291"/>
    <s v="G00370"/>
    <s v="H004"/>
    <s v="CH06"/>
    <d v="2026-01-26T00:00:00"/>
    <d v="2026-05-06T00:00:00"/>
    <x v="2"/>
    <n v="2432"/>
    <x v="0"/>
    <b v="0"/>
    <x v="0"/>
    <x v="9"/>
    <n v="2026"/>
    <n v="2"/>
    <n v="1"/>
    <n v="2026"/>
    <n v="0"/>
    <s v="No"/>
    <x v="2"/>
    <s v="India"/>
    <x v="0"/>
    <s v="StayNest Lakeview"/>
    <x v="2"/>
    <s v="Resort"/>
    <n v="75"/>
    <x v="0"/>
    <s v="Retention"/>
    <d v="2026-05-06T00:00:00"/>
    <s v="No"/>
    <s v="No"/>
    <s v="Peak"/>
    <x v="1"/>
    <n v="0"/>
    <s v="91–180 days"/>
  </r>
  <r>
    <s v="B001292"/>
    <s v="G00611"/>
    <s v="H009"/>
    <s v="CH05"/>
    <d v="2026-02-09T00:00:00"/>
    <d v="2026-02-16T00:00:00"/>
    <x v="3"/>
    <n v="7319"/>
    <x v="0"/>
    <b v="0"/>
    <x v="4"/>
    <x v="0"/>
    <n v="2026"/>
    <n v="0"/>
    <n v="2"/>
    <n v="2026"/>
    <n v="0"/>
    <s v="No"/>
    <x v="3"/>
    <s v="India"/>
    <x v="0"/>
    <s v="StayNest Airport"/>
    <x v="9"/>
    <s v="Business"/>
    <n v="160"/>
    <x v="2"/>
    <s v="Corporate Rate"/>
    <d v="2026-02-16T00:00:00"/>
    <s v="No"/>
    <s v="No"/>
    <s v="Shoulder"/>
    <x v="1"/>
    <n v="0"/>
    <s v="0–7 days"/>
  </r>
  <r>
    <s v="B001293"/>
    <s v="G00389"/>
    <s v="H008"/>
    <s v="CH01"/>
    <d v="2025-02-20T00:00:00"/>
    <d v="2025-02-21T00:00:00"/>
    <x v="3"/>
    <n v="11254"/>
    <x v="0"/>
    <b v="0"/>
    <x v="7"/>
    <x v="0"/>
    <n v="2025"/>
    <n v="4"/>
    <n v="2"/>
    <n v="2025"/>
    <n v="3"/>
    <s v="No"/>
    <x v="0"/>
    <s v="India"/>
    <x v="0"/>
    <s v="StayNest Palace"/>
    <x v="7"/>
    <s v="Heritage"/>
    <n v="85"/>
    <x v="5"/>
    <s v="Direct"/>
    <d v="2025-02-21T00:00:00"/>
    <s v="No"/>
    <s v="No"/>
    <s v="Shoulder"/>
    <x v="1"/>
    <n v="0"/>
    <s v="0–7 days"/>
  </r>
  <r>
    <s v="B001294"/>
    <s v="G00385"/>
    <s v="H011"/>
    <s v="CH03"/>
    <d v="2026-07-25T00:00:00"/>
    <d v="2026-08-24T00:00:00"/>
    <x v="1"/>
    <n v="8232"/>
    <x v="1"/>
    <b v="0"/>
    <x v="2"/>
    <x v="7"/>
    <n v="2026"/>
    <n v="0"/>
    <n v="7"/>
    <n v="2026"/>
    <n v="5"/>
    <s v="No"/>
    <x v="0"/>
    <s v="India"/>
    <x v="0"/>
    <s v="StayNest Grand"/>
    <x v="8"/>
    <s v="Business"/>
    <n v="110"/>
    <x v="1"/>
    <s v="OTA Promo"/>
    <d v="2026-08-24T00:00:00"/>
    <s v="No"/>
    <s v="No"/>
    <s v="Off-Peak"/>
    <x v="1"/>
    <n v="1"/>
    <s v="8–30 days"/>
  </r>
  <r>
    <s v="B001295"/>
    <s v="G00319"/>
    <s v="H006"/>
    <s v="CH04"/>
    <d v="2026-01-08T00:00:00"/>
    <d v="2026-02-07T00:00:00"/>
    <x v="1"/>
    <n v="6845"/>
    <x v="0"/>
    <b v="0"/>
    <x v="2"/>
    <x v="0"/>
    <n v="2026"/>
    <n v="5"/>
    <n v="1"/>
    <n v="2026"/>
    <n v="3"/>
    <s v="Yes"/>
    <x v="1"/>
    <s v="United Kingdom"/>
    <x v="1"/>
    <s v="StayNest Beach"/>
    <x v="3"/>
    <s v="Resort"/>
    <n v="100"/>
    <x v="4"/>
    <s v="Partner"/>
    <d v="2026-02-07T00:00:00"/>
    <s v="Yes"/>
    <s v="No"/>
    <s v="Shoulder"/>
    <x v="1"/>
    <n v="0"/>
    <s v="8–30 days"/>
  </r>
  <r>
    <s v="B001296"/>
    <s v="G00227"/>
    <s v="H004"/>
    <s v="CH05"/>
    <d v="2026-09-16T00:00:00"/>
    <d v="2026-09-17T00:00:00"/>
    <x v="0"/>
    <n v="5013"/>
    <x v="0"/>
    <b v="0"/>
    <x v="7"/>
    <x v="10"/>
    <n v="2026"/>
    <n v="3"/>
    <n v="9"/>
    <n v="2026"/>
    <n v="2"/>
    <s v="No"/>
    <x v="1"/>
    <s v="India"/>
    <x v="0"/>
    <s v="StayNest Lakeview"/>
    <x v="2"/>
    <s v="Resort"/>
    <n v="75"/>
    <x v="2"/>
    <s v="Corporate Rate"/>
    <d v="2026-09-17T00:00:00"/>
    <s v="No"/>
    <s v="No"/>
    <s v="Shoulder"/>
    <x v="1"/>
    <n v="0"/>
    <s v="0–7 days"/>
  </r>
  <r>
    <s v="B001297"/>
    <s v="G00649"/>
    <s v="H003"/>
    <s v="CH04"/>
    <d v="2025-12-11T00:00:00"/>
    <d v="2026-02-09T00:00:00"/>
    <x v="2"/>
    <n v="3012"/>
    <x v="0"/>
    <b v="0"/>
    <x v="1"/>
    <x v="0"/>
    <n v="2026"/>
    <n v="0"/>
    <n v="12"/>
    <n v="2025"/>
    <n v="3"/>
    <s v="No"/>
    <x v="0"/>
    <s v="India"/>
    <x v="0"/>
    <s v="StayNest Hills"/>
    <x v="5"/>
    <s v="Resort"/>
    <n v="80"/>
    <x v="4"/>
    <s v="Partner"/>
    <d v="2026-02-09T00:00:00"/>
    <s v="No"/>
    <s v="No"/>
    <s v="Shoulder"/>
    <x v="1"/>
    <n v="0"/>
    <s v="31–90 days"/>
  </r>
  <r>
    <s v="B001298"/>
    <s v="G00436"/>
    <s v="H003"/>
    <s v="CH02"/>
    <d v="2025-05-02T00:00:00"/>
    <d v="2025-05-05T00:00:00"/>
    <x v="3"/>
    <n v="10007"/>
    <x v="0"/>
    <b v="0"/>
    <x v="6"/>
    <x v="9"/>
    <n v="2025"/>
    <n v="0"/>
    <n v="5"/>
    <n v="2025"/>
    <n v="4"/>
    <s v="No"/>
    <x v="3"/>
    <s v="India"/>
    <x v="0"/>
    <s v="StayNest Hills"/>
    <x v="5"/>
    <s v="Resort"/>
    <n v="80"/>
    <x v="3"/>
    <s v="App Push"/>
    <d v="2025-05-05T00:00:00"/>
    <s v="No"/>
    <s v="No"/>
    <s v="Peak"/>
    <x v="1"/>
    <n v="0"/>
    <s v="0–7 days"/>
  </r>
  <r>
    <s v="B001299"/>
    <s v="G00411"/>
    <s v="H003"/>
    <s v="CH03"/>
    <d v="2026-09-20T00:00:00"/>
    <d v="2026-09-21T00:00:00"/>
    <x v="2"/>
    <n v="2361"/>
    <x v="1"/>
    <b v="0"/>
    <x v="7"/>
    <x v="10"/>
    <n v="2026"/>
    <n v="0"/>
    <n v="9"/>
    <n v="2026"/>
    <n v="6"/>
    <s v="No"/>
    <x v="3"/>
    <s v="India"/>
    <x v="0"/>
    <s v="StayNest Hills"/>
    <x v="5"/>
    <s v="Resort"/>
    <n v="80"/>
    <x v="1"/>
    <s v="OTA Promo"/>
    <d v="2026-09-21T00:00:00"/>
    <s v="No"/>
    <s v="No"/>
    <s v="Shoulder"/>
    <x v="1"/>
    <n v="1"/>
    <s v="0–7 days"/>
  </r>
  <r>
    <s v="B001300"/>
    <s v="G00516"/>
    <s v="H005"/>
    <s v="CH05"/>
    <d v="2026-06-14T00:00:00"/>
    <d v="2026-07-14T00:00:00"/>
    <x v="2"/>
    <n v="3757"/>
    <x v="0"/>
    <b v="0"/>
    <x v="2"/>
    <x v="8"/>
    <n v="2026"/>
    <n v="1"/>
    <n v="6"/>
    <n v="2026"/>
    <n v="6"/>
    <s v="No"/>
    <x v="2"/>
    <s v="Singapore"/>
    <x v="0"/>
    <s v="StayNest Heritage"/>
    <x v="11"/>
    <s v="Heritage"/>
    <n v="90"/>
    <x v="2"/>
    <s v="Corporate Rate"/>
    <d v="2026-07-14T00:00:00"/>
    <s v="No"/>
    <s v="No"/>
    <s v="Off-Peak"/>
    <x v="1"/>
    <n v="0"/>
    <s v="8–30 days"/>
  </r>
  <r>
    <s v="B001301"/>
    <s v="G00507"/>
    <s v="H009"/>
    <s v="CH02"/>
    <d v="2025-07-20T00:00:00"/>
    <d v="2025-10-28T00:00:00"/>
    <x v="0"/>
    <n v="4967"/>
    <x v="1"/>
    <b v="0"/>
    <x v="0"/>
    <x v="11"/>
    <n v="2025"/>
    <n v="1"/>
    <n v="7"/>
    <n v="2025"/>
    <n v="6"/>
    <s v="No"/>
    <x v="3"/>
    <s v="India"/>
    <x v="1"/>
    <s v="StayNest Airport"/>
    <x v="9"/>
    <s v="Business"/>
    <n v="160"/>
    <x v="3"/>
    <s v="App Push"/>
    <d v="2025-10-28T00:00:00"/>
    <s v="No"/>
    <s v="No"/>
    <s v="Shoulder"/>
    <x v="1"/>
    <n v="1"/>
    <s v="91–180 days"/>
  </r>
  <r>
    <s v="B001302"/>
    <s v="G00280"/>
    <s v="H008"/>
    <s v="CH02"/>
    <d v="2026-02-23T00:00:00"/>
    <d v="2026-04-24T00:00:00"/>
    <x v="0"/>
    <n v="4103"/>
    <x v="0"/>
    <b v="0"/>
    <x v="1"/>
    <x v="2"/>
    <n v="2026"/>
    <n v="4"/>
    <n v="2"/>
    <n v="2026"/>
    <n v="0"/>
    <s v="No"/>
    <x v="1"/>
    <s v="India"/>
    <x v="0"/>
    <s v="StayNest Palace"/>
    <x v="7"/>
    <s v="Heritage"/>
    <n v="85"/>
    <x v="3"/>
    <s v="App Push"/>
    <d v="2026-04-24T00:00:00"/>
    <s v="No"/>
    <s v="No"/>
    <s v="Peak"/>
    <x v="1"/>
    <n v="0"/>
    <s v="31–90 days"/>
  </r>
  <r>
    <s v="B001303"/>
    <s v="G00491"/>
    <s v="H006"/>
    <s v="CH02"/>
    <d v="2026-03-17T00:00:00"/>
    <d v="2026-03-31T00:00:00"/>
    <x v="1"/>
    <n v="6435"/>
    <x v="0"/>
    <b v="0"/>
    <x v="3"/>
    <x v="3"/>
    <n v="2026"/>
    <n v="1"/>
    <n v="3"/>
    <n v="2026"/>
    <n v="1"/>
    <s v="No"/>
    <x v="2"/>
    <s v="India"/>
    <x v="0"/>
    <s v="StayNest Beach"/>
    <x v="3"/>
    <s v="Resort"/>
    <n v="100"/>
    <x v="3"/>
    <s v="App Push"/>
    <d v="2026-03-31T00:00:00"/>
    <s v="No"/>
    <s v="No"/>
    <s v="Shoulder"/>
    <x v="1"/>
    <n v="0"/>
    <s v="8–30 days"/>
  </r>
  <r>
    <s v="B001304"/>
    <s v="G00272"/>
    <s v="H009"/>
    <s v="CH02"/>
    <d v="2025-11-14T00:00:00"/>
    <d v="2025-11-17T00:00:00"/>
    <x v="0"/>
    <n v="4537"/>
    <x v="0"/>
    <b v="0"/>
    <x v="6"/>
    <x v="4"/>
    <n v="2025"/>
    <n v="0"/>
    <n v="11"/>
    <n v="2025"/>
    <n v="4"/>
    <s v="No"/>
    <x v="0"/>
    <s v="India"/>
    <x v="1"/>
    <s v="StayNest Airport"/>
    <x v="9"/>
    <s v="Business"/>
    <n v="160"/>
    <x v="3"/>
    <s v="App Push"/>
    <d v="2025-11-17T00:00:00"/>
    <s v="No"/>
    <s v="No"/>
    <s v="Off-Peak"/>
    <x v="1"/>
    <n v="0"/>
    <s v="0–7 days"/>
  </r>
  <r>
    <s v="B001305"/>
    <s v="G00440"/>
    <s v="H005"/>
    <s v="CH03"/>
    <d v="2026-10-31T00:00:00"/>
    <d v="2026-11-14T00:00:00"/>
    <x v="1"/>
    <n v="8463"/>
    <x v="1"/>
    <b v="0"/>
    <x v="3"/>
    <x v="4"/>
    <n v="2026"/>
    <n v="5"/>
    <n v="10"/>
    <n v="2026"/>
    <n v="5"/>
    <s v="Yes"/>
    <x v="0"/>
    <s v="India"/>
    <x v="0"/>
    <s v="StayNest Heritage"/>
    <x v="11"/>
    <s v="Heritage"/>
    <n v="90"/>
    <x v="1"/>
    <s v="OTA Promo"/>
    <d v="2026-11-14T00:00:00"/>
    <s v="Yes"/>
    <s v="No"/>
    <s v="Off-Peak"/>
    <x v="1"/>
    <n v="1"/>
    <s v="8–30 days"/>
  </r>
  <r>
    <s v="B001306"/>
    <s v="G00199"/>
    <s v="H003"/>
    <s v="CH06"/>
    <d v="2026-04-04T00:00:00"/>
    <d v="2026-04-11T00:00:00"/>
    <x v="1"/>
    <n v="6795"/>
    <x v="0"/>
    <b v="0"/>
    <x v="4"/>
    <x v="2"/>
    <n v="2026"/>
    <n v="5"/>
    <n v="4"/>
    <n v="2026"/>
    <n v="5"/>
    <s v="Yes"/>
    <x v="1"/>
    <s v="UAE"/>
    <x v="0"/>
    <s v="StayNest Hills"/>
    <x v="5"/>
    <s v="Resort"/>
    <n v="80"/>
    <x v="0"/>
    <s v="Retention"/>
    <d v="2026-04-11T00:00:00"/>
    <s v="Yes"/>
    <s v="No"/>
    <s v="Peak"/>
    <x v="1"/>
    <n v="0"/>
    <s v="0–7 days"/>
  </r>
  <r>
    <s v="B001307"/>
    <s v="G00301"/>
    <s v="H011"/>
    <s v="CH06"/>
    <d v="2026-11-26T00:00:00"/>
    <d v="2027-01-25T00:00:00"/>
    <x v="1"/>
    <n v="7207"/>
    <x v="0"/>
    <b v="0"/>
    <x v="1"/>
    <x v="6"/>
    <n v="2027"/>
    <n v="0"/>
    <n v="11"/>
    <n v="2026"/>
    <n v="3"/>
    <s v="No"/>
    <x v="2"/>
    <s v="India"/>
    <x v="0"/>
    <s v="StayNest Grand"/>
    <x v="8"/>
    <s v="Business"/>
    <n v="110"/>
    <x v="0"/>
    <s v="Retention"/>
    <m/>
    <s v="Unknown"/>
    <s v="Unknown"/>
    <s v="Unknown"/>
    <x v="0"/>
    <n v="0"/>
    <s v="31–90 days"/>
  </r>
  <r>
    <s v="B001308"/>
    <s v="G00487"/>
    <s v="H006"/>
    <s v="CH06"/>
    <d v="2025-01-13T00:00:00"/>
    <d v="2025-02-12T00:00:00"/>
    <x v="2"/>
    <n v="3442"/>
    <x v="0"/>
    <b v="0"/>
    <x v="2"/>
    <x v="0"/>
    <n v="2025"/>
    <n v="2"/>
    <n v="1"/>
    <n v="2025"/>
    <n v="0"/>
    <s v="No"/>
    <x v="0"/>
    <s v="India"/>
    <x v="0"/>
    <s v="StayNest Beach"/>
    <x v="3"/>
    <s v="Resort"/>
    <n v="100"/>
    <x v="0"/>
    <s v="Retention"/>
    <d v="2025-02-12T00:00:00"/>
    <s v="No"/>
    <s v="No"/>
    <s v="Shoulder"/>
    <x v="1"/>
    <n v="0"/>
    <s v="8–30 days"/>
  </r>
  <r>
    <s v="B001309"/>
    <s v="G00034"/>
    <s v="H007"/>
    <s v="CH05"/>
    <d v="2025-08-24T00:00:00"/>
    <d v="2025-09-07T00:00:00"/>
    <x v="0"/>
    <n v="4439"/>
    <x v="0"/>
    <b v="0"/>
    <x v="3"/>
    <x v="10"/>
    <n v="2025"/>
    <n v="6"/>
    <n v="8"/>
    <n v="2025"/>
    <n v="6"/>
    <s v="Yes"/>
    <x v="2"/>
    <s v="India"/>
    <x v="0"/>
    <s v="StayNest Tech Park"/>
    <x v="6"/>
    <s v="Business"/>
    <n v="140"/>
    <x v="2"/>
    <s v="Corporate Rate"/>
    <d v="2025-09-07T00:00:00"/>
    <s v="Yes"/>
    <s v="No"/>
    <s v="Shoulder"/>
    <x v="1"/>
    <n v="0"/>
    <s v="8–30 days"/>
  </r>
  <r>
    <s v="B001310"/>
    <s v="G00650"/>
    <s v="H012"/>
    <s v="CH01"/>
    <d v="2026-06-12T00:00:00"/>
    <d v="2026-06-13T00:00:00"/>
    <x v="1"/>
    <n v="7106"/>
    <x v="0"/>
    <b v="0"/>
    <x v="7"/>
    <x v="1"/>
    <n v="2026"/>
    <n v="5"/>
    <n v="6"/>
    <n v="2026"/>
    <n v="4"/>
    <s v="Yes"/>
    <x v="3"/>
    <s v="Singapore"/>
    <x v="0"/>
    <s v="StayNest Valley"/>
    <x v="4"/>
    <s v="Resort"/>
    <n v="65"/>
    <x v="5"/>
    <s v="Direct"/>
    <d v="2026-06-13T00:00:00"/>
    <s v="Yes"/>
    <s v="No"/>
    <s v="Shoulder"/>
    <x v="1"/>
    <n v="0"/>
    <s v="0–7 days"/>
  </r>
  <r>
    <s v="B001311"/>
    <s v="G00177"/>
    <s v="H005"/>
    <s v="CH03"/>
    <d v="2025-09-18T00:00:00"/>
    <d v="2026-02-15T00:00:00"/>
    <x v="3"/>
    <n v="6938"/>
    <x v="2"/>
    <b v="0"/>
    <x v="5"/>
    <x v="0"/>
    <n v="2026"/>
    <n v="6"/>
    <n v="9"/>
    <n v="2025"/>
    <n v="3"/>
    <s v="Yes"/>
    <x v="1"/>
    <s v="India"/>
    <x v="1"/>
    <s v="StayNest Heritage"/>
    <x v="11"/>
    <s v="Heritage"/>
    <n v="90"/>
    <x v="1"/>
    <s v="OTA Promo"/>
    <d v="2026-02-15T00:00:00"/>
    <s v="Yes"/>
    <s v="No"/>
    <s v="Shoulder"/>
    <x v="1"/>
    <n v="0"/>
    <s v="91–180 days"/>
  </r>
  <r>
    <s v="B001312"/>
    <s v="G00068"/>
    <s v="H008"/>
    <s v="CH05"/>
    <d v="2026-09-27T00:00:00"/>
    <d v="2026-10-04T00:00:00"/>
    <x v="2"/>
    <n v="3514"/>
    <x v="0"/>
    <b v="0"/>
    <x v="4"/>
    <x v="11"/>
    <n v="2026"/>
    <n v="6"/>
    <n v="9"/>
    <n v="2026"/>
    <n v="6"/>
    <s v="Yes"/>
    <x v="2"/>
    <s v="Singapore"/>
    <x v="1"/>
    <s v="StayNest Palace"/>
    <x v="7"/>
    <s v="Heritage"/>
    <n v="85"/>
    <x v="2"/>
    <s v="Corporate Rate"/>
    <d v="2026-10-04T00:00:00"/>
    <s v="Yes"/>
    <s v="No"/>
    <s v="Shoulder"/>
    <x v="1"/>
    <n v="0"/>
    <s v="0–7 days"/>
  </r>
  <r>
    <s v="B001313"/>
    <s v="G00515"/>
    <s v="H009"/>
    <s v="CH06"/>
    <d v="2025-09-19T00:00:00"/>
    <d v="2025-12-28T00:00:00"/>
    <x v="1"/>
    <n v="7401"/>
    <x v="2"/>
    <b v="0"/>
    <x v="0"/>
    <x v="5"/>
    <n v="2025"/>
    <n v="6"/>
    <n v="9"/>
    <n v="2025"/>
    <n v="4"/>
    <s v="Yes"/>
    <x v="1"/>
    <s v="India"/>
    <x v="0"/>
    <s v="StayNest Airport"/>
    <x v="9"/>
    <s v="Business"/>
    <n v="160"/>
    <x v="0"/>
    <s v="Retention"/>
    <d v="2025-12-28T00:00:00"/>
    <s v="Yes"/>
    <s v="No"/>
    <s v="Peak"/>
    <x v="1"/>
    <n v="0"/>
    <s v="91–180 days"/>
  </r>
  <r>
    <s v="B001314"/>
    <s v="G00614"/>
    <s v="H001"/>
    <s v="CH03"/>
    <d v="2025-11-19T00:00:00"/>
    <d v="2025-12-03T00:00:00"/>
    <x v="0"/>
    <n v="4623"/>
    <x v="0"/>
    <b v="0"/>
    <x v="3"/>
    <x v="5"/>
    <n v="2025"/>
    <n v="2"/>
    <n v="11"/>
    <n v="2025"/>
    <n v="2"/>
    <s v="No"/>
    <x v="2"/>
    <s v="India"/>
    <x v="0"/>
    <s v="StayNest Marina"/>
    <x v="1"/>
    <s v="Business"/>
    <n v="120"/>
    <x v="1"/>
    <s v="OTA Promo"/>
    <d v="2025-12-03T00:00:00"/>
    <s v="No"/>
    <s v="No"/>
    <s v="Peak"/>
    <x v="1"/>
    <n v="0"/>
    <s v="8–30 days"/>
  </r>
  <r>
    <s v="B001315"/>
    <s v="G00092"/>
    <s v="H012"/>
    <s v="CH05"/>
    <d v="2026-07-08T00:00:00"/>
    <d v="2026-09-06T00:00:00"/>
    <x v="1"/>
    <n v="8705"/>
    <x v="0"/>
    <b v="0"/>
    <x v="1"/>
    <x v="10"/>
    <n v="2026"/>
    <n v="6"/>
    <n v="7"/>
    <n v="2026"/>
    <n v="2"/>
    <s v="Yes"/>
    <x v="2"/>
    <s v="India"/>
    <x v="1"/>
    <s v="StayNest Valley"/>
    <x v="4"/>
    <s v="Resort"/>
    <n v="65"/>
    <x v="2"/>
    <s v="Corporate Rate"/>
    <d v="2026-09-06T00:00:00"/>
    <s v="Yes"/>
    <s v="No"/>
    <s v="Shoulder"/>
    <x v="1"/>
    <n v="0"/>
    <s v="31–90 days"/>
  </r>
  <r>
    <s v="B001316"/>
    <s v="G00461"/>
    <s v="H003"/>
    <s v="CH05"/>
    <d v="2025-08-30T00:00:00"/>
    <d v="2025-09-06T00:00:00"/>
    <x v="2"/>
    <n v="4198"/>
    <x v="1"/>
    <b v="0"/>
    <x v="4"/>
    <x v="10"/>
    <n v="2025"/>
    <n v="5"/>
    <n v="8"/>
    <n v="2025"/>
    <n v="5"/>
    <s v="Yes"/>
    <x v="2"/>
    <s v="Singapore"/>
    <x v="0"/>
    <s v="StayNest Hills"/>
    <x v="5"/>
    <s v="Resort"/>
    <n v="80"/>
    <x v="2"/>
    <s v="Corporate Rate"/>
    <d v="2025-09-06T00:00:00"/>
    <s v="Yes"/>
    <s v="No"/>
    <s v="Shoulder"/>
    <x v="1"/>
    <n v="1"/>
    <s v="0–7 days"/>
  </r>
  <r>
    <s v="B001317"/>
    <s v="G00161"/>
    <s v="H010"/>
    <s v="CH02"/>
    <d v="2025-06-26T00:00:00"/>
    <d v="2025-07-26T00:00:00"/>
    <x v="2"/>
    <n v="3340"/>
    <x v="0"/>
    <b v="0"/>
    <x v="2"/>
    <x v="8"/>
    <n v="2025"/>
    <n v="5"/>
    <n v="6"/>
    <n v="2025"/>
    <n v="3"/>
    <s v="Yes"/>
    <x v="3"/>
    <s v="India"/>
    <x v="0"/>
    <s v="StayNest Garden"/>
    <x v="10"/>
    <s v="Boutique"/>
    <n v="70"/>
    <x v="3"/>
    <s v="App Push"/>
    <d v="2025-07-26T00:00:00"/>
    <s v="Yes"/>
    <s v="No"/>
    <s v="Off-Peak"/>
    <x v="1"/>
    <n v="0"/>
    <s v="8–30 days"/>
  </r>
  <r>
    <s v="B001318"/>
    <s v="G00236"/>
    <s v="H003"/>
    <s v="CH01"/>
    <d v="2025-01-17T00:00:00"/>
    <d v="2025-01-18T00:00:00"/>
    <x v="1"/>
    <n v="5185"/>
    <x v="0"/>
    <b v="0"/>
    <x v="7"/>
    <x v="6"/>
    <n v="2025"/>
    <n v="5"/>
    <n v="1"/>
    <n v="2025"/>
    <n v="4"/>
    <s v="Yes"/>
    <x v="1"/>
    <s v="United States"/>
    <x v="0"/>
    <s v="StayNest Hills"/>
    <x v="5"/>
    <s v="Resort"/>
    <n v="80"/>
    <x v="5"/>
    <s v="Direct"/>
    <d v="2025-01-18T00:00:00"/>
    <s v="Yes"/>
    <s v="No"/>
    <s v="Off-Peak"/>
    <x v="1"/>
    <n v="0"/>
    <s v="0–7 days"/>
  </r>
  <r>
    <s v="B001319"/>
    <s v="G00572"/>
    <s v="H011"/>
    <s v="CH04"/>
    <d v="2026-01-31T00:00:00"/>
    <d v="2026-02-03T00:00:00"/>
    <x v="2"/>
    <n v="2587"/>
    <x v="1"/>
    <b v="0"/>
    <x v="6"/>
    <x v="0"/>
    <n v="2026"/>
    <n v="1"/>
    <n v="1"/>
    <n v="2026"/>
    <n v="5"/>
    <s v="No"/>
    <x v="0"/>
    <s v="India"/>
    <x v="0"/>
    <s v="StayNest Grand"/>
    <x v="8"/>
    <s v="Business"/>
    <n v="110"/>
    <x v="4"/>
    <s v="Partner"/>
    <d v="2026-02-03T00:00:00"/>
    <s v="No"/>
    <s v="No"/>
    <s v="Shoulder"/>
    <x v="1"/>
    <n v="1"/>
    <s v="0–7 days"/>
  </r>
  <r>
    <s v="B001320"/>
    <s v="G00241"/>
    <s v="H009"/>
    <s v="CH03"/>
    <d v="2025-11-23T00:00:00"/>
    <d v="2025-12-23T00:00:00"/>
    <x v="2"/>
    <n v="3245"/>
    <x v="2"/>
    <b v="0"/>
    <x v="2"/>
    <x v="5"/>
    <n v="2025"/>
    <n v="1"/>
    <n v="11"/>
    <n v="2025"/>
    <n v="6"/>
    <s v="No"/>
    <x v="1"/>
    <s v="Germany"/>
    <x v="0"/>
    <s v="StayNest Airport"/>
    <x v="9"/>
    <s v="Business"/>
    <n v="160"/>
    <x v="1"/>
    <s v="OTA Promo"/>
    <d v="2025-12-23T00:00:00"/>
    <s v="No"/>
    <s v="No"/>
    <s v="Peak"/>
    <x v="1"/>
    <n v="0"/>
    <s v="8–30 days"/>
  </r>
  <r>
    <s v="B001321"/>
    <s v="G00142"/>
    <s v="H004"/>
    <s v="CH03"/>
    <d v="2025-11-13T00:00:00"/>
    <d v="2025-11-27T00:00:00"/>
    <x v="3"/>
    <n v="8126"/>
    <x v="1"/>
    <b v="0"/>
    <x v="3"/>
    <x v="4"/>
    <n v="2025"/>
    <n v="3"/>
    <n v="11"/>
    <n v="2025"/>
    <n v="3"/>
    <s v="No"/>
    <x v="0"/>
    <s v="India"/>
    <x v="1"/>
    <s v="StayNest Lakeview"/>
    <x v="2"/>
    <s v="Resort"/>
    <n v="75"/>
    <x v="1"/>
    <s v="OTA Promo"/>
    <d v="2025-11-27T00:00:00"/>
    <s v="No"/>
    <s v="No"/>
    <s v="Off-Peak"/>
    <x v="1"/>
    <n v="1"/>
    <s v="8–30 days"/>
  </r>
  <r>
    <s v="B001322"/>
    <s v="G00414"/>
    <s v="H003"/>
    <s v="CH01"/>
    <d v="2026-01-14T00:00:00"/>
    <d v="2026-04-24T00:00:00"/>
    <x v="3"/>
    <n v="9606"/>
    <x v="2"/>
    <b v="0"/>
    <x v="0"/>
    <x v="2"/>
    <n v="2026"/>
    <n v="4"/>
    <n v="1"/>
    <n v="2026"/>
    <n v="2"/>
    <s v="No"/>
    <x v="1"/>
    <s v="India"/>
    <x v="0"/>
    <s v="StayNest Hills"/>
    <x v="5"/>
    <s v="Resort"/>
    <n v="80"/>
    <x v="5"/>
    <s v="Direct"/>
    <d v="2026-04-24T00:00:00"/>
    <s v="No"/>
    <s v="No"/>
    <s v="Peak"/>
    <x v="1"/>
    <n v="0"/>
    <s v="91–180 days"/>
  </r>
  <r>
    <s v="B001324"/>
    <s v="G00093"/>
    <s v="H012"/>
    <s v="CH02"/>
    <d v="2025-10-16T00:00:00"/>
    <d v="2025-10-17T00:00:00"/>
    <x v="1"/>
    <n v="7515"/>
    <x v="0"/>
    <b v="0"/>
    <x v="7"/>
    <x v="11"/>
    <n v="2025"/>
    <n v="4"/>
    <n v="10"/>
    <n v="2025"/>
    <n v="3"/>
    <s v="No"/>
    <x v="1"/>
    <s v="India"/>
    <x v="0"/>
    <s v="StayNest Valley"/>
    <x v="4"/>
    <s v="Resort"/>
    <n v="65"/>
    <x v="3"/>
    <s v="App Push"/>
    <d v="2025-10-17T00:00:00"/>
    <s v="No"/>
    <s v="No"/>
    <s v="Shoulder"/>
    <x v="1"/>
    <n v="0"/>
    <s v="0–7 days"/>
  </r>
  <r>
    <s v="B001325"/>
    <s v="G00634"/>
    <s v="H008"/>
    <s v="CH01"/>
    <d v="2026-06-20T00:00:00"/>
    <d v="2026-07-20T00:00:00"/>
    <x v="3"/>
    <n v="10021"/>
    <x v="0"/>
    <b v="0"/>
    <x v="2"/>
    <x v="8"/>
    <n v="2026"/>
    <n v="0"/>
    <n v="6"/>
    <n v="2026"/>
    <n v="5"/>
    <s v="No"/>
    <x v="1"/>
    <s v="India"/>
    <x v="0"/>
    <s v="StayNest Palace"/>
    <x v="7"/>
    <s v="Heritage"/>
    <n v="85"/>
    <x v="5"/>
    <s v="Direct"/>
    <d v="2026-07-20T00:00:00"/>
    <s v="No"/>
    <s v="No"/>
    <s v="Off-Peak"/>
    <x v="1"/>
    <n v="0"/>
    <s v="8–30 days"/>
  </r>
  <r>
    <s v="B001326"/>
    <s v="G00548"/>
    <s v="H012"/>
    <s v="CH05"/>
    <d v="2026-08-02T00:00:00"/>
    <d v="2026-09-01T00:00:00"/>
    <x v="0"/>
    <n v="5380"/>
    <x v="0"/>
    <b v="0"/>
    <x v="2"/>
    <x v="10"/>
    <n v="2026"/>
    <n v="1"/>
    <n v="8"/>
    <n v="2026"/>
    <n v="6"/>
    <s v="No"/>
    <x v="1"/>
    <s v="India"/>
    <x v="0"/>
    <s v="StayNest Valley"/>
    <x v="4"/>
    <s v="Resort"/>
    <n v="65"/>
    <x v="2"/>
    <s v="Corporate Rate"/>
    <d v="2026-09-01T00:00:00"/>
    <s v="No"/>
    <s v="No"/>
    <s v="Shoulder"/>
    <x v="1"/>
    <n v="0"/>
    <s v="8–30 days"/>
  </r>
  <r>
    <s v="B001327"/>
    <s v="G00580"/>
    <s v="H002"/>
    <s v="CH04"/>
    <d v="2026-06-26T00:00:00"/>
    <d v="2027-02-01T00:00:00"/>
    <x v="1"/>
    <n v="6519"/>
    <x v="0"/>
    <b v="0"/>
    <x v="8"/>
    <x v="0"/>
    <n v="2027"/>
    <n v="0"/>
    <n v="6"/>
    <n v="2026"/>
    <n v="4"/>
    <s v="No"/>
    <x v="1"/>
    <s v="India"/>
    <x v="0"/>
    <s v="StayNest Central"/>
    <x v="0"/>
    <s v="Business"/>
    <n v="150"/>
    <x v="4"/>
    <s v="Partner"/>
    <m/>
    <s v="Unknown"/>
    <s v="Unknown"/>
    <s v="Unknown"/>
    <x v="0"/>
    <n v="0"/>
    <s v="181+ days"/>
  </r>
  <r>
    <s v="B001328"/>
    <s v="G00080"/>
    <s v="H010"/>
    <s v="CH04"/>
    <d v="2026-01-22T00:00:00"/>
    <d v="2026-01-23T00:00:00"/>
    <x v="0"/>
    <n v="3856"/>
    <x v="0"/>
    <b v="0"/>
    <x v="7"/>
    <x v="6"/>
    <n v="2026"/>
    <n v="4"/>
    <n v="1"/>
    <n v="2026"/>
    <n v="3"/>
    <s v="No"/>
    <x v="1"/>
    <s v="India"/>
    <x v="0"/>
    <s v="StayNest Garden"/>
    <x v="10"/>
    <s v="Boutique"/>
    <n v="70"/>
    <x v="4"/>
    <s v="Partner"/>
    <d v="2026-01-23T00:00:00"/>
    <s v="No"/>
    <s v="No"/>
    <s v="Off-Peak"/>
    <x v="1"/>
    <n v="0"/>
    <s v="0–7 days"/>
  </r>
  <r>
    <s v="B001329"/>
    <s v="G00647"/>
    <s v="H009"/>
    <s v="CH05"/>
    <d v="2026-07-27T00:00:00"/>
    <d v="2026-11-04T00:00:00"/>
    <x v="0"/>
    <n v="4739"/>
    <x v="3"/>
    <b v="0"/>
    <x v="0"/>
    <x v="4"/>
    <n v="2026"/>
    <n v="2"/>
    <n v="7"/>
    <n v="2026"/>
    <n v="0"/>
    <s v="No"/>
    <x v="2"/>
    <s v="India"/>
    <x v="0"/>
    <s v="StayNest Airport"/>
    <x v="9"/>
    <s v="Business"/>
    <n v="160"/>
    <x v="2"/>
    <s v="Corporate Rate"/>
    <d v="2026-11-04T00:00:00"/>
    <s v="No"/>
    <s v="No"/>
    <s v="Off-Peak"/>
    <x v="1"/>
    <n v="0"/>
    <s v="91–180 days"/>
  </r>
  <r>
    <s v="B001330"/>
    <s v="G00586"/>
    <s v="H006"/>
    <s v="CH02"/>
    <d v="2025-03-16T00:00:00"/>
    <d v="2025-05-15T00:00:00"/>
    <x v="3"/>
    <n v="7464"/>
    <x v="0"/>
    <b v="0"/>
    <x v="1"/>
    <x v="9"/>
    <n v="2025"/>
    <n v="3"/>
    <n v="3"/>
    <n v="2025"/>
    <n v="6"/>
    <s v="No"/>
    <x v="2"/>
    <s v="India"/>
    <x v="0"/>
    <s v="StayNest Beach"/>
    <x v="3"/>
    <s v="Resort"/>
    <n v="100"/>
    <x v="3"/>
    <s v="App Push"/>
    <d v="2025-05-15T00:00:00"/>
    <s v="No"/>
    <s v="No"/>
    <s v="Peak"/>
    <x v="1"/>
    <n v="0"/>
    <s v="31–90 days"/>
  </r>
  <r>
    <s v="B001331"/>
    <s v="G00142"/>
    <s v="H008"/>
    <s v="CH03"/>
    <d v="2026-01-30T00:00:00"/>
    <d v="2026-03-01T00:00:00"/>
    <x v="2"/>
    <n v="3309"/>
    <x v="0"/>
    <b v="0"/>
    <x v="2"/>
    <x v="3"/>
    <n v="2026"/>
    <n v="6"/>
    <n v="1"/>
    <n v="2026"/>
    <n v="4"/>
    <s v="Yes"/>
    <x v="0"/>
    <s v="India"/>
    <x v="1"/>
    <s v="StayNest Palace"/>
    <x v="7"/>
    <s v="Heritage"/>
    <n v="85"/>
    <x v="1"/>
    <s v="OTA Promo"/>
    <d v="2026-03-01T00:00:00"/>
    <s v="Yes"/>
    <s v="No"/>
    <s v="Shoulder"/>
    <x v="1"/>
    <n v="0"/>
    <s v="8–30 days"/>
  </r>
  <r>
    <s v="B001332"/>
    <s v="G00142"/>
    <s v="H007"/>
    <s v="CH03"/>
    <d v="2025-07-01T00:00:00"/>
    <d v="2025-07-04T00:00:00"/>
    <x v="1"/>
    <n v="6840"/>
    <x v="3"/>
    <b v="0"/>
    <x v="6"/>
    <x v="8"/>
    <n v="2025"/>
    <n v="4"/>
    <n v="7"/>
    <n v="2025"/>
    <n v="1"/>
    <s v="No"/>
    <x v="0"/>
    <s v="India"/>
    <x v="1"/>
    <s v="StayNest Tech Park"/>
    <x v="6"/>
    <s v="Business"/>
    <n v="140"/>
    <x v="1"/>
    <s v="OTA Promo"/>
    <d v="2025-07-04T00:00:00"/>
    <s v="No"/>
    <s v="No"/>
    <s v="Off-Peak"/>
    <x v="1"/>
    <n v="0"/>
    <s v="0–7 days"/>
  </r>
  <r>
    <s v="B001333"/>
    <s v="G00271"/>
    <s v="H012"/>
    <s v="CH06"/>
    <d v="2026-01-11T00:00:00"/>
    <d v="2026-01-18T00:00:00"/>
    <x v="0"/>
    <n v="5767"/>
    <x v="2"/>
    <b v="0"/>
    <x v="4"/>
    <x v="6"/>
    <n v="2026"/>
    <n v="6"/>
    <n v="1"/>
    <n v="2026"/>
    <n v="6"/>
    <s v="Yes"/>
    <x v="3"/>
    <s v="India"/>
    <x v="1"/>
    <s v="StayNest Valley"/>
    <x v="4"/>
    <s v="Resort"/>
    <n v="65"/>
    <x v="0"/>
    <s v="Retention"/>
    <d v="2026-01-18T00:00:00"/>
    <s v="Yes"/>
    <s v="No"/>
    <s v="Off-Peak"/>
    <x v="1"/>
    <n v="0"/>
    <s v="0–7 days"/>
  </r>
  <r>
    <s v="B001334"/>
    <s v="G00327"/>
    <s v="H007"/>
    <s v="CH05"/>
    <d v="2025-05-10T00:00:00"/>
    <d v="2025-05-11T00:00:00"/>
    <x v="0"/>
    <n v="29892"/>
    <x v="1"/>
    <b v="1"/>
    <x v="7"/>
    <x v="9"/>
    <n v="2025"/>
    <n v="6"/>
    <n v="5"/>
    <n v="2025"/>
    <n v="5"/>
    <s v="Yes"/>
    <x v="1"/>
    <s v="India"/>
    <x v="1"/>
    <s v="StayNest Tech Park"/>
    <x v="6"/>
    <s v="Business"/>
    <n v="140"/>
    <x v="2"/>
    <s v="Corporate Rate"/>
    <d v="2025-05-11T00:00:00"/>
    <s v="Yes"/>
    <s v="No"/>
    <s v="Peak"/>
    <x v="1"/>
    <n v="1"/>
    <s v="0–7 days"/>
  </r>
  <r>
    <s v="B001335"/>
    <s v="G00051"/>
    <s v="H002"/>
    <s v="CH06"/>
    <d v="2026-02-13T00:00:00"/>
    <d v="2026-02-20T00:00:00"/>
    <x v="3"/>
    <n v="10263"/>
    <x v="2"/>
    <b v="0"/>
    <x v="4"/>
    <x v="0"/>
    <n v="2026"/>
    <n v="4"/>
    <n v="2"/>
    <n v="2026"/>
    <n v="4"/>
    <s v="No"/>
    <x v="2"/>
    <s v="India"/>
    <x v="0"/>
    <s v="StayNest Central"/>
    <x v="0"/>
    <s v="Business"/>
    <n v="150"/>
    <x v="0"/>
    <s v="Retention"/>
    <d v="2026-02-20T00:00:00"/>
    <s v="No"/>
    <s v="No"/>
    <s v="Shoulder"/>
    <x v="1"/>
    <n v="0"/>
    <s v="0–7 days"/>
  </r>
  <r>
    <s v="B001336"/>
    <s v="G00482"/>
    <s v="H003"/>
    <s v="CH05"/>
    <d v="2025-06-16T00:00:00"/>
    <d v="2025-11-13T00:00:00"/>
    <x v="3"/>
    <n v="7228"/>
    <x v="2"/>
    <b v="0"/>
    <x v="5"/>
    <x v="4"/>
    <n v="2025"/>
    <n v="3"/>
    <n v="6"/>
    <n v="2025"/>
    <n v="0"/>
    <s v="No"/>
    <x v="0"/>
    <s v="India"/>
    <x v="0"/>
    <s v="StayNest Hills"/>
    <x v="5"/>
    <s v="Resort"/>
    <n v="80"/>
    <x v="2"/>
    <s v="Corporate Rate"/>
    <d v="2025-11-13T00:00:00"/>
    <s v="No"/>
    <s v="No"/>
    <s v="Off-Peak"/>
    <x v="1"/>
    <n v="0"/>
    <s v="91–180 days"/>
  </r>
  <r>
    <s v="B001337"/>
    <s v="G00188"/>
    <s v="H003"/>
    <s v="CH06"/>
    <d v="2025-09-26T00:00:00"/>
    <d v="2025-11-25T00:00:00"/>
    <x v="0"/>
    <n v="5219"/>
    <x v="2"/>
    <b v="0"/>
    <x v="1"/>
    <x v="4"/>
    <n v="2025"/>
    <n v="1"/>
    <n v="9"/>
    <n v="2025"/>
    <n v="4"/>
    <s v="No"/>
    <x v="1"/>
    <s v="India"/>
    <x v="0"/>
    <s v="StayNest Hills"/>
    <x v="5"/>
    <s v="Resort"/>
    <n v="80"/>
    <x v="0"/>
    <s v="Retention"/>
    <d v="2025-11-25T00:00:00"/>
    <s v="No"/>
    <s v="No"/>
    <s v="Off-Peak"/>
    <x v="1"/>
    <n v="0"/>
    <s v="31–90 days"/>
  </r>
  <r>
    <s v="B001338"/>
    <s v="G00383"/>
    <s v="H001"/>
    <s v="CH04"/>
    <d v="2025-03-09T00:00:00"/>
    <d v="2025-03-10T00:00:00"/>
    <x v="3"/>
    <n v="7249"/>
    <x v="0"/>
    <b v="0"/>
    <x v="7"/>
    <x v="3"/>
    <n v="2025"/>
    <n v="0"/>
    <n v="3"/>
    <n v="2025"/>
    <n v="6"/>
    <s v="No"/>
    <x v="0"/>
    <s v="India"/>
    <x v="1"/>
    <s v="StayNest Marina"/>
    <x v="1"/>
    <s v="Business"/>
    <n v="120"/>
    <x v="4"/>
    <s v="Partner"/>
    <d v="2025-03-10T00:00:00"/>
    <s v="No"/>
    <s v="No"/>
    <s v="Shoulder"/>
    <x v="1"/>
    <n v="0"/>
    <s v="0–7 days"/>
  </r>
  <r>
    <s v="B001339"/>
    <s v="G00475"/>
    <s v="H002"/>
    <s v="CH06"/>
    <d v="2025-03-30T00:00:00"/>
    <d v="2025-04-06T00:00:00"/>
    <x v="1"/>
    <n v="5931"/>
    <x v="0"/>
    <b v="0"/>
    <x v="4"/>
    <x v="2"/>
    <n v="2025"/>
    <n v="6"/>
    <n v="3"/>
    <n v="2025"/>
    <n v="6"/>
    <s v="Yes"/>
    <x v="2"/>
    <s v="India"/>
    <x v="0"/>
    <s v="StayNest Central"/>
    <x v="0"/>
    <s v="Business"/>
    <n v="150"/>
    <x v="0"/>
    <s v="Retention"/>
    <d v="2025-04-06T00:00:00"/>
    <s v="Yes"/>
    <s v="No"/>
    <s v="Peak"/>
    <x v="1"/>
    <n v="0"/>
    <s v="0–7 days"/>
  </r>
  <r>
    <s v="B001340"/>
    <s v="G00584"/>
    <s v="H003"/>
    <s v="CH02"/>
    <d v="2025-02-14T00:00:00"/>
    <d v="2025-02-15T00:00:00"/>
    <x v="2"/>
    <n v="3415"/>
    <x v="2"/>
    <b v="0"/>
    <x v="7"/>
    <x v="0"/>
    <n v="2025"/>
    <n v="5"/>
    <n v="2"/>
    <n v="2025"/>
    <n v="4"/>
    <s v="Yes"/>
    <x v="1"/>
    <s v="India"/>
    <x v="0"/>
    <s v="StayNest Hills"/>
    <x v="5"/>
    <s v="Resort"/>
    <n v="80"/>
    <x v="3"/>
    <s v="App Push"/>
    <d v="2025-02-15T00:00:00"/>
    <s v="Yes"/>
    <s v="No"/>
    <s v="Shoulder"/>
    <x v="1"/>
    <n v="0"/>
    <s v="0–7 days"/>
  </r>
  <r>
    <s v="B001341"/>
    <s v="G00089"/>
    <s v="H009"/>
    <s v="CH05"/>
    <d v="2025-11-16T00:00:00"/>
    <d v="2025-12-16T00:00:00"/>
    <x v="3"/>
    <n v="11148"/>
    <x v="0"/>
    <b v="0"/>
    <x v="2"/>
    <x v="5"/>
    <n v="2025"/>
    <n v="1"/>
    <n v="11"/>
    <n v="2025"/>
    <n v="6"/>
    <s v="No"/>
    <x v="0"/>
    <s v="United States"/>
    <x v="0"/>
    <s v="StayNest Airport"/>
    <x v="9"/>
    <s v="Business"/>
    <n v="160"/>
    <x v="2"/>
    <s v="Corporate Rate"/>
    <d v="2025-12-16T00:00:00"/>
    <s v="No"/>
    <s v="No"/>
    <s v="Peak"/>
    <x v="1"/>
    <n v="0"/>
    <s v="8–30 days"/>
  </r>
  <r>
    <s v="B001342"/>
    <s v="G00423"/>
    <s v="H006"/>
    <s v="CH02"/>
    <d v="2026-09-02T00:00:00"/>
    <d v="2026-09-09T00:00:00"/>
    <x v="1"/>
    <n v="8248"/>
    <x v="3"/>
    <b v="0"/>
    <x v="4"/>
    <x v="10"/>
    <n v="2026"/>
    <n v="2"/>
    <n v="9"/>
    <n v="2026"/>
    <n v="2"/>
    <s v="No"/>
    <x v="3"/>
    <s v="India"/>
    <x v="1"/>
    <s v="StayNest Beach"/>
    <x v="3"/>
    <s v="Resort"/>
    <n v="100"/>
    <x v="3"/>
    <s v="App Push"/>
    <d v="2026-09-09T00:00:00"/>
    <s v="No"/>
    <s v="No"/>
    <s v="Shoulder"/>
    <x v="1"/>
    <n v="0"/>
    <s v="0–7 days"/>
  </r>
  <r>
    <s v="B001343"/>
    <s v="G00208"/>
    <s v="H005"/>
    <s v="CH05"/>
    <d v="2025-03-26T00:00:00"/>
    <d v="2025-04-02T00:00:00"/>
    <x v="2"/>
    <n v="2728"/>
    <x v="0"/>
    <b v="0"/>
    <x v="4"/>
    <x v="2"/>
    <n v="2025"/>
    <n v="2"/>
    <n v="3"/>
    <n v="2025"/>
    <n v="2"/>
    <s v="No"/>
    <x v="1"/>
    <s v="India"/>
    <x v="1"/>
    <s v="StayNest Heritage"/>
    <x v="11"/>
    <s v="Heritage"/>
    <n v="90"/>
    <x v="2"/>
    <s v="Corporate Rate"/>
    <d v="2025-04-02T00:00:00"/>
    <s v="No"/>
    <s v="No"/>
    <s v="Peak"/>
    <x v="1"/>
    <n v="0"/>
    <s v="0–7 days"/>
  </r>
  <r>
    <s v="B001344"/>
    <s v="G00228"/>
    <s v="H011"/>
    <s v="CH02"/>
    <d v="2025-03-12T00:00:00"/>
    <d v="2025-03-26T00:00:00"/>
    <x v="3"/>
    <n v="10086"/>
    <x v="0"/>
    <b v="0"/>
    <x v="3"/>
    <x v="3"/>
    <n v="2025"/>
    <n v="2"/>
    <n v="3"/>
    <n v="2025"/>
    <n v="2"/>
    <s v="No"/>
    <x v="1"/>
    <s v="India"/>
    <x v="1"/>
    <s v="StayNest Grand"/>
    <x v="8"/>
    <s v="Business"/>
    <n v="110"/>
    <x v="3"/>
    <s v="App Push"/>
    <d v="2025-03-26T00:00:00"/>
    <s v="No"/>
    <s v="No"/>
    <s v="Shoulder"/>
    <x v="1"/>
    <n v="0"/>
    <s v="8–30 days"/>
  </r>
  <r>
    <s v="B001345"/>
    <s v="G00156"/>
    <s v="H007"/>
    <s v="CH05"/>
    <d v="2025-03-03T00:00:00"/>
    <d v="2025-03-17T00:00:00"/>
    <x v="3"/>
    <n v="10016"/>
    <x v="3"/>
    <b v="0"/>
    <x v="3"/>
    <x v="3"/>
    <n v="2025"/>
    <n v="0"/>
    <n v="3"/>
    <n v="2025"/>
    <n v="0"/>
    <s v="No"/>
    <x v="1"/>
    <s v="India"/>
    <x v="0"/>
    <s v="StayNest Tech Park"/>
    <x v="6"/>
    <s v="Business"/>
    <n v="140"/>
    <x v="2"/>
    <s v="Corporate Rate"/>
    <d v="2025-03-17T00:00:00"/>
    <s v="No"/>
    <s v="No"/>
    <s v="Shoulder"/>
    <x v="1"/>
    <n v="0"/>
    <s v="8–30 days"/>
  </r>
  <r>
    <s v="B001346"/>
    <s v="G00258"/>
    <s v="H005"/>
    <s v="CH05"/>
    <d v="2026-05-31T00:00:00"/>
    <d v="2026-06-07T00:00:00"/>
    <x v="3"/>
    <n v="9634"/>
    <x v="3"/>
    <b v="0"/>
    <x v="4"/>
    <x v="1"/>
    <n v="2026"/>
    <n v="6"/>
    <n v="5"/>
    <n v="2026"/>
    <n v="6"/>
    <s v="Yes"/>
    <x v="1"/>
    <s v="India"/>
    <x v="0"/>
    <s v="StayNest Heritage"/>
    <x v="11"/>
    <s v="Heritage"/>
    <n v="90"/>
    <x v="2"/>
    <s v="Corporate Rate"/>
    <d v="2026-06-07T00:00:00"/>
    <s v="Yes"/>
    <s v="No"/>
    <s v="Shoulder"/>
    <x v="1"/>
    <n v="0"/>
    <s v="0–7 days"/>
  </r>
  <r>
    <s v="B001347"/>
    <s v="G00306"/>
    <s v="H007"/>
    <s v="CH02"/>
    <d v="2026-07-08T00:00:00"/>
    <d v="2026-07-09T00:00:00"/>
    <x v="3"/>
    <n v="8766"/>
    <x v="0"/>
    <b v="0"/>
    <x v="7"/>
    <x v="8"/>
    <n v="2026"/>
    <n v="3"/>
    <n v="7"/>
    <n v="2026"/>
    <n v="2"/>
    <s v="No"/>
    <x v="1"/>
    <s v="India"/>
    <x v="0"/>
    <s v="StayNest Tech Park"/>
    <x v="6"/>
    <s v="Business"/>
    <n v="140"/>
    <x v="3"/>
    <s v="App Push"/>
    <d v="2026-07-09T00:00:00"/>
    <s v="No"/>
    <s v="No"/>
    <s v="Off-Peak"/>
    <x v="1"/>
    <n v="0"/>
    <s v="0–7 days"/>
  </r>
  <r>
    <s v="B001348"/>
    <s v="G00361"/>
    <s v="H002"/>
    <s v="CH03"/>
    <d v="2026-02-11T00:00:00"/>
    <d v="2026-02-14T00:00:00"/>
    <x v="0"/>
    <n v="3639"/>
    <x v="0"/>
    <b v="0"/>
    <x v="6"/>
    <x v="0"/>
    <n v="2026"/>
    <n v="5"/>
    <n v="2"/>
    <n v="2026"/>
    <n v="2"/>
    <s v="Yes"/>
    <x v="3"/>
    <s v="Unknown"/>
    <x v="0"/>
    <s v="StayNest Central"/>
    <x v="0"/>
    <s v="Business"/>
    <n v="150"/>
    <x v="1"/>
    <s v="OTA Promo"/>
    <d v="2026-02-14T00:00:00"/>
    <s v="Yes"/>
    <s v="No"/>
    <s v="Shoulder"/>
    <x v="1"/>
    <n v="0"/>
    <s v="0–7 days"/>
  </r>
  <r>
    <s v="B001349"/>
    <s v="G00506"/>
    <s v="H011"/>
    <s v="CH06"/>
    <d v="2025-11-13T00:00:00"/>
    <d v="2026-01-12T00:00:00"/>
    <x v="2"/>
    <n v="2404"/>
    <x v="0"/>
    <b v="0"/>
    <x v="1"/>
    <x v="6"/>
    <n v="2026"/>
    <n v="0"/>
    <n v="11"/>
    <n v="2025"/>
    <n v="3"/>
    <s v="No"/>
    <x v="0"/>
    <s v="India"/>
    <x v="0"/>
    <s v="StayNest Grand"/>
    <x v="8"/>
    <s v="Business"/>
    <n v="110"/>
    <x v="0"/>
    <s v="Retention"/>
    <d v="2026-01-12T00:00:00"/>
    <s v="No"/>
    <s v="No"/>
    <s v="Off-Peak"/>
    <x v="1"/>
    <n v="0"/>
    <s v="31–90 days"/>
  </r>
  <r>
    <s v="B001350"/>
    <s v="G00020"/>
    <s v="H003"/>
    <s v="CH03"/>
    <d v="2025-10-30T00:00:00"/>
    <d v="2025-12-29T00:00:00"/>
    <x v="1"/>
    <n v="7596"/>
    <x v="0"/>
    <b v="0"/>
    <x v="1"/>
    <x v="5"/>
    <n v="2025"/>
    <n v="0"/>
    <n v="10"/>
    <n v="2025"/>
    <n v="3"/>
    <s v="No"/>
    <x v="0"/>
    <s v="India"/>
    <x v="0"/>
    <s v="StayNest Hills"/>
    <x v="5"/>
    <s v="Resort"/>
    <n v="80"/>
    <x v="1"/>
    <s v="OTA Promo"/>
    <d v="2025-12-29T00:00:00"/>
    <s v="No"/>
    <s v="No"/>
    <s v="Peak"/>
    <x v="1"/>
    <n v="0"/>
    <s v="31–90 days"/>
  </r>
  <r>
    <s v="B001351"/>
    <s v="G00240"/>
    <s v="H006"/>
    <s v="CH03"/>
    <d v="2025-03-27T00:00:00"/>
    <d v="2025-05-26T00:00:00"/>
    <x v="2"/>
    <n v="3565"/>
    <x v="2"/>
    <b v="0"/>
    <x v="1"/>
    <x v="9"/>
    <n v="2025"/>
    <n v="0"/>
    <n v="3"/>
    <n v="2025"/>
    <n v="3"/>
    <s v="No"/>
    <x v="3"/>
    <s v="India"/>
    <x v="1"/>
    <s v="StayNest Beach"/>
    <x v="3"/>
    <s v="Resort"/>
    <n v="100"/>
    <x v="1"/>
    <s v="OTA Promo"/>
    <d v="2025-05-26T00:00:00"/>
    <s v="No"/>
    <s v="No"/>
    <s v="Peak"/>
    <x v="1"/>
    <n v="0"/>
    <s v="31–90 days"/>
  </r>
  <r>
    <s v="B001352"/>
    <s v="G00366"/>
    <s v="H001"/>
    <s v="CH01"/>
    <d v="2025-06-11T00:00:00"/>
    <d v="2025-09-19T00:00:00"/>
    <x v="2"/>
    <n v="2854"/>
    <x v="2"/>
    <b v="0"/>
    <x v="0"/>
    <x v="10"/>
    <n v="2025"/>
    <n v="4"/>
    <n v="6"/>
    <n v="2025"/>
    <n v="2"/>
    <s v="No"/>
    <x v="0"/>
    <s v="United Kingdom"/>
    <x v="0"/>
    <s v="StayNest Marina"/>
    <x v="1"/>
    <s v="Business"/>
    <n v="120"/>
    <x v="5"/>
    <s v="Direct"/>
    <d v="2025-09-19T00:00:00"/>
    <s v="No"/>
    <s v="No"/>
    <s v="Shoulder"/>
    <x v="1"/>
    <n v="0"/>
    <s v="91–180 days"/>
  </r>
  <r>
    <s v="B001353"/>
    <s v="G00356"/>
    <s v="H011"/>
    <s v="CH06"/>
    <d v="2026-08-26T00:00:00"/>
    <d v="2026-09-02T00:00:00"/>
    <x v="3"/>
    <n v="6859"/>
    <x v="1"/>
    <b v="0"/>
    <x v="4"/>
    <x v="10"/>
    <n v="2026"/>
    <n v="2"/>
    <n v="8"/>
    <n v="2026"/>
    <n v="2"/>
    <s v="No"/>
    <x v="1"/>
    <s v="India"/>
    <x v="0"/>
    <s v="StayNest Grand"/>
    <x v="8"/>
    <s v="Business"/>
    <n v="110"/>
    <x v="0"/>
    <s v="Retention"/>
    <d v="2026-09-02T00:00:00"/>
    <s v="No"/>
    <s v="No"/>
    <s v="Shoulder"/>
    <x v="1"/>
    <n v="1"/>
    <s v="0–7 days"/>
  </r>
  <r>
    <s v="B001354"/>
    <s v="G00454"/>
    <s v="H012"/>
    <s v="CH02"/>
    <d v="2025-05-13T00:00:00"/>
    <d v="2025-05-27T00:00:00"/>
    <x v="2"/>
    <n v="3650"/>
    <x v="2"/>
    <b v="0"/>
    <x v="3"/>
    <x v="9"/>
    <n v="2025"/>
    <n v="1"/>
    <n v="5"/>
    <n v="2025"/>
    <n v="1"/>
    <s v="No"/>
    <x v="3"/>
    <s v="India"/>
    <x v="0"/>
    <s v="StayNest Valley"/>
    <x v="4"/>
    <s v="Resort"/>
    <n v="65"/>
    <x v="3"/>
    <s v="App Push"/>
    <d v="2025-05-27T00:00:00"/>
    <s v="No"/>
    <s v="No"/>
    <s v="Peak"/>
    <x v="1"/>
    <n v="0"/>
    <s v="8–30 days"/>
  </r>
  <r>
    <s v="B001355"/>
    <s v="G00068"/>
    <s v="H001"/>
    <s v="CH01"/>
    <d v="2026-02-07T00:00:00"/>
    <d v="2026-02-14T00:00:00"/>
    <x v="0"/>
    <n v="3549"/>
    <x v="0"/>
    <b v="0"/>
    <x v="4"/>
    <x v="0"/>
    <n v="2026"/>
    <n v="5"/>
    <n v="2"/>
    <n v="2026"/>
    <n v="5"/>
    <s v="Yes"/>
    <x v="2"/>
    <s v="Singapore"/>
    <x v="1"/>
    <s v="StayNest Marina"/>
    <x v="1"/>
    <s v="Business"/>
    <n v="120"/>
    <x v="5"/>
    <s v="Direct"/>
    <d v="2026-02-14T00:00:00"/>
    <s v="Yes"/>
    <s v="No"/>
    <s v="Shoulder"/>
    <x v="1"/>
    <n v="0"/>
    <s v="0–7 days"/>
  </r>
  <r>
    <s v="B001356"/>
    <s v="G00130"/>
    <s v="H001"/>
    <s v="CH02"/>
    <d v="2026-03-15T00:00:00"/>
    <d v="2026-03-16T00:00:00"/>
    <x v="3"/>
    <n v="8956"/>
    <x v="1"/>
    <b v="0"/>
    <x v="7"/>
    <x v="3"/>
    <n v="2026"/>
    <n v="0"/>
    <n v="3"/>
    <n v="2026"/>
    <n v="6"/>
    <s v="No"/>
    <x v="3"/>
    <s v="Germany"/>
    <x v="0"/>
    <s v="StayNest Marina"/>
    <x v="1"/>
    <s v="Business"/>
    <n v="120"/>
    <x v="3"/>
    <s v="App Push"/>
    <d v="2026-03-16T00:00:00"/>
    <s v="No"/>
    <s v="No"/>
    <s v="Shoulder"/>
    <x v="1"/>
    <n v="1"/>
    <s v="0–7 days"/>
  </r>
  <r>
    <s v="B001357"/>
    <s v="G00227"/>
    <s v="H011"/>
    <s v="CH03"/>
    <d v="2026-09-23T00:00:00"/>
    <d v="2026-10-23T00:00:00"/>
    <x v="0"/>
    <n v="4917"/>
    <x v="0"/>
    <b v="0"/>
    <x v="2"/>
    <x v="11"/>
    <n v="2026"/>
    <n v="4"/>
    <n v="9"/>
    <n v="2026"/>
    <n v="2"/>
    <s v="No"/>
    <x v="1"/>
    <s v="India"/>
    <x v="0"/>
    <s v="StayNest Grand"/>
    <x v="8"/>
    <s v="Business"/>
    <n v="110"/>
    <x v="1"/>
    <s v="OTA Promo"/>
    <d v="2026-10-23T00:00:00"/>
    <s v="No"/>
    <s v="No"/>
    <s v="Shoulder"/>
    <x v="1"/>
    <n v="0"/>
    <s v="8–30 days"/>
  </r>
  <r>
    <s v="B001358"/>
    <s v="G00371"/>
    <s v="H007"/>
    <s v="CH01"/>
    <d v="2025-02-04T00:00:00"/>
    <d v="2025-02-05T00:00:00"/>
    <x v="1"/>
    <n v="7638"/>
    <x v="3"/>
    <b v="0"/>
    <x v="7"/>
    <x v="0"/>
    <n v="2025"/>
    <n v="2"/>
    <n v="2"/>
    <n v="2025"/>
    <n v="1"/>
    <s v="No"/>
    <x v="3"/>
    <s v="India"/>
    <x v="0"/>
    <s v="StayNest Tech Park"/>
    <x v="6"/>
    <s v="Business"/>
    <n v="140"/>
    <x v="5"/>
    <s v="Direct"/>
    <d v="2025-02-05T00:00:00"/>
    <s v="No"/>
    <s v="No"/>
    <s v="Shoulder"/>
    <x v="1"/>
    <n v="0"/>
    <s v="0–7 days"/>
  </r>
  <r>
    <s v="B001359"/>
    <s v="G00561"/>
    <s v="H001"/>
    <s v="CH01"/>
    <d v="2026-07-14T00:00:00"/>
    <d v="2026-07-28T00:00:00"/>
    <x v="1"/>
    <n v="6961"/>
    <x v="0"/>
    <b v="0"/>
    <x v="3"/>
    <x v="8"/>
    <n v="2026"/>
    <n v="1"/>
    <n v="7"/>
    <n v="2026"/>
    <n v="1"/>
    <s v="No"/>
    <x v="3"/>
    <s v="United Kingdom"/>
    <x v="0"/>
    <s v="StayNest Marina"/>
    <x v="1"/>
    <s v="Business"/>
    <n v="120"/>
    <x v="5"/>
    <s v="Direct"/>
    <d v="2026-07-28T00:00:00"/>
    <s v="No"/>
    <s v="No"/>
    <s v="Off-Peak"/>
    <x v="1"/>
    <n v="0"/>
    <s v="8–30 days"/>
  </r>
  <r>
    <s v="B001360"/>
    <s v="G00224"/>
    <s v="H011"/>
    <s v="CH02"/>
    <d v="2026-08-07T00:00:00"/>
    <d v="2026-11-15T00:00:00"/>
    <x v="3"/>
    <n v="39808"/>
    <x v="2"/>
    <b v="1"/>
    <x v="0"/>
    <x v="4"/>
    <n v="2026"/>
    <n v="6"/>
    <n v="8"/>
    <n v="2026"/>
    <n v="4"/>
    <s v="Yes"/>
    <x v="3"/>
    <s v="India"/>
    <x v="0"/>
    <s v="StayNest Grand"/>
    <x v="8"/>
    <s v="Business"/>
    <n v="110"/>
    <x v="3"/>
    <s v="App Push"/>
    <d v="2026-11-15T00:00:00"/>
    <s v="Yes"/>
    <s v="No"/>
    <s v="Off-Peak"/>
    <x v="1"/>
    <n v="0"/>
    <s v="91–180 days"/>
  </r>
  <r>
    <s v="B001361"/>
    <s v="G00161"/>
    <s v="H006"/>
    <s v="CH03"/>
    <d v="2025-01-09T00:00:00"/>
    <d v="2025-01-16T00:00:00"/>
    <x v="3"/>
    <n v="8240"/>
    <x v="1"/>
    <b v="0"/>
    <x v="4"/>
    <x v="6"/>
    <n v="2025"/>
    <n v="3"/>
    <n v="1"/>
    <n v="2025"/>
    <n v="3"/>
    <s v="No"/>
    <x v="3"/>
    <s v="India"/>
    <x v="0"/>
    <s v="StayNest Beach"/>
    <x v="3"/>
    <s v="Resort"/>
    <n v="100"/>
    <x v="1"/>
    <s v="OTA Promo"/>
    <d v="2025-01-16T00:00:00"/>
    <s v="No"/>
    <s v="No"/>
    <s v="Off-Peak"/>
    <x v="1"/>
    <n v="1"/>
    <s v="0–7 days"/>
  </r>
  <r>
    <s v="B001362"/>
    <s v="G00401"/>
    <s v="H003"/>
    <s v="CH03"/>
    <d v="2025-04-19T00:00:00"/>
    <d v="2025-05-03T00:00:00"/>
    <x v="3"/>
    <n v="11642"/>
    <x v="2"/>
    <b v="0"/>
    <x v="3"/>
    <x v="9"/>
    <n v="2025"/>
    <n v="5"/>
    <n v="4"/>
    <n v="2025"/>
    <n v="5"/>
    <s v="Yes"/>
    <x v="0"/>
    <s v="India"/>
    <x v="0"/>
    <s v="StayNest Hills"/>
    <x v="5"/>
    <s v="Resort"/>
    <n v="80"/>
    <x v="1"/>
    <s v="OTA Promo"/>
    <d v="2025-05-03T00:00:00"/>
    <s v="Yes"/>
    <s v="No"/>
    <s v="Peak"/>
    <x v="1"/>
    <n v="0"/>
    <s v="8–30 days"/>
  </r>
  <r>
    <s v="B001363"/>
    <s v="G00225"/>
    <s v="H004"/>
    <s v="CH03"/>
    <d v="2025-12-05T00:00:00"/>
    <d v="2026-03-15T00:00:00"/>
    <x v="2"/>
    <n v="3709"/>
    <x v="2"/>
    <b v="0"/>
    <x v="0"/>
    <x v="3"/>
    <n v="2026"/>
    <n v="6"/>
    <n v="12"/>
    <n v="2025"/>
    <n v="4"/>
    <s v="Yes"/>
    <x v="2"/>
    <s v="India"/>
    <x v="0"/>
    <s v="StayNest Lakeview"/>
    <x v="2"/>
    <s v="Resort"/>
    <n v="75"/>
    <x v="1"/>
    <s v="OTA Promo"/>
    <d v="2026-03-15T00:00:00"/>
    <s v="Yes"/>
    <s v="No"/>
    <s v="Shoulder"/>
    <x v="1"/>
    <n v="0"/>
    <s v="91–180 days"/>
  </r>
  <r>
    <s v="B001364"/>
    <s v="G00048"/>
    <s v="H006"/>
    <s v="CH02"/>
    <d v="2025-01-06T00:00:00"/>
    <d v="2025-02-05T00:00:00"/>
    <x v="1"/>
    <n v="5620"/>
    <x v="1"/>
    <b v="0"/>
    <x v="2"/>
    <x v="0"/>
    <n v="2025"/>
    <n v="2"/>
    <n v="1"/>
    <n v="2025"/>
    <n v="0"/>
    <s v="No"/>
    <x v="3"/>
    <s v="India"/>
    <x v="0"/>
    <s v="StayNest Beach"/>
    <x v="3"/>
    <s v="Resort"/>
    <n v="100"/>
    <x v="3"/>
    <s v="App Push"/>
    <d v="2025-02-05T00:00:00"/>
    <s v="No"/>
    <s v="No"/>
    <s v="Shoulder"/>
    <x v="1"/>
    <n v="1"/>
    <s v="8–30 days"/>
  </r>
  <r>
    <s v="B001365"/>
    <s v="G00394"/>
    <s v="H007"/>
    <s v="CH04"/>
    <d v="2025-08-14T00:00:00"/>
    <d v="2025-10-13T00:00:00"/>
    <x v="2"/>
    <n v="4035"/>
    <x v="0"/>
    <b v="0"/>
    <x v="1"/>
    <x v="11"/>
    <n v="2025"/>
    <n v="0"/>
    <n v="8"/>
    <n v="2025"/>
    <n v="3"/>
    <s v="No"/>
    <x v="3"/>
    <s v="Singapore"/>
    <x v="0"/>
    <s v="StayNest Tech Park"/>
    <x v="6"/>
    <s v="Business"/>
    <n v="140"/>
    <x v="4"/>
    <s v="Partner"/>
    <d v="2025-10-13T00:00:00"/>
    <s v="No"/>
    <s v="No"/>
    <s v="Shoulder"/>
    <x v="1"/>
    <n v="0"/>
    <s v="31–90 days"/>
  </r>
  <r>
    <s v="B001366"/>
    <s v="G00557"/>
    <s v="H008"/>
    <s v="CH03"/>
    <d v="2026-08-03T00:00:00"/>
    <d v="2026-11-11T00:00:00"/>
    <x v="2"/>
    <n v="3415"/>
    <x v="1"/>
    <b v="0"/>
    <x v="0"/>
    <x v="4"/>
    <n v="2026"/>
    <n v="2"/>
    <n v="8"/>
    <n v="2026"/>
    <n v="0"/>
    <s v="No"/>
    <x v="3"/>
    <s v="Singapore"/>
    <x v="0"/>
    <s v="StayNest Palace"/>
    <x v="7"/>
    <s v="Heritage"/>
    <n v="85"/>
    <x v="1"/>
    <s v="OTA Promo"/>
    <d v="2026-11-11T00:00:00"/>
    <s v="No"/>
    <s v="No"/>
    <s v="Off-Peak"/>
    <x v="1"/>
    <n v="1"/>
    <s v="91–180 days"/>
  </r>
  <r>
    <s v="B001367"/>
    <s v="G00247"/>
    <s v="H007"/>
    <s v="CH06"/>
    <d v="2025-07-03T00:00:00"/>
    <d v="2025-09-01T00:00:00"/>
    <x v="0"/>
    <n v="4948"/>
    <x v="0"/>
    <b v="0"/>
    <x v="1"/>
    <x v="10"/>
    <n v="2025"/>
    <n v="0"/>
    <n v="7"/>
    <n v="2025"/>
    <n v="3"/>
    <s v="No"/>
    <x v="1"/>
    <s v="India"/>
    <x v="0"/>
    <s v="StayNest Tech Park"/>
    <x v="6"/>
    <s v="Business"/>
    <n v="140"/>
    <x v="0"/>
    <s v="Retention"/>
    <d v="2025-09-01T00:00:00"/>
    <s v="No"/>
    <s v="No"/>
    <s v="Shoulder"/>
    <x v="1"/>
    <n v="0"/>
    <s v="31–90 days"/>
  </r>
  <r>
    <s v="B001368"/>
    <s v="G00026"/>
    <s v="H012"/>
    <s v="CH05"/>
    <d v="2025-05-10T00:00:00"/>
    <d v="2025-05-11T00:00:00"/>
    <x v="1"/>
    <n v="5924"/>
    <x v="0"/>
    <b v="0"/>
    <x v="7"/>
    <x v="9"/>
    <n v="2025"/>
    <n v="6"/>
    <n v="5"/>
    <n v="2025"/>
    <n v="5"/>
    <s v="Yes"/>
    <x v="3"/>
    <s v="UAE"/>
    <x v="0"/>
    <s v="StayNest Valley"/>
    <x v="4"/>
    <s v="Resort"/>
    <n v="65"/>
    <x v="2"/>
    <s v="Corporate Rate"/>
    <d v="2025-05-11T00:00:00"/>
    <s v="Yes"/>
    <s v="No"/>
    <s v="Peak"/>
    <x v="1"/>
    <n v="0"/>
    <s v="0–7 days"/>
  </r>
  <r>
    <s v="B001369"/>
    <s v="G00442"/>
    <s v="H012"/>
    <s v="CH02"/>
    <d v="2025-04-12T00:00:00"/>
    <d v="2025-05-12T00:00:00"/>
    <x v="0"/>
    <n v="5648"/>
    <x v="0"/>
    <b v="0"/>
    <x v="2"/>
    <x v="9"/>
    <n v="2025"/>
    <n v="0"/>
    <n v="4"/>
    <n v="2025"/>
    <n v="5"/>
    <s v="No"/>
    <x v="1"/>
    <s v="United Kingdom"/>
    <x v="1"/>
    <s v="StayNest Valley"/>
    <x v="4"/>
    <s v="Resort"/>
    <n v="65"/>
    <x v="3"/>
    <s v="App Push"/>
    <d v="2025-05-12T00:00:00"/>
    <s v="No"/>
    <s v="No"/>
    <s v="Peak"/>
    <x v="1"/>
    <n v="0"/>
    <s v="8–30 days"/>
  </r>
  <r>
    <s v="B001370"/>
    <s v="G00375"/>
    <s v="H010"/>
    <s v="CH01"/>
    <d v="2026-03-21T00:00:00"/>
    <d v="2026-03-24T00:00:00"/>
    <x v="2"/>
    <n v="3094"/>
    <x v="2"/>
    <b v="0"/>
    <x v="6"/>
    <x v="3"/>
    <n v="2026"/>
    <n v="1"/>
    <n v="3"/>
    <n v="2026"/>
    <n v="5"/>
    <s v="No"/>
    <x v="0"/>
    <s v="India"/>
    <x v="0"/>
    <s v="StayNest Garden"/>
    <x v="10"/>
    <s v="Boutique"/>
    <n v="70"/>
    <x v="5"/>
    <s v="Direct"/>
    <d v="2026-03-24T00:00:00"/>
    <s v="No"/>
    <s v="No"/>
    <s v="Shoulder"/>
    <x v="1"/>
    <n v="0"/>
    <s v="0–7 days"/>
  </r>
  <r>
    <s v="B001371"/>
    <s v="G00321"/>
    <s v="H010"/>
    <s v="CH06"/>
    <d v="2026-04-20T00:00:00"/>
    <d v="2026-06-19T00:00:00"/>
    <x v="1"/>
    <n v="7277"/>
    <x v="2"/>
    <b v="0"/>
    <x v="1"/>
    <x v="1"/>
    <n v="2026"/>
    <n v="4"/>
    <n v="4"/>
    <n v="2026"/>
    <n v="0"/>
    <s v="No"/>
    <x v="0"/>
    <s v="India"/>
    <x v="0"/>
    <s v="StayNest Garden"/>
    <x v="10"/>
    <s v="Boutique"/>
    <n v="70"/>
    <x v="0"/>
    <s v="Retention"/>
    <d v="2026-06-19T00:00:00"/>
    <s v="No"/>
    <s v="No"/>
    <s v="Shoulder"/>
    <x v="1"/>
    <n v="0"/>
    <s v="31–90 days"/>
  </r>
  <r>
    <s v="B001372"/>
    <s v="G00348"/>
    <s v="H004"/>
    <s v="CH04"/>
    <d v="2026-07-02T00:00:00"/>
    <d v="2026-08-31T00:00:00"/>
    <x v="0"/>
    <n v="5037"/>
    <x v="0"/>
    <b v="0"/>
    <x v="1"/>
    <x v="7"/>
    <n v="2026"/>
    <n v="0"/>
    <n v="7"/>
    <n v="2026"/>
    <n v="3"/>
    <s v="No"/>
    <x v="3"/>
    <s v="United States"/>
    <x v="0"/>
    <s v="StayNest Lakeview"/>
    <x v="2"/>
    <s v="Resort"/>
    <n v="75"/>
    <x v="4"/>
    <s v="Partner"/>
    <d v="2026-08-31T00:00:00"/>
    <s v="No"/>
    <s v="No"/>
    <s v="Off-Peak"/>
    <x v="1"/>
    <n v="0"/>
    <s v="31–90 days"/>
  </r>
  <r>
    <s v="B001373"/>
    <s v="G00177"/>
    <s v="H009"/>
    <s v="CH03"/>
    <d v="2025-12-06T00:00:00"/>
    <d v="2026-05-05T00:00:00"/>
    <x v="3"/>
    <n v="10709"/>
    <x v="0"/>
    <b v="0"/>
    <x v="5"/>
    <x v="9"/>
    <n v="2026"/>
    <n v="1"/>
    <n v="12"/>
    <n v="2025"/>
    <n v="5"/>
    <s v="No"/>
    <x v="1"/>
    <s v="India"/>
    <x v="1"/>
    <s v="StayNest Airport"/>
    <x v="9"/>
    <s v="Business"/>
    <n v="160"/>
    <x v="1"/>
    <s v="OTA Promo"/>
    <d v="2026-05-05T00:00:00"/>
    <s v="No"/>
    <s v="No"/>
    <s v="Peak"/>
    <x v="1"/>
    <n v="0"/>
    <s v="91–180 days"/>
  </r>
  <r>
    <s v="B001374"/>
    <s v="G00056"/>
    <s v="H003"/>
    <s v="CH05"/>
    <d v="2025-08-07T00:00:00"/>
    <d v="2025-09-06T00:00:00"/>
    <x v="0"/>
    <n v="4136"/>
    <x v="3"/>
    <b v="0"/>
    <x v="2"/>
    <x v="10"/>
    <n v="2025"/>
    <n v="5"/>
    <n v="8"/>
    <n v="2025"/>
    <n v="3"/>
    <s v="Yes"/>
    <x v="1"/>
    <s v="India"/>
    <x v="0"/>
    <s v="StayNest Hills"/>
    <x v="5"/>
    <s v="Resort"/>
    <n v="80"/>
    <x v="2"/>
    <s v="Corporate Rate"/>
    <d v="2025-09-06T00:00:00"/>
    <s v="Yes"/>
    <s v="No"/>
    <s v="Shoulder"/>
    <x v="1"/>
    <n v="0"/>
    <s v="8–30 days"/>
  </r>
  <r>
    <s v="B001375"/>
    <s v="G00217"/>
    <s v="H012"/>
    <s v="CH02"/>
    <d v="2026-06-22T00:00:00"/>
    <d v="2026-08-21T00:00:00"/>
    <x v="2"/>
    <n v="4194"/>
    <x v="2"/>
    <b v="0"/>
    <x v="1"/>
    <x v="7"/>
    <n v="2026"/>
    <n v="4"/>
    <n v="6"/>
    <n v="2026"/>
    <n v="0"/>
    <s v="No"/>
    <x v="3"/>
    <s v="India"/>
    <x v="1"/>
    <s v="StayNest Valley"/>
    <x v="4"/>
    <s v="Resort"/>
    <n v="65"/>
    <x v="3"/>
    <s v="App Push"/>
    <d v="2026-08-21T00:00:00"/>
    <s v="No"/>
    <s v="No"/>
    <s v="Off-Peak"/>
    <x v="1"/>
    <n v="0"/>
    <s v="31–90 days"/>
  </r>
  <r>
    <s v="B001376"/>
    <s v="G00643"/>
    <s v="H012"/>
    <s v="CH01"/>
    <d v="2025-05-11T00:00:00"/>
    <d v="2025-05-12T00:00:00"/>
    <x v="0"/>
    <n v="4111"/>
    <x v="0"/>
    <b v="0"/>
    <x v="7"/>
    <x v="9"/>
    <n v="2025"/>
    <n v="0"/>
    <n v="5"/>
    <n v="2025"/>
    <n v="6"/>
    <s v="No"/>
    <x v="0"/>
    <s v="United States"/>
    <x v="0"/>
    <s v="StayNest Valley"/>
    <x v="4"/>
    <s v="Resort"/>
    <n v="65"/>
    <x v="5"/>
    <s v="Direct"/>
    <d v="2025-05-12T00:00:00"/>
    <s v="No"/>
    <s v="No"/>
    <s v="Peak"/>
    <x v="1"/>
    <n v="0"/>
    <s v="0–7 days"/>
  </r>
  <r>
    <s v="B001377"/>
    <s v="G00131"/>
    <s v="H012"/>
    <s v="CH01"/>
    <d v="2025-09-07T00:00:00"/>
    <d v="2025-09-21T00:00:00"/>
    <x v="0"/>
    <n v="4035"/>
    <x v="0"/>
    <b v="0"/>
    <x v="3"/>
    <x v="10"/>
    <n v="2025"/>
    <n v="6"/>
    <n v="9"/>
    <n v="2025"/>
    <n v="6"/>
    <s v="Yes"/>
    <x v="2"/>
    <s v="India"/>
    <x v="0"/>
    <s v="StayNest Valley"/>
    <x v="4"/>
    <s v="Resort"/>
    <n v="65"/>
    <x v="5"/>
    <s v="Direct"/>
    <d v="2025-09-21T00:00:00"/>
    <s v="Yes"/>
    <s v="No"/>
    <s v="Shoulder"/>
    <x v="1"/>
    <n v="0"/>
    <s v="8–30 days"/>
  </r>
  <r>
    <s v="B001378"/>
    <s v="G00406"/>
    <s v="H004"/>
    <s v="CH01"/>
    <d v="2026-11-30T00:00:00"/>
    <d v="2027-07-08T00:00:00"/>
    <x v="2"/>
    <n v="3664"/>
    <x v="0"/>
    <b v="0"/>
    <x v="8"/>
    <x v="8"/>
    <n v="2027"/>
    <n v="3"/>
    <n v="11"/>
    <n v="2026"/>
    <n v="0"/>
    <s v="No"/>
    <x v="0"/>
    <s v="United Kingdom"/>
    <x v="1"/>
    <s v="StayNest Lakeview"/>
    <x v="2"/>
    <s v="Resort"/>
    <n v="75"/>
    <x v="5"/>
    <s v="Direct"/>
    <m/>
    <s v="Unknown"/>
    <s v="Unknown"/>
    <s v="Unknown"/>
    <x v="0"/>
    <n v="0"/>
    <s v="181+ days"/>
  </r>
  <r>
    <s v="B001379"/>
    <s v="G00599"/>
    <s v="H002"/>
    <s v="CH05"/>
    <d v="2026-07-05T00:00:00"/>
    <d v="2026-07-12T00:00:00"/>
    <x v="2"/>
    <n v="3534"/>
    <x v="2"/>
    <b v="0"/>
    <x v="4"/>
    <x v="8"/>
    <n v="2026"/>
    <n v="6"/>
    <n v="7"/>
    <n v="2026"/>
    <n v="6"/>
    <s v="Yes"/>
    <x v="0"/>
    <s v="India"/>
    <x v="0"/>
    <s v="StayNest Central"/>
    <x v="0"/>
    <s v="Business"/>
    <n v="150"/>
    <x v="2"/>
    <s v="Corporate Rate"/>
    <d v="2026-07-12T00:00:00"/>
    <s v="Yes"/>
    <s v="No"/>
    <s v="Off-Peak"/>
    <x v="1"/>
    <n v="0"/>
    <s v="0–7 days"/>
  </r>
  <r>
    <s v="B001380"/>
    <s v="G00076"/>
    <s v="H008"/>
    <s v="CH03"/>
    <d v="2026-01-23T00:00:00"/>
    <d v="2026-05-03T00:00:00"/>
    <x v="2"/>
    <n v="3392"/>
    <x v="1"/>
    <b v="0"/>
    <x v="0"/>
    <x v="9"/>
    <n v="2026"/>
    <n v="6"/>
    <n v="1"/>
    <n v="2026"/>
    <n v="4"/>
    <s v="Yes"/>
    <x v="3"/>
    <s v="India"/>
    <x v="0"/>
    <s v="StayNest Palace"/>
    <x v="7"/>
    <s v="Heritage"/>
    <n v="85"/>
    <x v="1"/>
    <s v="OTA Promo"/>
    <d v="2026-05-03T00:00:00"/>
    <s v="Yes"/>
    <s v="No"/>
    <s v="Peak"/>
    <x v="1"/>
    <n v="1"/>
    <s v="91–180 days"/>
  </r>
  <r>
    <s v="B001381"/>
    <s v="G00254"/>
    <s v="H012"/>
    <s v="CH05"/>
    <d v="2025-10-10T00:00:00"/>
    <d v="2025-10-11T00:00:00"/>
    <x v="1"/>
    <n v="5332"/>
    <x v="0"/>
    <b v="0"/>
    <x v="7"/>
    <x v="11"/>
    <n v="2025"/>
    <n v="5"/>
    <n v="10"/>
    <n v="2025"/>
    <n v="4"/>
    <s v="Yes"/>
    <x v="1"/>
    <s v="United States"/>
    <x v="0"/>
    <s v="StayNest Valley"/>
    <x v="4"/>
    <s v="Resort"/>
    <n v="65"/>
    <x v="2"/>
    <s v="Corporate Rate"/>
    <d v="2025-10-11T00:00:00"/>
    <s v="Yes"/>
    <s v="No"/>
    <s v="Shoulder"/>
    <x v="1"/>
    <n v="0"/>
    <s v="0–7 days"/>
  </r>
  <r>
    <s v="B001382"/>
    <s v="G00499"/>
    <s v="H001"/>
    <s v="CH05"/>
    <d v="2025-02-27T00:00:00"/>
    <d v="2025-03-13T00:00:00"/>
    <x v="3"/>
    <n v="10272"/>
    <x v="0"/>
    <b v="0"/>
    <x v="3"/>
    <x v="3"/>
    <n v="2025"/>
    <n v="3"/>
    <n v="2"/>
    <n v="2025"/>
    <n v="3"/>
    <s v="No"/>
    <x v="2"/>
    <s v="Germany"/>
    <x v="1"/>
    <s v="StayNest Marina"/>
    <x v="1"/>
    <s v="Business"/>
    <n v="120"/>
    <x v="2"/>
    <s v="Corporate Rate"/>
    <d v="2025-03-13T00:00:00"/>
    <s v="No"/>
    <s v="No"/>
    <s v="Shoulder"/>
    <x v="1"/>
    <n v="0"/>
    <s v="8–30 days"/>
  </r>
  <r>
    <s v="B001383"/>
    <s v="G00404"/>
    <s v="H003"/>
    <s v="CH01"/>
    <d v="2026-08-08T00:00:00"/>
    <d v="2026-09-07T00:00:00"/>
    <x v="1"/>
    <n v="7380"/>
    <x v="0"/>
    <b v="0"/>
    <x v="2"/>
    <x v="10"/>
    <n v="2026"/>
    <n v="0"/>
    <n v="8"/>
    <n v="2026"/>
    <n v="5"/>
    <s v="No"/>
    <x v="3"/>
    <s v="India"/>
    <x v="0"/>
    <s v="StayNest Hills"/>
    <x v="5"/>
    <s v="Resort"/>
    <n v="80"/>
    <x v="5"/>
    <s v="Direct"/>
    <d v="2026-09-07T00:00:00"/>
    <s v="No"/>
    <s v="No"/>
    <s v="Shoulder"/>
    <x v="1"/>
    <n v="0"/>
    <s v="8–30 days"/>
  </r>
  <r>
    <s v="B001384"/>
    <s v="G00038"/>
    <s v="H008"/>
    <s v="CH04"/>
    <d v="2026-02-05T00:00:00"/>
    <d v="2026-09-13T00:00:00"/>
    <x v="3"/>
    <n v="8340"/>
    <x v="1"/>
    <b v="0"/>
    <x v="8"/>
    <x v="10"/>
    <n v="2026"/>
    <n v="6"/>
    <n v="2"/>
    <n v="2026"/>
    <n v="3"/>
    <s v="Yes"/>
    <x v="1"/>
    <s v="India"/>
    <x v="1"/>
    <s v="StayNest Palace"/>
    <x v="7"/>
    <s v="Heritage"/>
    <n v="85"/>
    <x v="4"/>
    <s v="Partner"/>
    <d v="2026-09-13T00:00:00"/>
    <s v="Yes"/>
    <s v="No"/>
    <s v="Shoulder"/>
    <x v="1"/>
    <n v="1"/>
    <s v="181+ days"/>
  </r>
  <r>
    <s v="B001385"/>
    <s v="G00620"/>
    <s v="H007"/>
    <s v="CH02"/>
    <d v="2026-04-10T00:00:00"/>
    <d v="2026-04-17T00:00:00"/>
    <x v="0"/>
    <n v="5277"/>
    <x v="0"/>
    <b v="0"/>
    <x v="4"/>
    <x v="2"/>
    <n v="2026"/>
    <n v="4"/>
    <n v="4"/>
    <n v="2026"/>
    <n v="4"/>
    <s v="No"/>
    <x v="1"/>
    <s v="Singapore"/>
    <x v="0"/>
    <s v="StayNest Tech Park"/>
    <x v="6"/>
    <s v="Business"/>
    <n v="140"/>
    <x v="3"/>
    <s v="App Push"/>
    <d v="2026-04-17T00:00:00"/>
    <s v="No"/>
    <s v="No"/>
    <s v="Peak"/>
    <x v="1"/>
    <n v="0"/>
    <s v="0–7 days"/>
  </r>
  <r>
    <s v="B001386"/>
    <s v="G00421"/>
    <s v="H011"/>
    <s v="CH02"/>
    <d v="2025-12-18T00:00:00"/>
    <d v="2026-05-17T00:00:00"/>
    <x v="3"/>
    <n v="7330"/>
    <x v="2"/>
    <b v="0"/>
    <x v="5"/>
    <x v="9"/>
    <n v="2026"/>
    <n v="6"/>
    <n v="12"/>
    <n v="2025"/>
    <n v="3"/>
    <s v="Yes"/>
    <x v="1"/>
    <s v="India"/>
    <x v="1"/>
    <s v="StayNest Grand"/>
    <x v="8"/>
    <s v="Business"/>
    <n v="110"/>
    <x v="3"/>
    <s v="App Push"/>
    <d v="2026-05-17T00:00:00"/>
    <s v="Yes"/>
    <s v="No"/>
    <s v="Peak"/>
    <x v="1"/>
    <n v="0"/>
    <s v="91–180 days"/>
  </r>
  <r>
    <s v="B001387"/>
    <s v="G00041"/>
    <s v="H009"/>
    <s v="CH06"/>
    <d v="2026-05-20T00:00:00"/>
    <d v="2026-10-17T00:00:00"/>
    <x v="2"/>
    <n v="4105"/>
    <x v="2"/>
    <b v="0"/>
    <x v="5"/>
    <x v="11"/>
    <n v="2026"/>
    <n v="5"/>
    <n v="5"/>
    <n v="2026"/>
    <n v="2"/>
    <s v="Yes"/>
    <x v="0"/>
    <s v="India"/>
    <x v="0"/>
    <s v="StayNest Airport"/>
    <x v="9"/>
    <s v="Business"/>
    <n v="160"/>
    <x v="0"/>
    <s v="Retention"/>
    <d v="2026-10-17T00:00:00"/>
    <s v="Yes"/>
    <s v="No"/>
    <s v="Shoulder"/>
    <x v="1"/>
    <n v="0"/>
    <s v="91–180 days"/>
  </r>
  <r>
    <s v="B001388"/>
    <s v="G00087"/>
    <s v="H011"/>
    <s v="CH05"/>
    <d v="2026-08-08T00:00:00"/>
    <d v="2026-10-07T00:00:00"/>
    <x v="3"/>
    <n v="9275"/>
    <x v="3"/>
    <b v="0"/>
    <x v="1"/>
    <x v="11"/>
    <n v="2026"/>
    <n v="2"/>
    <n v="8"/>
    <n v="2026"/>
    <n v="5"/>
    <s v="No"/>
    <x v="1"/>
    <s v="Germany"/>
    <x v="0"/>
    <s v="StayNest Grand"/>
    <x v="8"/>
    <s v="Business"/>
    <n v="110"/>
    <x v="2"/>
    <s v="Corporate Rate"/>
    <d v="2026-10-07T00:00:00"/>
    <s v="No"/>
    <s v="No"/>
    <s v="Shoulder"/>
    <x v="1"/>
    <n v="0"/>
    <s v="31–90 days"/>
  </r>
  <r>
    <s v="B001389"/>
    <s v="G00289"/>
    <s v="H008"/>
    <s v="CH02"/>
    <d v="2026-01-10T00:00:00"/>
    <d v="2026-02-09T00:00:00"/>
    <x v="3"/>
    <n v="8511"/>
    <x v="0"/>
    <b v="0"/>
    <x v="2"/>
    <x v="0"/>
    <n v="2026"/>
    <n v="0"/>
    <n v="1"/>
    <n v="2026"/>
    <n v="5"/>
    <s v="No"/>
    <x v="1"/>
    <s v="United Kingdom"/>
    <x v="0"/>
    <s v="StayNest Palace"/>
    <x v="7"/>
    <s v="Heritage"/>
    <n v="85"/>
    <x v="3"/>
    <s v="App Push"/>
    <d v="2026-02-09T00:00:00"/>
    <s v="No"/>
    <s v="No"/>
    <s v="Shoulder"/>
    <x v="1"/>
    <n v="0"/>
    <s v="8–30 days"/>
  </r>
  <r>
    <s v="B001390"/>
    <s v="G00247"/>
    <s v="H002"/>
    <s v="CH01"/>
    <d v="2026-01-10T00:00:00"/>
    <d v="2026-04-20T00:00:00"/>
    <x v="1"/>
    <n v="6514"/>
    <x v="0"/>
    <b v="0"/>
    <x v="0"/>
    <x v="2"/>
    <n v="2026"/>
    <n v="0"/>
    <n v="1"/>
    <n v="2026"/>
    <n v="5"/>
    <s v="No"/>
    <x v="1"/>
    <s v="India"/>
    <x v="0"/>
    <s v="StayNest Central"/>
    <x v="0"/>
    <s v="Business"/>
    <n v="150"/>
    <x v="5"/>
    <s v="Direct"/>
    <d v="2026-04-20T00:00:00"/>
    <s v="No"/>
    <s v="No"/>
    <s v="Peak"/>
    <x v="1"/>
    <n v="0"/>
    <s v="91–180 days"/>
  </r>
  <r>
    <s v="B001391"/>
    <s v="G00578"/>
    <s v="H011"/>
    <s v="CH03"/>
    <d v="2026-05-27T00:00:00"/>
    <d v="2026-06-10T00:00:00"/>
    <x v="1"/>
    <n v="6374"/>
    <x v="0"/>
    <b v="0"/>
    <x v="3"/>
    <x v="1"/>
    <n v="2026"/>
    <n v="2"/>
    <n v="5"/>
    <n v="2026"/>
    <n v="2"/>
    <s v="No"/>
    <x v="3"/>
    <s v="Singapore"/>
    <x v="1"/>
    <s v="StayNest Grand"/>
    <x v="8"/>
    <s v="Business"/>
    <n v="110"/>
    <x v="1"/>
    <s v="OTA Promo"/>
    <d v="2026-06-10T00:00:00"/>
    <s v="No"/>
    <s v="No"/>
    <s v="Shoulder"/>
    <x v="1"/>
    <n v="0"/>
    <s v="8–30 days"/>
  </r>
  <r>
    <s v="B001392"/>
    <s v="G00380"/>
    <s v="H010"/>
    <s v="CH04"/>
    <d v="2025-10-05T00:00:00"/>
    <d v="2025-10-19T00:00:00"/>
    <x v="1"/>
    <n v="5518"/>
    <x v="0"/>
    <b v="0"/>
    <x v="3"/>
    <x v="11"/>
    <n v="2025"/>
    <n v="6"/>
    <n v="10"/>
    <n v="2025"/>
    <n v="6"/>
    <s v="Yes"/>
    <x v="1"/>
    <s v="India"/>
    <x v="1"/>
    <s v="StayNest Garden"/>
    <x v="10"/>
    <s v="Boutique"/>
    <n v="70"/>
    <x v="4"/>
    <s v="Partner"/>
    <d v="2025-10-19T00:00:00"/>
    <s v="Yes"/>
    <s v="No"/>
    <s v="Shoulder"/>
    <x v="1"/>
    <n v="0"/>
    <s v="8–30 days"/>
  </r>
  <r>
    <s v="B001393"/>
    <s v="G00549"/>
    <s v="H012"/>
    <s v="CH01"/>
    <d v="2026-08-10T00:00:00"/>
    <d v="2026-08-24T00:00:00"/>
    <x v="3"/>
    <n v="8018"/>
    <x v="2"/>
    <b v="0"/>
    <x v="3"/>
    <x v="7"/>
    <n v="2026"/>
    <n v="0"/>
    <n v="8"/>
    <n v="2026"/>
    <n v="0"/>
    <s v="No"/>
    <x v="3"/>
    <s v="India"/>
    <x v="1"/>
    <s v="StayNest Valley"/>
    <x v="4"/>
    <s v="Resort"/>
    <n v="65"/>
    <x v="5"/>
    <s v="Direct"/>
    <d v="2026-08-24T00:00:00"/>
    <s v="No"/>
    <s v="No"/>
    <s v="Off-Peak"/>
    <x v="1"/>
    <n v="0"/>
    <s v="8–30 days"/>
  </r>
  <r>
    <s v="B001394"/>
    <s v="G00381"/>
    <s v="H010"/>
    <s v="CH04"/>
    <d v="2026-02-11T00:00:00"/>
    <d v="2026-02-18T00:00:00"/>
    <x v="1"/>
    <n v="6856"/>
    <x v="0"/>
    <b v="0"/>
    <x v="4"/>
    <x v="0"/>
    <n v="2026"/>
    <n v="2"/>
    <n v="2"/>
    <n v="2026"/>
    <n v="2"/>
    <s v="No"/>
    <x v="0"/>
    <s v="India"/>
    <x v="0"/>
    <s v="StayNest Garden"/>
    <x v="10"/>
    <s v="Boutique"/>
    <n v="70"/>
    <x v="4"/>
    <s v="Partner"/>
    <d v="2026-02-18T00:00:00"/>
    <s v="No"/>
    <s v="No"/>
    <s v="Shoulder"/>
    <x v="1"/>
    <n v="0"/>
    <s v="0–7 days"/>
  </r>
  <r>
    <s v="B001395"/>
    <s v="G00603"/>
    <s v="H002"/>
    <s v="CH03"/>
    <d v="2025-07-05T00:00:00"/>
    <d v="2025-07-19T00:00:00"/>
    <x v="3"/>
    <n v="11830"/>
    <x v="1"/>
    <b v="0"/>
    <x v="3"/>
    <x v="8"/>
    <n v="2025"/>
    <n v="5"/>
    <n v="7"/>
    <n v="2025"/>
    <n v="5"/>
    <s v="Yes"/>
    <x v="0"/>
    <s v="India"/>
    <x v="0"/>
    <s v="StayNest Central"/>
    <x v="0"/>
    <s v="Business"/>
    <n v="150"/>
    <x v="1"/>
    <s v="OTA Promo"/>
    <d v="2025-07-19T00:00:00"/>
    <s v="Yes"/>
    <s v="No"/>
    <s v="Off-Peak"/>
    <x v="1"/>
    <n v="1"/>
    <s v="8–30 days"/>
  </r>
  <r>
    <s v="B001396"/>
    <s v="G00162"/>
    <s v="H007"/>
    <s v="CH01"/>
    <d v="2025-11-05T00:00:00"/>
    <d v="2026-01-04T00:00:00"/>
    <x v="3"/>
    <n v="10209"/>
    <x v="0"/>
    <b v="0"/>
    <x v="1"/>
    <x v="6"/>
    <n v="2026"/>
    <n v="6"/>
    <n v="11"/>
    <n v="2025"/>
    <n v="2"/>
    <s v="Yes"/>
    <x v="0"/>
    <s v="Singapore"/>
    <x v="0"/>
    <s v="StayNest Tech Park"/>
    <x v="6"/>
    <s v="Business"/>
    <n v="140"/>
    <x v="5"/>
    <s v="Direct"/>
    <d v="2026-01-04T00:00:00"/>
    <s v="Yes"/>
    <s v="No"/>
    <s v="Off-Peak"/>
    <x v="1"/>
    <n v="0"/>
    <s v="31–90 days"/>
  </r>
  <r>
    <s v="B001397"/>
    <s v="G00107"/>
    <s v="H011"/>
    <s v="CH01"/>
    <d v="2025-01-31T00:00:00"/>
    <d v="2025-03-02T00:00:00"/>
    <x v="2"/>
    <n v="4125"/>
    <x v="0"/>
    <b v="0"/>
    <x v="2"/>
    <x v="3"/>
    <n v="2025"/>
    <n v="6"/>
    <n v="1"/>
    <n v="2025"/>
    <n v="4"/>
    <s v="Yes"/>
    <x v="1"/>
    <s v="UAE"/>
    <x v="0"/>
    <s v="StayNest Grand"/>
    <x v="8"/>
    <s v="Business"/>
    <n v="110"/>
    <x v="5"/>
    <s v="Direct"/>
    <d v="2025-03-02T00:00:00"/>
    <s v="Yes"/>
    <s v="No"/>
    <s v="Shoulder"/>
    <x v="1"/>
    <n v="0"/>
    <s v="8–30 days"/>
  </r>
  <r>
    <s v="B001398"/>
    <s v="G00563"/>
    <s v="H008"/>
    <s v="CH01"/>
    <d v="2026-07-25T00:00:00"/>
    <d v="2026-08-01T00:00:00"/>
    <x v="0"/>
    <n v="4644"/>
    <x v="0"/>
    <b v="0"/>
    <x v="4"/>
    <x v="7"/>
    <n v="2026"/>
    <n v="5"/>
    <n v="7"/>
    <n v="2026"/>
    <n v="5"/>
    <s v="Yes"/>
    <x v="2"/>
    <s v="India"/>
    <x v="0"/>
    <s v="StayNest Palace"/>
    <x v="7"/>
    <s v="Heritage"/>
    <n v="85"/>
    <x v="5"/>
    <s v="Direct"/>
    <d v="2026-08-01T00:00:00"/>
    <s v="Yes"/>
    <s v="No"/>
    <s v="Off-Peak"/>
    <x v="1"/>
    <n v="0"/>
    <s v="0–7 days"/>
  </r>
  <r>
    <s v="B001399"/>
    <s v="G00274"/>
    <s v="H011"/>
    <s v="CH06"/>
    <d v="2026-11-27T00:00:00"/>
    <d v="2026-12-27T00:00:00"/>
    <x v="2"/>
    <n v="2597"/>
    <x v="1"/>
    <b v="0"/>
    <x v="2"/>
    <x v="5"/>
    <n v="2026"/>
    <n v="6"/>
    <n v="11"/>
    <n v="2026"/>
    <n v="4"/>
    <s v="Yes"/>
    <x v="0"/>
    <s v="United Kingdom"/>
    <x v="0"/>
    <s v="StayNest Grand"/>
    <x v="8"/>
    <s v="Business"/>
    <n v="110"/>
    <x v="0"/>
    <s v="Retention"/>
    <d v="2026-12-27T00:00:00"/>
    <s v="Yes"/>
    <s v="No"/>
    <s v="Peak"/>
    <x v="1"/>
    <n v="1"/>
    <s v="8–30 days"/>
  </r>
  <r>
    <s v="B001400"/>
    <s v="G00542"/>
    <s v="H007"/>
    <s v="CH03"/>
    <d v="2025-06-01T00:00:00"/>
    <d v="2025-06-08T00:00:00"/>
    <x v="1"/>
    <n v="6761"/>
    <x v="0"/>
    <b v="0"/>
    <x v="4"/>
    <x v="1"/>
    <n v="2025"/>
    <n v="6"/>
    <n v="6"/>
    <n v="2025"/>
    <n v="6"/>
    <s v="Yes"/>
    <x v="1"/>
    <s v="India"/>
    <x v="1"/>
    <s v="StayNest Tech Park"/>
    <x v="6"/>
    <s v="Business"/>
    <n v="140"/>
    <x v="1"/>
    <s v="OTA Promo"/>
    <d v="2025-06-08T00:00:00"/>
    <s v="Yes"/>
    <s v="No"/>
    <s v="Shoulder"/>
    <x v="1"/>
    <n v="0"/>
    <s v="0–7 days"/>
  </r>
  <r>
    <s v="B001401"/>
    <s v="G00480"/>
    <s v="H001"/>
    <s v="CH01"/>
    <d v="2025-10-13T00:00:00"/>
    <d v="2026-03-12T00:00:00"/>
    <x v="2"/>
    <n v="3869"/>
    <x v="1"/>
    <b v="0"/>
    <x v="5"/>
    <x v="3"/>
    <n v="2026"/>
    <n v="3"/>
    <n v="10"/>
    <n v="2025"/>
    <n v="0"/>
    <s v="No"/>
    <x v="1"/>
    <s v="India"/>
    <x v="0"/>
    <s v="StayNest Marina"/>
    <x v="1"/>
    <s v="Business"/>
    <n v="120"/>
    <x v="5"/>
    <s v="Direct"/>
    <d v="2026-03-12T00:00:00"/>
    <s v="No"/>
    <s v="No"/>
    <s v="Shoulder"/>
    <x v="1"/>
    <n v="1"/>
    <s v="91–180 days"/>
  </r>
  <r>
    <s v="B001402"/>
    <s v="G00377"/>
    <s v="H006"/>
    <s v="CH06"/>
    <d v="2026-06-16T00:00:00"/>
    <d v="2026-07-16T00:00:00"/>
    <x v="2"/>
    <n v="2251"/>
    <x v="0"/>
    <b v="0"/>
    <x v="2"/>
    <x v="8"/>
    <n v="2026"/>
    <n v="3"/>
    <n v="6"/>
    <n v="2026"/>
    <n v="1"/>
    <s v="No"/>
    <x v="1"/>
    <s v="India"/>
    <x v="0"/>
    <s v="StayNest Beach"/>
    <x v="3"/>
    <s v="Resort"/>
    <n v="100"/>
    <x v="0"/>
    <s v="Retention"/>
    <d v="2026-07-16T00:00:00"/>
    <s v="No"/>
    <s v="No"/>
    <s v="Off-Peak"/>
    <x v="1"/>
    <n v="0"/>
    <s v="8–30 days"/>
  </r>
  <r>
    <s v="B001403"/>
    <s v="G00191"/>
    <s v="H006"/>
    <s v="CH04"/>
    <d v="2026-11-10T00:00:00"/>
    <d v="2027-02-18T00:00:00"/>
    <x v="0"/>
    <n v="3608"/>
    <x v="2"/>
    <b v="0"/>
    <x v="0"/>
    <x v="0"/>
    <n v="2027"/>
    <n v="3"/>
    <n v="11"/>
    <n v="2026"/>
    <n v="1"/>
    <s v="No"/>
    <x v="0"/>
    <s v="India"/>
    <x v="0"/>
    <s v="StayNest Beach"/>
    <x v="3"/>
    <s v="Resort"/>
    <n v="100"/>
    <x v="4"/>
    <s v="Partner"/>
    <m/>
    <s v="Unknown"/>
    <s v="Unknown"/>
    <s v="Unknown"/>
    <x v="0"/>
    <n v="0"/>
    <s v="91–180 days"/>
  </r>
  <r>
    <s v="B001404"/>
    <s v="G00223"/>
    <s v="H007"/>
    <s v="CH05"/>
    <d v="2026-10-05T00:00:00"/>
    <d v="2026-12-04T00:00:00"/>
    <x v="1"/>
    <n v="5498"/>
    <x v="0"/>
    <b v="0"/>
    <x v="1"/>
    <x v="5"/>
    <n v="2026"/>
    <n v="4"/>
    <n v="10"/>
    <n v="2026"/>
    <n v="0"/>
    <s v="No"/>
    <x v="0"/>
    <s v="India"/>
    <x v="0"/>
    <s v="StayNest Tech Park"/>
    <x v="6"/>
    <s v="Business"/>
    <n v="140"/>
    <x v="2"/>
    <s v="Corporate Rate"/>
    <d v="2026-12-04T00:00:00"/>
    <s v="No"/>
    <s v="No"/>
    <s v="Peak"/>
    <x v="1"/>
    <n v="0"/>
    <s v="31–90 days"/>
  </r>
  <r>
    <s v="B001405"/>
    <s v="G00158"/>
    <s v="H009"/>
    <s v="CH04"/>
    <d v="2025-06-30T00:00:00"/>
    <d v="2025-10-08T00:00:00"/>
    <x v="2"/>
    <n v="3520"/>
    <x v="0"/>
    <b v="0"/>
    <x v="0"/>
    <x v="11"/>
    <n v="2025"/>
    <n v="2"/>
    <n v="6"/>
    <n v="2025"/>
    <n v="0"/>
    <s v="No"/>
    <x v="3"/>
    <s v="India"/>
    <x v="1"/>
    <s v="StayNest Airport"/>
    <x v="9"/>
    <s v="Business"/>
    <n v="160"/>
    <x v="4"/>
    <s v="Partner"/>
    <d v="2025-10-08T00:00:00"/>
    <s v="No"/>
    <s v="No"/>
    <s v="Shoulder"/>
    <x v="1"/>
    <n v="0"/>
    <s v="91–180 days"/>
  </r>
  <r>
    <s v="B001406"/>
    <s v="G00131"/>
    <s v="H012"/>
    <s v="CH03"/>
    <d v="2026-09-23T00:00:00"/>
    <d v="2026-10-07T00:00:00"/>
    <x v="0"/>
    <n v="4192"/>
    <x v="0"/>
    <b v="0"/>
    <x v="3"/>
    <x v="11"/>
    <n v="2026"/>
    <n v="2"/>
    <n v="9"/>
    <n v="2026"/>
    <n v="2"/>
    <s v="No"/>
    <x v="2"/>
    <s v="India"/>
    <x v="0"/>
    <s v="StayNest Valley"/>
    <x v="4"/>
    <s v="Resort"/>
    <n v="65"/>
    <x v="1"/>
    <s v="OTA Promo"/>
    <d v="2026-10-07T00:00:00"/>
    <s v="No"/>
    <s v="No"/>
    <s v="Shoulder"/>
    <x v="1"/>
    <n v="0"/>
    <s v="8–30 days"/>
  </r>
  <r>
    <s v="B001407"/>
    <s v="G00631"/>
    <s v="H004"/>
    <s v="CH05"/>
    <d v="2026-09-10T00:00:00"/>
    <d v="2026-10-10T00:00:00"/>
    <x v="2"/>
    <n v="2944"/>
    <x v="0"/>
    <b v="0"/>
    <x v="2"/>
    <x v="11"/>
    <n v="2026"/>
    <n v="5"/>
    <n v="9"/>
    <n v="2026"/>
    <n v="3"/>
    <s v="Yes"/>
    <x v="1"/>
    <s v="India"/>
    <x v="0"/>
    <s v="StayNest Lakeview"/>
    <x v="2"/>
    <s v="Resort"/>
    <n v="75"/>
    <x v="2"/>
    <s v="Corporate Rate"/>
    <d v="2026-10-10T00:00:00"/>
    <s v="Yes"/>
    <s v="No"/>
    <s v="Shoulder"/>
    <x v="1"/>
    <n v="0"/>
    <s v="8–30 days"/>
  </r>
  <r>
    <s v="B001409"/>
    <s v="G00124"/>
    <s v="H009"/>
    <s v="CH02"/>
    <d v="2025-07-24T00:00:00"/>
    <d v="2025-08-07T00:00:00"/>
    <x v="2"/>
    <n v="3206"/>
    <x v="3"/>
    <b v="0"/>
    <x v="3"/>
    <x v="7"/>
    <n v="2025"/>
    <n v="3"/>
    <n v="7"/>
    <n v="2025"/>
    <n v="3"/>
    <s v="No"/>
    <x v="2"/>
    <s v="India"/>
    <x v="0"/>
    <s v="StayNest Airport"/>
    <x v="9"/>
    <s v="Business"/>
    <n v="160"/>
    <x v="3"/>
    <s v="App Push"/>
    <d v="2025-08-07T00:00:00"/>
    <s v="No"/>
    <s v="No"/>
    <s v="Off-Peak"/>
    <x v="1"/>
    <n v="0"/>
    <s v="8–30 days"/>
  </r>
  <r>
    <s v="B001410"/>
    <s v="G00567"/>
    <s v="H004"/>
    <s v="CH05"/>
    <d v="2026-11-26T00:00:00"/>
    <d v="2026-12-26T00:00:00"/>
    <x v="0"/>
    <n v="5519"/>
    <x v="2"/>
    <b v="0"/>
    <x v="2"/>
    <x v="5"/>
    <n v="2026"/>
    <n v="5"/>
    <n v="11"/>
    <n v="2026"/>
    <n v="3"/>
    <s v="Yes"/>
    <x v="3"/>
    <s v="India"/>
    <x v="0"/>
    <s v="StayNest Lakeview"/>
    <x v="2"/>
    <s v="Resort"/>
    <n v="75"/>
    <x v="2"/>
    <s v="Corporate Rate"/>
    <d v="2026-12-26T00:00:00"/>
    <s v="Yes"/>
    <s v="No"/>
    <s v="Peak"/>
    <x v="1"/>
    <n v="0"/>
    <s v="8–30 days"/>
  </r>
  <r>
    <s v="B001411"/>
    <s v="G00269"/>
    <s v="H009"/>
    <s v="CH03"/>
    <d v="2026-02-17T00:00:00"/>
    <d v="2026-03-03T00:00:00"/>
    <x v="3"/>
    <n v="7573"/>
    <x v="0"/>
    <b v="0"/>
    <x v="3"/>
    <x v="3"/>
    <n v="2026"/>
    <n v="1"/>
    <n v="2"/>
    <n v="2026"/>
    <n v="1"/>
    <s v="No"/>
    <x v="3"/>
    <s v="India"/>
    <x v="0"/>
    <s v="StayNest Airport"/>
    <x v="9"/>
    <s v="Business"/>
    <n v="160"/>
    <x v="1"/>
    <s v="OTA Promo"/>
    <d v="2026-03-03T00:00:00"/>
    <s v="No"/>
    <s v="No"/>
    <s v="Shoulder"/>
    <x v="1"/>
    <n v="0"/>
    <s v="8–30 days"/>
  </r>
  <r>
    <s v="B001412"/>
    <s v="G00157"/>
    <s v="H003"/>
    <s v="CH02"/>
    <d v="2026-06-05T00:00:00"/>
    <d v="2026-06-06T00:00:00"/>
    <x v="2"/>
    <n v="2798"/>
    <x v="2"/>
    <b v="0"/>
    <x v="7"/>
    <x v="1"/>
    <n v="2026"/>
    <n v="5"/>
    <n v="6"/>
    <n v="2026"/>
    <n v="4"/>
    <s v="Yes"/>
    <x v="0"/>
    <s v="India"/>
    <x v="0"/>
    <s v="StayNest Hills"/>
    <x v="5"/>
    <s v="Resort"/>
    <n v="80"/>
    <x v="3"/>
    <s v="App Push"/>
    <d v="2026-06-06T00:00:00"/>
    <s v="Yes"/>
    <s v="No"/>
    <s v="Shoulder"/>
    <x v="1"/>
    <n v="0"/>
    <s v="0–7 days"/>
  </r>
  <r>
    <s v="B001413"/>
    <s v="G00158"/>
    <s v="H012"/>
    <s v="CH06"/>
    <d v="2026-10-09T00:00:00"/>
    <d v="2027-01-17T00:00:00"/>
    <x v="0"/>
    <n v="3734"/>
    <x v="3"/>
    <b v="0"/>
    <x v="0"/>
    <x v="6"/>
    <n v="2027"/>
    <n v="6"/>
    <n v="10"/>
    <n v="2026"/>
    <n v="4"/>
    <s v="Yes"/>
    <x v="3"/>
    <s v="India"/>
    <x v="1"/>
    <s v="StayNest Valley"/>
    <x v="4"/>
    <s v="Resort"/>
    <n v="65"/>
    <x v="0"/>
    <s v="Retention"/>
    <m/>
    <s v="Unknown"/>
    <s v="Unknown"/>
    <s v="Unknown"/>
    <x v="0"/>
    <n v="0"/>
    <s v="91–180 days"/>
  </r>
  <r>
    <s v="B001414"/>
    <s v="G00217"/>
    <s v="H006"/>
    <s v="CH06"/>
    <d v="2025-02-20T00:00:00"/>
    <d v="2025-05-31T00:00:00"/>
    <x v="0"/>
    <n v="4502"/>
    <x v="0"/>
    <b v="0"/>
    <x v="0"/>
    <x v="9"/>
    <n v="2025"/>
    <n v="5"/>
    <n v="2"/>
    <n v="2025"/>
    <n v="3"/>
    <s v="Yes"/>
    <x v="3"/>
    <s v="India"/>
    <x v="1"/>
    <s v="StayNest Beach"/>
    <x v="3"/>
    <s v="Resort"/>
    <n v="100"/>
    <x v="0"/>
    <s v="Retention"/>
    <d v="2025-05-31T00:00:00"/>
    <s v="Yes"/>
    <s v="No"/>
    <s v="Peak"/>
    <x v="1"/>
    <n v="0"/>
    <s v="91–180 days"/>
  </r>
  <r>
    <s v="B001415"/>
    <s v="G00504"/>
    <s v="H005"/>
    <s v="CH01"/>
    <d v="2025-08-30T00:00:00"/>
    <d v="2025-08-31T00:00:00"/>
    <x v="3"/>
    <n v="8997"/>
    <x v="0"/>
    <b v="0"/>
    <x v="7"/>
    <x v="7"/>
    <n v="2025"/>
    <n v="6"/>
    <n v="8"/>
    <n v="2025"/>
    <n v="5"/>
    <s v="Yes"/>
    <x v="3"/>
    <s v="India"/>
    <x v="0"/>
    <s v="StayNest Heritage"/>
    <x v="11"/>
    <s v="Heritage"/>
    <n v="90"/>
    <x v="5"/>
    <s v="Direct"/>
    <d v="2025-08-31T00:00:00"/>
    <s v="Yes"/>
    <s v="No"/>
    <s v="Off-Peak"/>
    <x v="1"/>
    <n v="0"/>
    <s v="0–7 days"/>
  </r>
  <r>
    <s v="B001416"/>
    <s v="G00074"/>
    <s v="H004"/>
    <s v="CH04"/>
    <d v="2025-06-28T00:00:00"/>
    <d v="2025-07-12T00:00:00"/>
    <x v="2"/>
    <n v="3806"/>
    <x v="0"/>
    <b v="0"/>
    <x v="3"/>
    <x v="8"/>
    <n v="2025"/>
    <n v="5"/>
    <n v="6"/>
    <n v="2025"/>
    <n v="5"/>
    <s v="Yes"/>
    <x v="1"/>
    <s v="Germany"/>
    <x v="0"/>
    <s v="StayNest Lakeview"/>
    <x v="2"/>
    <s v="Resort"/>
    <n v="75"/>
    <x v="4"/>
    <s v="Partner"/>
    <d v="2025-07-12T00:00:00"/>
    <s v="Yes"/>
    <s v="No"/>
    <s v="Off-Peak"/>
    <x v="1"/>
    <n v="0"/>
    <s v="8–30 days"/>
  </r>
  <r>
    <s v="B001417"/>
    <s v="G00375"/>
    <s v="H007"/>
    <s v="CH01"/>
    <d v="2025-11-18T00:00:00"/>
    <d v="2026-01-17T00:00:00"/>
    <x v="1"/>
    <n v="7329"/>
    <x v="0"/>
    <b v="0"/>
    <x v="1"/>
    <x v="6"/>
    <n v="2026"/>
    <n v="5"/>
    <n v="11"/>
    <n v="2025"/>
    <n v="1"/>
    <s v="Yes"/>
    <x v="0"/>
    <s v="India"/>
    <x v="0"/>
    <s v="StayNest Tech Park"/>
    <x v="6"/>
    <s v="Business"/>
    <n v="140"/>
    <x v="5"/>
    <s v="Direct"/>
    <d v="2026-01-17T00:00:00"/>
    <s v="Yes"/>
    <s v="No"/>
    <s v="Off-Peak"/>
    <x v="1"/>
    <n v="0"/>
    <s v="31–90 days"/>
  </r>
  <r>
    <s v="B001418"/>
    <s v="G00069"/>
    <s v="H006"/>
    <s v="CH01"/>
    <d v="2026-03-15T00:00:00"/>
    <d v="2026-10-21T00:00:00"/>
    <x v="3"/>
    <n v="9303"/>
    <x v="1"/>
    <b v="0"/>
    <x v="8"/>
    <x v="11"/>
    <n v="2026"/>
    <n v="2"/>
    <n v="3"/>
    <n v="2026"/>
    <n v="6"/>
    <s v="No"/>
    <x v="3"/>
    <s v="India"/>
    <x v="0"/>
    <s v="StayNest Beach"/>
    <x v="3"/>
    <s v="Resort"/>
    <n v="100"/>
    <x v="5"/>
    <s v="Direct"/>
    <d v="2026-10-21T00:00:00"/>
    <s v="No"/>
    <s v="No"/>
    <s v="Shoulder"/>
    <x v="1"/>
    <n v="1"/>
    <s v="181+ days"/>
  </r>
  <r>
    <s v="B001419"/>
    <s v="G00094"/>
    <s v="H010"/>
    <s v="CH06"/>
    <d v="2026-01-20T00:00:00"/>
    <d v="2026-02-19T00:00:00"/>
    <x v="0"/>
    <n v="5346"/>
    <x v="0"/>
    <b v="0"/>
    <x v="2"/>
    <x v="0"/>
    <n v="2026"/>
    <n v="3"/>
    <n v="1"/>
    <n v="2026"/>
    <n v="1"/>
    <s v="No"/>
    <x v="3"/>
    <s v="United States"/>
    <x v="1"/>
    <s v="StayNest Garden"/>
    <x v="10"/>
    <s v="Boutique"/>
    <n v="70"/>
    <x v="0"/>
    <s v="Retention"/>
    <d v="2026-02-19T00:00:00"/>
    <s v="No"/>
    <s v="No"/>
    <s v="Shoulder"/>
    <x v="1"/>
    <n v="0"/>
    <s v="8–30 days"/>
  </r>
  <r>
    <s v="B001420"/>
    <s v="G00001"/>
    <s v="H003"/>
    <s v="CH01"/>
    <d v="2025-09-17T00:00:00"/>
    <d v="2025-09-20T00:00:00"/>
    <x v="0"/>
    <n v="5532"/>
    <x v="1"/>
    <b v="0"/>
    <x v="6"/>
    <x v="10"/>
    <n v="2025"/>
    <n v="5"/>
    <n v="9"/>
    <n v="2025"/>
    <n v="2"/>
    <s v="Yes"/>
    <x v="0"/>
    <s v="India"/>
    <x v="0"/>
    <s v="StayNest Hills"/>
    <x v="5"/>
    <s v="Resort"/>
    <n v="80"/>
    <x v="5"/>
    <s v="Direct"/>
    <d v="2025-09-20T00:00:00"/>
    <s v="Yes"/>
    <s v="No"/>
    <s v="Shoulder"/>
    <x v="1"/>
    <n v="1"/>
    <s v="0–7 days"/>
  </r>
  <r>
    <s v="B001421"/>
    <s v="G00315"/>
    <s v="H002"/>
    <s v="CH02"/>
    <d v="2026-08-09T00:00:00"/>
    <d v="2026-08-16T00:00:00"/>
    <x v="1"/>
    <n v="7320"/>
    <x v="0"/>
    <b v="0"/>
    <x v="4"/>
    <x v="7"/>
    <n v="2026"/>
    <n v="6"/>
    <n v="8"/>
    <n v="2026"/>
    <n v="6"/>
    <s v="Yes"/>
    <x v="0"/>
    <s v="United States"/>
    <x v="0"/>
    <s v="StayNest Central"/>
    <x v="0"/>
    <s v="Business"/>
    <n v="150"/>
    <x v="3"/>
    <s v="App Push"/>
    <d v="2026-08-16T00:00:00"/>
    <s v="Yes"/>
    <s v="No"/>
    <s v="Off-Peak"/>
    <x v="1"/>
    <n v="0"/>
    <s v="0–7 days"/>
  </r>
  <r>
    <s v="B001422"/>
    <s v="G00536"/>
    <s v="H008"/>
    <s v="CH02"/>
    <d v="2025-03-17T00:00:00"/>
    <d v="2025-03-20T00:00:00"/>
    <x v="1"/>
    <n v="8155"/>
    <x v="0"/>
    <b v="0"/>
    <x v="6"/>
    <x v="3"/>
    <n v="2025"/>
    <n v="3"/>
    <n v="3"/>
    <n v="2025"/>
    <n v="0"/>
    <s v="No"/>
    <x v="0"/>
    <s v="India"/>
    <x v="0"/>
    <s v="StayNest Palace"/>
    <x v="7"/>
    <s v="Heritage"/>
    <n v="85"/>
    <x v="3"/>
    <s v="App Push"/>
    <d v="2025-03-20T00:00:00"/>
    <s v="No"/>
    <s v="No"/>
    <s v="Shoulder"/>
    <x v="1"/>
    <n v="0"/>
    <s v="0–7 days"/>
  </r>
  <r>
    <s v="B001423"/>
    <s v="G00029"/>
    <s v="H008"/>
    <s v="CH03"/>
    <d v="2026-08-14T00:00:00"/>
    <d v="2027-01-11T00:00:00"/>
    <x v="1"/>
    <n v="8443"/>
    <x v="1"/>
    <b v="0"/>
    <x v="5"/>
    <x v="6"/>
    <n v="2027"/>
    <n v="0"/>
    <n v="8"/>
    <n v="2026"/>
    <n v="4"/>
    <s v="No"/>
    <x v="3"/>
    <s v="India"/>
    <x v="0"/>
    <s v="StayNest Palace"/>
    <x v="7"/>
    <s v="Heritage"/>
    <n v="85"/>
    <x v="1"/>
    <s v="OTA Promo"/>
    <m/>
    <s v="Unknown"/>
    <s v="Unknown"/>
    <s v="Unknown"/>
    <x v="0"/>
    <n v="1"/>
    <s v="91–180 days"/>
  </r>
  <r>
    <s v="B001424"/>
    <s v="G00647"/>
    <s v="H011"/>
    <s v="CH05"/>
    <d v="2025-11-13T00:00:00"/>
    <d v="2025-11-20T00:00:00"/>
    <x v="2"/>
    <n v="2873"/>
    <x v="2"/>
    <b v="0"/>
    <x v="4"/>
    <x v="4"/>
    <n v="2025"/>
    <n v="3"/>
    <n v="11"/>
    <n v="2025"/>
    <n v="3"/>
    <s v="No"/>
    <x v="2"/>
    <s v="India"/>
    <x v="0"/>
    <s v="StayNest Grand"/>
    <x v="8"/>
    <s v="Business"/>
    <n v="110"/>
    <x v="2"/>
    <s v="Corporate Rate"/>
    <d v="2025-11-20T00:00:00"/>
    <s v="No"/>
    <s v="No"/>
    <s v="Off-Peak"/>
    <x v="1"/>
    <n v="0"/>
    <s v="0–7 days"/>
  </r>
  <r>
    <s v="B001425"/>
    <s v="G00343"/>
    <s v="H003"/>
    <s v="CH02"/>
    <d v="2025-05-08T00:00:00"/>
    <d v="2025-05-11T00:00:00"/>
    <x v="0"/>
    <n v="3783"/>
    <x v="2"/>
    <b v="0"/>
    <x v="6"/>
    <x v="9"/>
    <n v="2025"/>
    <n v="6"/>
    <n v="5"/>
    <n v="2025"/>
    <n v="3"/>
    <s v="Yes"/>
    <x v="1"/>
    <s v="Singapore"/>
    <x v="1"/>
    <s v="StayNest Hills"/>
    <x v="5"/>
    <s v="Resort"/>
    <n v="80"/>
    <x v="3"/>
    <s v="App Push"/>
    <d v="2025-05-11T00:00:00"/>
    <s v="Yes"/>
    <s v="No"/>
    <s v="Peak"/>
    <x v="1"/>
    <n v="0"/>
    <s v="0–7 days"/>
  </r>
  <r>
    <s v="B001426"/>
    <s v="G00279"/>
    <s v="H005"/>
    <s v="CH05"/>
    <d v="2026-10-18T00:00:00"/>
    <d v="2026-11-01T00:00:00"/>
    <x v="3"/>
    <n v="6509"/>
    <x v="0"/>
    <b v="0"/>
    <x v="3"/>
    <x v="4"/>
    <n v="2026"/>
    <n v="6"/>
    <n v="10"/>
    <n v="2026"/>
    <n v="6"/>
    <s v="Yes"/>
    <x v="0"/>
    <s v="India"/>
    <x v="0"/>
    <s v="StayNest Heritage"/>
    <x v="11"/>
    <s v="Heritage"/>
    <n v="90"/>
    <x v="2"/>
    <s v="Corporate Rate"/>
    <d v="2026-11-01T00:00:00"/>
    <s v="Yes"/>
    <s v="No"/>
    <s v="Off-Peak"/>
    <x v="1"/>
    <n v="0"/>
    <s v="8–30 days"/>
  </r>
  <r>
    <s v="B001427"/>
    <s v="G00317"/>
    <s v="H009"/>
    <s v="CH06"/>
    <d v="2026-03-22T00:00:00"/>
    <d v="2026-04-21T00:00:00"/>
    <x v="3"/>
    <n v="10187"/>
    <x v="0"/>
    <b v="0"/>
    <x v="2"/>
    <x v="2"/>
    <n v="2026"/>
    <n v="1"/>
    <n v="3"/>
    <n v="2026"/>
    <n v="6"/>
    <s v="No"/>
    <x v="2"/>
    <s v="Singapore"/>
    <x v="0"/>
    <s v="StayNest Airport"/>
    <x v="9"/>
    <s v="Business"/>
    <n v="160"/>
    <x v="0"/>
    <s v="Retention"/>
    <d v="2026-04-21T00:00:00"/>
    <s v="No"/>
    <s v="No"/>
    <s v="Peak"/>
    <x v="1"/>
    <n v="0"/>
    <s v="8–30 days"/>
  </r>
  <r>
    <s v="B001429"/>
    <s v="G00482"/>
    <s v="H004"/>
    <s v="CH01"/>
    <d v="2026-08-26T00:00:00"/>
    <d v="2026-10-25T00:00:00"/>
    <x v="3"/>
    <n v="10304"/>
    <x v="0"/>
    <b v="0"/>
    <x v="1"/>
    <x v="11"/>
    <n v="2026"/>
    <n v="6"/>
    <n v="8"/>
    <n v="2026"/>
    <n v="2"/>
    <s v="Yes"/>
    <x v="0"/>
    <s v="India"/>
    <x v="0"/>
    <s v="StayNest Lakeview"/>
    <x v="2"/>
    <s v="Resort"/>
    <n v="75"/>
    <x v="5"/>
    <s v="Direct"/>
    <d v="2026-10-25T00:00:00"/>
    <s v="Yes"/>
    <s v="No"/>
    <s v="Shoulder"/>
    <x v="1"/>
    <n v="0"/>
    <s v="31–90 days"/>
  </r>
  <r>
    <s v="B001430"/>
    <s v="G00367"/>
    <s v="H003"/>
    <s v="CH05"/>
    <d v="2026-01-25T00:00:00"/>
    <d v="2026-02-01T00:00:00"/>
    <x v="0"/>
    <n v="5019"/>
    <x v="0"/>
    <b v="0"/>
    <x v="4"/>
    <x v="0"/>
    <n v="2026"/>
    <n v="6"/>
    <n v="1"/>
    <n v="2026"/>
    <n v="6"/>
    <s v="Yes"/>
    <x v="3"/>
    <s v="India"/>
    <x v="0"/>
    <s v="StayNest Hills"/>
    <x v="5"/>
    <s v="Resort"/>
    <n v="80"/>
    <x v="2"/>
    <s v="Corporate Rate"/>
    <d v="2026-02-01T00:00:00"/>
    <s v="Yes"/>
    <s v="No"/>
    <s v="Shoulder"/>
    <x v="1"/>
    <n v="0"/>
    <s v="0–7 days"/>
  </r>
  <r>
    <s v="B001431"/>
    <s v="G00166"/>
    <s v="H009"/>
    <s v="CH02"/>
    <d v="2026-04-19T00:00:00"/>
    <d v="2026-05-03T00:00:00"/>
    <x v="0"/>
    <n v="4461"/>
    <x v="0"/>
    <b v="0"/>
    <x v="3"/>
    <x v="9"/>
    <n v="2026"/>
    <n v="6"/>
    <n v="4"/>
    <n v="2026"/>
    <n v="6"/>
    <s v="Yes"/>
    <x v="0"/>
    <s v="India"/>
    <x v="1"/>
    <s v="StayNest Airport"/>
    <x v="9"/>
    <s v="Business"/>
    <n v="160"/>
    <x v="3"/>
    <s v="App Push"/>
    <d v="2026-05-03T00:00:00"/>
    <s v="Yes"/>
    <s v="No"/>
    <s v="Peak"/>
    <x v="1"/>
    <n v="0"/>
    <s v="8–30 days"/>
  </r>
  <r>
    <s v="B001432"/>
    <s v="G00574"/>
    <s v="H010"/>
    <s v="CH03"/>
    <d v="2026-09-19T00:00:00"/>
    <d v="2026-10-03T00:00:00"/>
    <x v="3"/>
    <n v="8531"/>
    <x v="2"/>
    <b v="0"/>
    <x v="3"/>
    <x v="11"/>
    <n v="2026"/>
    <n v="5"/>
    <n v="9"/>
    <n v="2026"/>
    <n v="5"/>
    <s v="Yes"/>
    <x v="0"/>
    <s v="United States"/>
    <x v="1"/>
    <s v="StayNest Garden"/>
    <x v="10"/>
    <s v="Boutique"/>
    <n v="70"/>
    <x v="1"/>
    <s v="OTA Promo"/>
    <d v="2026-10-03T00:00:00"/>
    <s v="Yes"/>
    <s v="No"/>
    <s v="Shoulder"/>
    <x v="1"/>
    <n v="0"/>
    <s v="8–30 days"/>
  </r>
  <r>
    <s v="B001433"/>
    <s v="G00300"/>
    <s v="H012"/>
    <s v="CH02"/>
    <d v="2025-11-11T00:00:00"/>
    <d v="2026-01-10T00:00:00"/>
    <x v="2"/>
    <n v="3453"/>
    <x v="2"/>
    <b v="0"/>
    <x v="1"/>
    <x v="6"/>
    <n v="2026"/>
    <n v="5"/>
    <n v="11"/>
    <n v="2025"/>
    <n v="1"/>
    <s v="Yes"/>
    <x v="1"/>
    <s v="India"/>
    <x v="0"/>
    <s v="StayNest Valley"/>
    <x v="4"/>
    <s v="Resort"/>
    <n v="65"/>
    <x v="3"/>
    <s v="App Push"/>
    <d v="2026-01-10T00:00:00"/>
    <s v="Yes"/>
    <s v="No"/>
    <s v="Off-Peak"/>
    <x v="1"/>
    <n v="0"/>
    <s v="31–90 days"/>
  </r>
  <r>
    <s v="B001434"/>
    <s v="G00249"/>
    <s v="H012"/>
    <s v="CH03"/>
    <d v="2025-10-10T00:00:00"/>
    <d v="2025-11-09T00:00:00"/>
    <x v="3"/>
    <n v="9858"/>
    <x v="2"/>
    <b v="0"/>
    <x v="2"/>
    <x v="4"/>
    <n v="2025"/>
    <n v="6"/>
    <n v="10"/>
    <n v="2025"/>
    <n v="4"/>
    <s v="Yes"/>
    <x v="1"/>
    <s v="Germany"/>
    <x v="0"/>
    <s v="StayNest Valley"/>
    <x v="4"/>
    <s v="Resort"/>
    <n v="65"/>
    <x v="1"/>
    <s v="OTA Promo"/>
    <d v="2025-11-09T00:00:00"/>
    <s v="Yes"/>
    <s v="No"/>
    <s v="Off-Peak"/>
    <x v="1"/>
    <n v="0"/>
    <s v="8–30 days"/>
  </r>
  <r>
    <s v="B001435"/>
    <s v="G00575"/>
    <s v="H003"/>
    <s v="CH02"/>
    <d v="2025-08-18T00:00:00"/>
    <d v="2025-08-19T00:00:00"/>
    <x v="3"/>
    <n v="11459"/>
    <x v="3"/>
    <b v="0"/>
    <x v="7"/>
    <x v="7"/>
    <n v="2025"/>
    <n v="1"/>
    <n v="8"/>
    <n v="2025"/>
    <n v="0"/>
    <s v="No"/>
    <x v="3"/>
    <s v="Germany"/>
    <x v="0"/>
    <s v="StayNest Hills"/>
    <x v="5"/>
    <s v="Resort"/>
    <n v="80"/>
    <x v="3"/>
    <s v="App Push"/>
    <d v="2025-08-19T00:00:00"/>
    <s v="No"/>
    <s v="No"/>
    <s v="Off-Peak"/>
    <x v="1"/>
    <n v="0"/>
    <s v="0–7 days"/>
  </r>
  <r>
    <s v="B001436"/>
    <s v="G00546"/>
    <s v="H011"/>
    <s v="CH05"/>
    <d v="2026-08-20T00:00:00"/>
    <d v="2026-11-28T00:00:00"/>
    <x v="3"/>
    <n v="39808"/>
    <x v="0"/>
    <b v="1"/>
    <x v="0"/>
    <x v="4"/>
    <n v="2026"/>
    <n v="5"/>
    <n v="8"/>
    <n v="2026"/>
    <n v="3"/>
    <s v="Yes"/>
    <x v="1"/>
    <s v="India"/>
    <x v="0"/>
    <s v="StayNest Grand"/>
    <x v="8"/>
    <s v="Business"/>
    <n v="110"/>
    <x v="2"/>
    <s v="Corporate Rate"/>
    <d v="2026-11-28T00:00:00"/>
    <s v="Yes"/>
    <s v="No"/>
    <s v="Off-Peak"/>
    <x v="1"/>
    <n v="0"/>
    <s v="91–180 days"/>
  </r>
  <r>
    <s v="B001437"/>
    <s v="G00178"/>
    <s v="H002"/>
    <s v="CH04"/>
    <d v="2025-02-14T00:00:00"/>
    <d v="2025-02-28T00:00:00"/>
    <x v="3"/>
    <n v="8851"/>
    <x v="0"/>
    <b v="0"/>
    <x v="3"/>
    <x v="0"/>
    <n v="2025"/>
    <n v="4"/>
    <n v="2"/>
    <n v="2025"/>
    <n v="4"/>
    <s v="No"/>
    <x v="0"/>
    <s v="India"/>
    <x v="1"/>
    <s v="StayNest Central"/>
    <x v="0"/>
    <s v="Business"/>
    <n v="150"/>
    <x v="4"/>
    <s v="Partner"/>
    <d v="2025-02-28T00:00:00"/>
    <s v="No"/>
    <s v="No"/>
    <s v="Shoulder"/>
    <x v="1"/>
    <n v="0"/>
    <s v="8–30 days"/>
  </r>
  <r>
    <s v="B001438"/>
    <s v="G00600"/>
    <s v="H003"/>
    <s v="CH02"/>
    <d v="2025-02-08T00:00:00"/>
    <d v="2025-02-15T00:00:00"/>
    <x v="2"/>
    <n v="2769"/>
    <x v="0"/>
    <b v="0"/>
    <x v="4"/>
    <x v="0"/>
    <n v="2025"/>
    <n v="5"/>
    <n v="2"/>
    <n v="2025"/>
    <n v="5"/>
    <s v="Yes"/>
    <x v="3"/>
    <s v="India"/>
    <x v="0"/>
    <s v="StayNest Hills"/>
    <x v="5"/>
    <s v="Resort"/>
    <n v="80"/>
    <x v="3"/>
    <s v="App Push"/>
    <d v="2025-02-15T00:00:00"/>
    <s v="Yes"/>
    <s v="No"/>
    <s v="Shoulder"/>
    <x v="1"/>
    <n v="0"/>
    <s v="0–7 days"/>
  </r>
  <r>
    <s v="B001439"/>
    <s v="G00626"/>
    <s v="H004"/>
    <s v="CH05"/>
    <d v="2025-02-25T00:00:00"/>
    <d v="2025-06-05T00:00:00"/>
    <x v="0"/>
    <n v="4058"/>
    <x v="2"/>
    <b v="0"/>
    <x v="0"/>
    <x v="1"/>
    <n v="2025"/>
    <n v="3"/>
    <n v="2"/>
    <n v="2025"/>
    <n v="1"/>
    <s v="No"/>
    <x v="0"/>
    <s v="United States"/>
    <x v="1"/>
    <s v="StayNest Lakeview"/>
    <x v="2"/>
    <s v="Resort"/>
    <n v="75"/>
    <x v="2"/>
    <s v="Corporate Rate"/>
    <d v="2025-06-05T00:00:00"/>
    <s v="No"/>
    <s v="No"/>
    <s v="Shoulder"/>
    <x v="1"/>
    <n v="0"/>
    <s v="91–180 days"/>
  </r>
  <r>
    <s v="B001440"/>
    <s v="G00365"/>
    <s v="H009"/>
    <s v="CH06"/>
    <d v="2026-09-02T00:00:00"/>
    <d v="2026-09-16T00:00:00"/>
    <x v="3"/>
    <n v="6518"/>
    <x v="0"/>
    <b v="0"/>
    <x v="3"/>
    <x v="10"/>
    <n v="2026"/>
    <n v="2"/>
    <n v="9"/>
    <n v="2026"/>
    <n v="2"/>
    <s v="No"/>
    <x v="0"/>
    <s v="India"/>
    <x v="1"/>
    <s v="StayNest Airport"/>
    <x v="9"/>
    <s v="Business"/>
    <n v="160"/>
    <x v="0"/>
    <s v="Retention"/>
    <d v="2026-09-16T00:00:00"/>
    <s v="No"/>
    <s v="No"/>
    <s v="Shoulder"/>
    <x v="1"/>
    <n v="0"/>
    <s v="8–30 days"/>
  </r>
  <r>
    <s v="B001441"/>
    <s v="G00588"/>
    <s v="H010"/>
    <s v="CH02"/>
    <d v="2025-03-12T00:00:00"/>
    <d v="2025-03-19T00:00:00"/>
    <x v="3"/>
    <n v="8624"/>
    <x v="0"/>
    <b v="0"/>
    <x v="4"/>
    <x v="3"/>
    <n v="2025"/>
    <n v="2"/>
    <n v="3"/>
    <n v="2025"/>
    <n v="2"/>
    <s v="No"/>
    <x v="0"/>
    <s v="India"/>
    <x v="1"/>
    <s v="StayNest Garden"/>
    <x v="10"/>
    <s v="Boutique"/>
    <n v="70"/>
    <x v="3"/>
    <s v="App Push"/>
    <d v="2025-03-19T00:00:00"/>
    <s v="No"/>
    <s v="No"/>
    <s v="Shoulder"/>
    <x v="1"/>
    <n v="0"/>
    <s v="0–7 days"/>
  </r>
  <r>
    <s v="B001442"/>
    <s v="G00229"/>
    <s v="H009"/>
    <s v="CH05"/>
    <d v="2026-01-15T00:00:00"/>
    <d v="2026-01-16T00:00:00"/>
    <x v="0"/>
    <n v="4251"/>
    <x v="2"/>
    <b v="0"/>
    <x v="7"/>
    <x v="6"/>
    <n v="2026"/>
    <n v="4"/>
    <n v="1"/>
    <n v="2026"/>
    <n v="3"/>
    <s v="No"/>
    <x v="1"/>
    <s v="India"/>
    <x v="0"/>
    <s v="StayNest Airport"/>
    <x v="9"/>
    <s v="Business"/>
    <n v="160"/>
    <x v="2"/>
    <s v="Corporate Rate"/>
    <d v="2026-01-16T00:00:00"/>
    <s v="No"/>
    <s v="No"/>
    <s v="Off-Peak"/>
    <x v="1"/>
    <n v="0"/>
    <s v="0–7 days"/>
  </r>
  <r>
    <s v="B001443"/>
    <s v="G00035"/>
    <s v="H004"/>
    <s v="CH02"/>
    <d v="2025-11-14T00:00:00"/>
    <d v="2025-11-28T00:00:00"/>
    <x v="0"/>
    <n v="4351"/>
    <x v="0"/>
    <b v="0"/>
    <x v="3"/>
    <x v="4"/>
    <n v="2025"/>
    <n v="4"/>
    <n v="11"/>
    <n v="2025"/>
    <n v="4"/>
    <s v="No"/>
    <x v="0"/>
    <s v="India"/>
    <x v="1"/>
    <s v="StayNest Lakeview"/>
    <x v="2"/>
    <s v="Resort"/>
    <n v="75"/>
    <x v="3"/>
    <s v="App Push"/>
    <d v="2025-11-28T00:00:00"/>
    <s v="No"/>
    <s v="No"/>
    <s v="Off-Peak"/>
    <x v="1"/>
    <n v="0"/>
    <s v="8–30 days"/>
  </r>
  <r>
    <s v="B001444"/>
    <s v="G00594"/>
    <s v="H007"/>
    <s v="CH05"/>
    <d v="2026-11-22T00:00:00"/>
    <d v="2027-01-21T00:00:00"/>
    <x v="1"/>
    <n v="7261"/>
    <x v="2"/>
    <b v="0"/>
    <x v="1"/>
    <x v="6"/>
    <n v="2027"/>
    <n v="3"/>
    <n v="11"/>
    <n v="2026"/>
    <n v="6"/>
    <s v="No"/>
    <x v="1"/>
    <s v="Unknown"/>
    <x v="0"/>
    <s v="StayNest Tech Park"/>
    <x v="6"/>
    <s v="Business"/>
    <n v="140"/>
    <x v="2"/>
    <s v="Corporate Rate"/>
    <m/>
    <s v="Unknown"/>
    <s v="Unknown"/>
    <s v="Unknown"/>
    <x v="0"/>
    <n v="0"/>
    <s v="31–90 days"/>
  </r>
  <r>
    <s v="B001445"/>
    <s v="G00145"/>
    <s v="H010"/>
    <s v="CH03"/>
    <d v="2026-01-26T00:00:00"/>
    <d v="2026-03-27T00:00:00"/>
    <x v="2"/>
    <n v="4014"/>
    <x v="0"/>
    <b v="0"/>
    <x v="1"/>
    <x v="3"/>
    <n v="2026"/>
    <n v="4"/>
    <n v="1"/>
    <n v="2026"/>
    <n v="0"/>
    <s v="No"/>
    <x v="1"/>
    <s v="Germany"/>
    <x v="0"/>
    <s v="StayNest Garden"/>
    <x v="10"/>
    <s v="Boutique"/>
    <n v="70"/>
    <x v="1"/>
    <s v="OTA Promo"/>
    <d v="2026-03-27T00:00:00"/>
    <s v="No"/>
    <s v="No"/>
    <s v="Shoulder"/>
    <x v="1"/>
    <n v="0"/>
    <s v="31–90 days"/>
  </r>
  <r>
    <s v="B001446"/>
    <s v="G00477"/>
    <s v="H005"/>
    <s v="CH02"/>
    <d v="2025-02-08T00:00:00"/>
    <d v="2025-02-15T00:00:00"/>
    <x v="3"/>
    <n v="10895"/>
    <x v="0"/>
    <b v="0"/>
    <x v="4"/>
    <x v="0"/>
    <n v="2025"/>
    <n v="5"/>
    <n v="2"/>
    <n v="2025"/>
    <n v="5"/>
    <s v="Yes"/>
    <x v="1"/>
    <s v="India"/>
    <x v="0"/>
    <s v="StayNest Heritage"/>
    <x v="11"/>
    <s v="Heritage"/>
    <n v="90"/>
    <x v="3"/>
    <s v="App Push"/>
    <d v="2025-02-15T00:00:00"/>
    <s v="Yes"/>
    <s v="No"/>
    <s v="Shoulder"/>
    <x v="1"/>
    <n v="0"/>
    <s v="0–7 days"/>
  </r>
  <r>
    <s v="B001447"/>
    <s v="G00166"/>
    <s v="H009"/>
    <s v="CH05"/>
    <d v="2025-10-15T00:00:00"/>
    <d v="2025-10-29T00:00:00"/>
    <x v="3"/>
    <n v="7806"/>
    <x v="0"/>
    <b v="0"/>
    <x v="3"/>
    <x v="11"/>
    <n v="2025"/>
    <n v="2"/>
    <n v="10"/>
    <n v="2025"/>
    <n v="2"/>
    <s v="No"/>
    <x v="0"/>
    <s v="India"/>
    <x v="1"/>
    <s v="StayNest Airport"/>
    <x v="9"/>
    <s v="Business"/>
    <n v="160"/>
    <x v="2"/>
    <s v="Corporate Rate"/>
    <d v="2025-10-29T00:00:00"/>
    <s v="No"/>
    <s v="No"/>
    <s v="Shoulder"/>
    <x v="1"/>
    <n v="0"/>
    <s v="8–30 days"/>
  </r>
  <r>
    <s v="B001448"/>
    <s v="G00240"/>
    <s v="H001"/>
    <s v="CH02"/>
    <d v="2025-01-17T00:00:00"/>
    <d v="2025-01-20T00:00:00"/>
    <x v="1"/>
    <n v="39475"/>
    <x v="0"/>
    <b v="1"/>
    <x v="6"/>
    <x v="6"/>
    <n v="2025"/>
    <n v="0"/>
    <n v="1"/>
    <n v="2025"/>
    <n v="4"/>
    <s v="No"/>
    <x v="3"/>
    <s v="India"/>
    <x v="1"/>
    <s v="StayNest Marina"/>
    <x v="1"/>
    <s v="Business"/>
    <n v="120"/>
    <x v="3"/>
    <s v="App Push"/>
    <d v="2025-01-20T00:00:00"/>
    <s v="No"/>
    <s v="No"/>
    <s v="Off-Peak"/>
    <x v="1"/>
    <n v="0"/>
    <s v="0–7 days"/>
  </r>
  <r>
    <s v="B001449"/>
    <s v="G00480"/>
    <s v="H008"/>
    <s v="CH01"/>
    <d v="2025-05-06T00:00:00"/>
    <d v="2025-07-05T00:00:00"/>
    <x v="1"/>
    <n v="8505"/>
    <x v="0"/>
    <b v="0"/>
    <x v="1"/>
    <x v="8"/>
    <n v="2025"/>
    <n v="5"/>
    <n v="5"/>
    <n v="2025"/>
    <n v="1"/>
    <s v="Yes"/>
    <x v="1"/>
    <s v="India"/>
    <x v="0"/>
    <s v="StayNest Palace"/>
    <x v="7"/>
    <s v="Heritage"/>
    <n v="85"/>
    <x v="5"/>
    <s v="Direct"/>
    <d v="2025-07-05T00:00:00"/>
    <s v="Yes"/>
    <s v="No"/>
    <s v="Off-Peak"/>
    <x v="1"/>
    <n v="0"/>
    <s v="31–90 days"/>
  </r>
  <r>
    <s v="B001450"/>
    <s v="G00356"/>
    <s v="H006"/>
    <s v="CH02"/>
    <d v="2025-02-28T00:00:00"/>
    <d v="2025-03-03T00:00:00"/>
    <x v="3"/>
    <n v="7917"/>
    <x v="2"/>
    <b v="0"/>
    <x v="6"/>
    <x v="3"/>
    <n v="2025"/>
    <n v="0"/>
    <n v="2"/>
    <n v="2025"/>
    <n v="4"/>
    <s v="No"/>
    <x v="1"/>
    <s v="India"/>
    <x v="0"/>
    <s v="StayNest Beach"/>
    <x v="3"/>
    <s v="Resort"/>
    <n v="100"/>
    <x v="3"/>
    <s v="App Push"/>
    <d v="2025-03-03T00:00:00"/>
    <s v="No"/>
    <s v="No"/>
    <s v="Shoulder"/>
    <x v="1"/>
    <n v="0"/>
    <s v="0–7 days"/>
  </r>
  <r>
    <s v="B001451"/>
    <s v="G00500"/>
    <s v="H003"/>
    <s v="CH02"/>
    <d v="2025-01-30T00:00:00"/>
    <d v="2025-02-06T00:00:00"/>
    <x v="0"/>
    <n v="5712"/>
    <x v="0"/>
    <b v="0"/>
    <x v="4"/>
    <x v="0"/>
    <n v="2025"/>
    <n v="3"/>
    <n v="1"/>
    <n v="2025"/>
    <n v="3"/>
    <s v="No"/>
    <x v="0"/>
    <s v="India"/>
    <x v="0"/>
    <s v="StayNest Hills"/>
    <x v="5"/>
    <s v="Resort"/>
    <n v="80"/>
    <x v="3"/>
    <s v="App Push"/>
    <d v="2025-02-06T00:00:00"/>
    <s v="No"/>
    <s v="No"/>
    <s v="Shoulder"/>
    <x v="1"/>
    <n v="0"/>
    <s v="0–7 days"/>
  </r>
  <r>
    <s v="B001452"/>
    <s v="G00017"/>
    <s v="H002"/>
    <s v="CH04"/>
    <d v="2025-06-16T00:00:00"/>
    <d v="2025-11-13T00:00:00"/>
    <x v="0"/>
    <n v="5029"/>
    <x v="2"/>
    <b v="0"/>
    <x v="5"/>
    <x v="4"/>
    <n v="2025"/>
    <n v="3"/>
    <n v="6"/>
    <n v="2025"/>
    <n v="0"/>
    <s v="No"/>
    <x v="0"/>
    <s v="India"/>
    <x v="0"/>
    <s v="StayNest Central"/>
    <x v="0"/>
    <s v="Business"/>
    <n v="150"/>
    <x v="4"/>
    <s v="Partner"/>
    <d v="2025-11-13T00:00:00"/>
    <s v="No"/>
    <s v="No"/>
    <s v="Off-Peak"/>
    <x v="1"/>
    <n v="0"/>
    <s v="91–180 days"/>
  </r>
  <r>
    <s v="B001453"/>
    <s v="G00266"/>
    <s v="H011"/>
    <s v="CH05"/>
    <d v="2026-04-19T00:00:00"/>
    <d v="2026-06-18T00:00:00"/>
    <x v="2"/>
    <n v="3515"/>
    <x v="1"/>
    <b v="0"/>
    <x v="1"/>
    <x v="1"/>
    <n v="2026"/>
    <n v="3"/>
    <n v="4"/>
    <n v="2026"/>
    <n v="6"/>
    <s v="No"/>
    <x v="0"/>
    <s v="India"/>
    <x v="0"/>
    <s v="StayNest Grand"/>
    <x v="8"/>
    <s v="Business"/>
    <n v="110"/>
    <x v="2"/>
    <s v="Corporate Rate"/>
    <d v="2026-06-18T00:00:00"/>
    <s v="No"/>
    <s v="No"/>
    <s v="Shoulder"/>
    <x v="1"/>
    <n v="1"/>
    <s v="31–90 days"/>
  </r>
  <r>
    <s v="B001454"/>
    <s v="G00616"/>
    <s v="H003"/>
    <s v="CH03"/>
    <d v="2025-02-21T00:00:00"/>
    <d v="2025-03-07T00:00:00"/>
    <x v="0"/>
    <n v="5305"/>
    <x v="0"/>
    <b v="0"/>
    <x v="3"/>
    <x v="3"/>
    <n v="2025"/>
    <n v="4"/>
    <n v="2"/>
    <n v="2025"/>
    <n v="4"/>
    <s v="No"/>
    <x v="2"/>
    <s v="India"/>
    <x v="1"/>
    <s v="StayNest Hills"/>
    <x v="5"/>
    <s v="Resort"/>
    <n v="80"/>
    <x v="1"/>
    <s v="OTA Promo"/>
    <d v="2025-03-07T00:00:00"/>
    <s v="No"/>
    <s v="No"/>
    <s v="Shoulder"/>
    <x v="1"/>
    <n v="0"/>
    <s v="8–30 days"/>
  </r>
  <r>
    <s v="B001455"/>
    <s v="G00066"/>
    <s v="H003"/>
    <s v="CH02"/>
    <d v="2025-11-21T00:00:00"/>
    <d v="2025-12-21T00:00:00"/>
    <x v="3"/>
    <n v="8808"/>
    <x v="2"/>
    <b v="0"/>
    <x v="2"/>
    <x v="5"/>
    <n v="2025"/>
    <n v="6"/>
    <n v="11"/>
    <n v="2025"/>
    <n v="4"/>
    <s v="Yes"/>
    <x v="2"/>
    <s v="India"/>
    <x v="1"/>
    <s v="StayNest Hills"/>
    <x v="5"/>
    <s v="Resort"/>
    <n v="80"/>
    <x v="3"/>
    <s v="App Push"/>
    <d v="2025-12-21T00:00:00"/>
    <s v="Yes"/>
    <s v="No"/>
    <s v="Peak"/>
    <x v="1"/>
    <n v="0"/>
    <s v="8–30 days"/>
  </r>
  <r>
    <s v="B001456"/>
    <s v="G00254"/>
    <s v="H008"/>
    <s v="CH02"/>
    <d v="2026-10-05T00:00:00"/>
    <d v="2026-10-12T00:00:00"/>
    <x v="2"/>
    <n v="2404"/>
    <x v="1"/>
    <b v="0"/>
    <x v="4"/>
    <x v="11"/>
    <n v="2026"/>
    <n v="0"/>
    <n v="10"/>
    <n v="2026"/>
    <n v="0"/>
    <s v="No"/>
    <x v="1"/>
    <s v="United States"/>
    <x v="0"/>
    <s v="StayNest Palace"/>
    <x v="7"/>
    <s v="Heritage"/>
    <n v="85"/>
    <x v="3"/>
    <s v="App Push"/>
    <d v="2026-10-12T00:00:00"/>
    <s v="No"/>
    <s v="No"/>
    <s v="Shoulder"/>
    <x v="1"/>
    <n v="1"/>
    <s v="0–7 days"/>
  </r>
  <r>
    <s v="B001457"/>
    <s v="G00469"/>
    <s v="H009"/>
    <s v="CH01"/>
    <d v="2025-08-30T00:00:00"/>
    <d v="2025-10-29T00:00:00"/>
    <x v="1"/>
    <n v="8502"/>
    <x v="0"/>
    <b v="0"/>
    <x v="1"/>
    <x v="11"/>
    <n v="2025"/>
    <n v="2"/>
    <n v="8"/>
    <n v="2025"/>
    <n v="5"/>
    <s v="No"/>
    <x v="3"/>
    <s v="India"/>
    <x v="0"/>
    <s v="StayNest Airport"/>
    <x v="9"/>
    <s v="Business"/>
    <n v="160"/>
    <x v="5"/>
    <s v="Direct"/>
    <d v="2025-10-29T00:00:00"/>
    <s v="No"/>
    <s v="No"/>
    <s v="Shoulder"/>
    <x v="1"/>
    <n v="0"/>
    <s v="31–90 days"/>
  </r>
  <r>
    <s v="B001458"/>
    <s v="G00037"/>
    <s v="H011"/>
    <s v="CH02"/>
    <d v="2026-09-05T00:00:00"/>
    <d v="2026-09-08T00:00:00"/>
    <x v="2"/>
    <n v="4189"/>
    <x v="2"/>
    <b v="0"/>
    <x v="6"/>
    <x v="10"/>
    <n v="2026"/>
    <n v="1"/>
    <n v="9"/>
    <n v="2026"/>
    <n v="5"/>
    <s v="No"/>
    <x v="3"/>
    <s v="Germany"/>
    <x v="0"/>
    <s v="StayNest Grand"/>
    <x v="8"/>
    <s v="Business"/>
    <n v="110"/>
    <x v="3"/>
    <s v="App Push"/>
    <d v="2026-09-08T00:00:00"/>
    <s v="No"/>
    <s v="No"/>
    <s v="Shoulder"/>
    <x v="1"/>
    <n v="0"/>
    <s v="0–7 days"/>
  </r>
  <r>
    <s v="B001459"/>
    <s v="G00113"/>
    <s v="H008"/>
    <s v="CH01"/>
    <d v="2025-06-26T00:00:00"/>
    <d v="2025-06-29T00:00:00"/>
    <x v="1"/>
    <n v="5902"/>
    <x v="0"/>
    <b v="0"/>
    <x v="6"/>
    <x v="1"/>
    <n v="2025"/>
    <n v="6"/>
    <n v="6"/>
    <n v="2025"/>
    <n v="3"/>
    <s v="Yes"/>
    <x v="1"/>
    <s v="United Kingdom"/>
    <x v="0"/>
    <s v="StayNest Palace"/>
    <x v="7"/>
    <s v="Heritage"/>
    <n v="85"/>
    <x v="5"/>
    <s v="Direct"/>
    <d v="2025-06-29T00:00:00"/>
    <s v="Yes"/>
    <s v="No"/>
    <s v="Shoulder"/>
    <x v="1"/>
    <n v="0"/>
    <s v="0–7 days"/>
  </r>
  <r>
    <s v="B001460"/>
    <s v="G00297"/>
    <s v="H003"/>
    <s v="CH02"/>
    <d v="2025-04-26T00:00:00"/>
    <d v="2025-05-10T00:00:00"/>
    <x v="1"/>
    <n v="8600"/>
    <x v="0"/>
    <b v="0"/>
    <x v="3"/>
    <x v="9"/>
    <n v="2025"/>
    <n v="5"/>
    <n v="4"/>
    <n v="2025"/>
    <n v="5"/>
    <s v="Yes"/>
    <x v="1"/>
    <s v="Unknown"/>
    <x v="0"/>
    <s v="StayNest Hills"/>
    <x v="5"/>
    <s v="Resort"/>
    <n v="80"/>
    <x v="3"/>
    <s v="App Push"/>
    <d v="2025-05-10T00:00:00"/>
    <s v="Yes"/>
    <s v="No"/>
    <s v="Peak"/>
    <x v="1"/>
    <n v="0"/>
    <s v="8–30 days"/>
  </r>
  <r>
    <s v="B001461"/>
    <s v="G00200"/>
    <s v="H012"/>
    <s v="CH06"/>
    <d v="2025-01-02T00:00:00"/>
    <d v="2025-03-03T00:00:00"/>
    <x v="0"/>
    <n v="4687"/>
    <x v="0"/>
    <b v="0"/>
    <x v="1"/>
    <x v="3"/>
    <n v="2025"/>
    <n v="0"/>
    <n v="1"/>
    <n v="2025"/>
    <n v="3"/>
    <s v="No"/>
    <x v="1"/>
    <s v="India"/>
    <x v="0"/>
    <s v="StayNest Valley"/>
    <x v="4"/>
    <s v="Resort"/>
    <n v="65"/>
    <x v="0"/>
    <s v="Retention"/>
    <d v="2025-03-03T00:00:00"/>
    <s v="No"/>
    <s v="No"/>
    <s v="Shoulder"/>
    <x v="1"/>
    <n v="0"/>
    <s v="31–90 days"/>
  </r>
  <r>
    <s v="B001462"/>
    <s v="G00515"/>
    <s v="H009"/>
    <s v="CH04"/>
    <d v="2026-06-05T00:00:00"/>
    <d v="2026-07-05T00:00:00"/>
    <x v="3"/>
    <n v="6670"/>
    <x v="0"/>
    <b v="0"/>
    <x v="2"/>
    <x v="8"/>
    <n v="2026"/>
    <n v="6"/>
    <n v="6"/>
    <n v="2026"/>
    <n v="4"/>
    <s v="Yes"/>
    <x v="1"/>
    <s v="India"/>
    <x v="0"/>
    <s v="StayNest Airport"/>
    <x v="9"/>
    <s v="Business"/>
    <n v="160"/>
    <x v="4"/>
    <s v="Partner"/>
    <d v="2026-07-05T00:00:00"/>
    <s v="Yes"/>
    <s v="No"/>
    <s v="Off-Peak"/>
    <x v="1"/>
    <n v="0"/>
    <s v="8–30 days"/>
  </r>
  <r>
    <s v="B001464"/>
    <s v="G00650"/>
    <s v="H011"/>
    <s v="CH02"/>
    <d v="2025-06-13T00:00:00"/>
    <d v="2025-11-10T00:00:00"/>
    <x v="3"/>
    <n v="8015"/>
    <x v="2"/>
    <b v="0"/>
    <x v="5"/>
    <x v="4"/>
    <n v="2025"/>
    <n v="0"/>
    <n v="6"/>
    <n v="2025"/>
    <n v="4"/>
    <s v="No"/>
    <x v="3"/>
    <s v="Singapore"/>
    <x v="0"/>
    <s v="StayNest Grand"/>
    <x v="8"/>
    <s v="Business"/>
    <n v="110"/>
    <x v="3"/>
    <s v="App Push"/>
    <d v="2025-11-10T00:00:00"/>
    <s v="No"/>
    <s v="No"/>
    <s v="Off-Peak"/>
    <x v="1"/>
    <n v="0"/>
    <s v="91–180 days"/>
  </r>
  <r>
    <s v="B001465"/>
    <s v="G00164"/>
    <s v="H006"/>
    <s v="CH05"/>
    <d v="2025-06-07T00:00:00"/>
    <d v="2025-06-08T00:00:00"/>
    <x v="2"/>
    <n v="2915"/>
    <x v="2"/>
    <b v="0"/>
    <x v="7"/>
    <x v="1"/>
    <n v="2025"/>
    <n v="6"/>
    <n v="6"/>
    <n v="2025"/>
    <n v="5"/>
    <s v="Yes"/>
    <x v="3"/>
    <s v="India"/>
    <x v="1"/>
    <s v="StayNest Beach"/>
    <x v="3"/>
    <s v="Resort"/>
    <n v="100"/>
    <x v="2"/>
    <s v="Corporate Rate"/>
    <d v="2025-06-08T00:00:00"/>
    <s v="Yes"/>
    <s v="No"/>
    <s v="Shoulder"/>
    <x v="1"/>
    <n v="0"/>
    <s v="0–7 days"/>
  </r>
  <r>
    <s v="B001466"/>
    <s v="G00587"/>
    <s v="H012"/>
    <s v="CH02"/>
    <d v="2025-06-04T00:00:00"/>
    <d v="2025-07-04T00:00:00"/>
    <x v="2"/>
    <n v="2860"/>
    <x v="2"/>
    <b v="0"/>
    <x v="2"/>
    <x v="8"/>
    <n v="2025"/>
    <n v="4"/>
    <n v="6"/>
    <n v="2025"/>
    <n v="2"/>
    <s v="No"/>
    <x v="0"/>
    <s v="United States"/>
    <x v="0"/>
    <s v="StayNest Valley"/>
    <x v="4"/>
    <s v="Resort"/>
    <n v="65"/>
    <x v="3"/>
    <s v="App Push"/>
    <d v="2025-07-04T00:00:00"/>
    <s v="No"/>
    <s v="No"/>
    <s v="Off-Peak"/>
    <x v="1"/>
    <n v="0"/>
    <s v="8–30 days"/>
  </r>
  <r>
    <s v="B001467"/>
    <s v="G00596"/>
    <s v="H007"/>
    <s v="CH02"/>
    <d v="2026-03-23T00:00:00"/>
    <d v="2026-03-30T00:00:00"/>
    <x v="0"/>
    <n v="4715"/>
    <x v="1"/>
    <b v="0"/>
    <x v="4"/>
    <x v="3"/>
    <n v="2026"/>
    <n v="0"/>
    <n v="3"/>
    <n v="2026"/>
    <n v="0"/>
    <s v="No"/>
    <x v="1"/>
    <s v="United States"/>
    <x v="0"/>
    <s v="StayNest Tech Park"/>
    <x v="6"/>
    <s v="Business"/>
    <n v="140"/>
    <x v="3"/>
    <s v="App Push"/>
    <d v="2026-03-30T00:00:00"/>
    <s v="No"/>
    <s v="No"/>
    <s v="Shoulder"/>
    <x v="1"/>
    <n v="1"/>
    <s v="0–7 days"/>
  </r>
  <r>
    <s v="B001468"/>
    <s v="G00387"/>
    <s v="H002"/>
    <s v="CH03"/>
    <d v="2026-11-11T00:00:00"/>
    <d v="2026-11-18T00:00:00"/>
    <x v="2"/>
    <n v="2895"/>
    <x v="1"/>
    <b v="0"/>
    <x v="4"/>
    <x v="4"/>
    <n v="2026"/>
    <n v="2"/>
    <n v="11"/>
    <n v="2026"/>
    <n v="2"/>
    <s v="No"/>
    <x v="0"/>
    <s v="India"/>
    <x v="0"/>
    <s v="StayNest Central"/>
    <x v="0"/>
    <s v="Business"/>
    <n v="150"/>
    <x v="1"/>
    <s v="OTA Promo"/>
    <d v="2026-11-18T00:00:00"/>
    <s v="No"/>
    <s v="No"/>
    <s v="Off-Peak"/>
    <x v="1"/>
    <n v="1"/>
    <s v="0–7 days"/>
  </r>
  <r>
    <s v="B001469"/>
    <s v="G00552"/>
    <s v="H001"/>
    <s v="CH01"/>
    <d v="2025-10-07T00:00:00"/>
    <d v="2025-11-06T00:00:00"/>
    <x v="0"/>
    <n v="3842"/>
    <x v="0"/>
    <b v="0"/>
    <x v="2"/>
    <x v="4"/>
    <n v="2025"/>
    <n v="3"/>
    <n v="10"/>
    <n v="2025"/>
    <n v="1"/>
    <s v="No"/>
    <x v="3"/>
    <s v="India"/>
    <x v="0"/>
    <s v="StayNest Marina"/>
    <x v="1"/>
    <s v="Business"/>
    <n v="120"/>
    <x v="5"/>
    <s v="Direct"/>
    <d v="2025-11-06T00:00:00"/>
    <s v="No"/>
    <s v="No"/>
    <s v="Off-Peak"/>
    <x v="1"/>
    <n v="0"/>
    <s v="8–30 days"/>
  </r>
  <r>
    <s v="B001470"/>
    <s v="G00079"/>
    <s v="H006"/>
    <s v="CH06"/>
    <d v="2025-10-31T00:00:00"/>
    <d v="2025-11-30T00:00:00"/>
    <x v="2"/>
    <n v="3302"/>
    <x v="0"/>
    <b v="0"/>
    <x v="2"/>
    <x v="4"/>
    <n v="2025"/>
    <n v="6"/>
    <n v="10"/>
    <n v="2025"/>
    <n v="4"/>
    <s v="Yes"/>
    <x v="1"/>
    <s v="India"/>
    <x v="0"/>
    <s v="StayNest Beach"/>
    <x v="3"/>
    <s v="Resort"/>
    <n v="100"/>
    <x v="0"/>
    <s v="Retention"/>
    <d v="2025-11-30T00:00:00"/>
    <s v="Yes"/>
    <s v="No"/>
    <s v="Off-Peak"/>
    <x v="1"/>
    <n v="0"/>
    <s v="8–30 days"/>
  </r>
  <r>
    <s v="B001471"/>
    <s v="G00009"/>
    <s v="H002"/>
    <s v="CH05"/>
    <d v="2025-04-23T00:00:00"/>
    <d v="2025-05-23T00:00:00"/>
    <x v="3"/>
    <n v="9690"/>
    <x v="2"/>
    <b v="0"/>
    <x v="2"/>
    <x v="9"/>
    <n v="2025"/>
    <n v="4"/>
    <n v="4"/>
    <n v="2025"/>
    <n v="2"/>
    <s v="No"/>
    <x v="2"/>
    <s v="India"/>
    <x v="1"/>
    <s v="StayNest Central"/>
    <x v="0"/>
    <s v="Business"/>
    <n v="150"/>
    <x v="2"/>
    <s v="Corporate Rate"/>
    <d v="2025-05-23T00:00:00"/>
    <s v="No"/>
    <s v="No"/>
    <s v="Peak"/>
    <x v="1"/>
    <n v="0"/>
    <s v="8–30 days"/>
  </r>
  <r>
    <s v="B001472"/>
    <s v="G00001"/>
    <s v="H001"/>
    <s v="CH04"/>
    <d v="2025-07-01T00:00:00"/>
    <d v="2025-07-31T00:00:00"/>
    <x v="1"/>
    <n v="6001"/>
    <x v="2"/>
    <b v="0"/>
    <x v="2"/>
    <x v="8"/>
    <n v="2025"/>
    <n v="3"/>
    <n v="7"/>
    <n v="2025"/>
    <n v="1"/>
    <s v="No"/>
    <x v="0"/>
    <s v="India"/>
    <x v="0"/>
    <s v="StayNest Marina"/>
    <x v="1"/>
    <s v="Business"/>
    <n v="120"/>
    <x v="4"/>
    <s v="Partner"/>
    <d v="2025-07-31T00:00:00"/>
    <s v="No"/>
    <s v="No"/>
    <s v="Off-Peak"/>
    <x v="1"/>
    <n v="0"/>
    <s v="8–30 days"/>
  </r>
  <r>
    <s v="B001473"/>
    <s v="G00398"/>
    <s v="H011"/>
    <s v="CH04"/>
    <d v="2025-10-16T00:00:00"/>
    <d v="2026-03-15T00:00:00"/>
    <x v="1"/>
    <n v="6783"/>
    <x v="1"/>
    <b v="0"/>
    <x v="5"/>
    <x v="3"/>
    <n v="2026"/>
    <n v="6"/>
    <n v="10"/>
    <n v="2025"/>
    <n v="3"/>
    <s v="Yes"/>
    <x v="3"/>
    <s v="India"/>
    <x v="1"/>
    <s v="StayNest Grand"/>
    <x v="8"/>
    <s v="Business"/>
    <n v="110"/>
    <x v="4"/>
    <s v="Partner"/>
    <d v="2026-03-15T00:00:00"/>
    <s v="Yes"/>
    <s v="No"/>
    <s v="Shoulder"/>
    <x v="1"/>
    <n v="1"/>
    <s v="91–180 days"/>
  </r>
  <r>
    <s v="B001474"/>
    <s v="G00185"/>
    <s v="H002"/>
    <s v="CH05"/>
    <d v="2025-05-25T00:00:00"/>
    <d v="2025-07-24T00:00:00"/>
    <x v="1"/>
    <n v="5749"/>
    <x v="0"/>
    <b v="0"/>
    <x v="1"/>
    <x v="8"/>
    <n v="2025"/>
    <n v="3"/>
    <n v="5"/>
    <n v="2025"/>
    <n v="6"/>
    <s v="No"/>
    <x v="1"/>
    <s v="United Kingdom"/>
    <x v="0"/>
    <s v="StayNest Central"/>
    <x v="0"/>
    <s v="Business"/>
    <n v="150"/>
    <x v="2"/>
    <s v="Corporate Rate"/>
    <d v="2025-07-24T00:00:00"/>
    <s v="No"/>
    <s v="No"/>
    <s v="Off-Peak"/>
    <x v="1"/>
    <n v="0"/>
    <s v="31–90 days"/>
  </r>
  <r>
    <s v="B001475"/>
    <s v="G00168"/>
    <s v="H010"/>
    <s v="CH03"/>
    <d v="2026-06-29T00:00:00"/>
    <d v="2026-07-06T00:00:00"/>
    <x v="2"/>
    <n v="3700"/>
    <x v="2"/>
    <b v="0"/>
    <x v="4"/>
    <x v="8"/>
    <n v="2026"/>
    <n v="0"/>
    <n v="6"/>
    <n v="2026"/>
    <n v="0"/>
    <s v="No"/>
    <x v="1"/>
    <s v="India"/>
    <x v="0"/>
    <s v="StayNest Garden"/>
    <x v="10"/>
    <s v="Boutique"/>
    <n v="70"/>
    <x v="1"/>
    <s v="OTA Promo"/>
    <d v="2026-07-06T00:00:00"/>
    <s v="No"/>
    <s v="No"/>
    <s v="Off-Peak"/>
    <x v="1"/>
    <n v="0"/>
    <s v="0–7 days"/>
  </r>
  <r>
    <s v="B001476"/>
    <s v="G00115"/>
    <s v="H002"/>
    <s v="CH04"/>
    <d v="2026-09-22T00:00:00"/>
    <d v="2026-10-06T00:00:00"/>
    <x v="1"/>
    <n v="6137"/>
    <x v="2"/>
    <b v="0"/>
    <x v="3"/>
    <x v="11"/>
    <n v="2026"/>
    <n v="1"/>
    <n v="9"/>
    <n v="2026"/>
    <n v="1"/>
    <s v="No"/>
    <x v="1"/>
    <s v="India"/>
    <x v="0"/>
    <s v="StayNest Central"/>
    <x v="0"/>
    <s v="Business"/>
    <n v="150"/>
    <x v="4"/>
    <s v="Partner"/>
    <d v="2026-10-06T00:00:00"/>
    <s v="No"/>
    <s v="No"/>
    <s v="Shoulder"/>
    <x v="1"/>
    <n v="0"/>
    <s v="8–30 days"/>
  </r>
  <r>
    <s v="B001477"/>
    <s v="G00527"/>
    <s v="H012"/>
    <s v="CH02"/>
    <d v="2025-04-24T00:00:00"/>
    <d v="2025-06-23T00:00:00"/>
    <x v="2"/>
    <n v="2649"/>
    <x v="0"/>
    <b v="0"/>
    <x v="1"/>
    <x v="1"/>
    <n v="2025"/>
    <n v="0"/>
    <n v="4"/>
    <n v="2025"/>
    <n v="3"/>
    <s v="No"/>
    <x v="1"/>
    <s v="Germany"/>
    <x v="0"/>
    <s v="StayNest Valley"/>
    <x v="4"/>
    <s v="Resort"/>
    <n v="65"/>
    <x v="3"/>
    <s v="App Push"/>
    <d v="2025-06-23T00:00:00"/>
    <s v="No"/>
    <s v="No"/>
    <s v="Shoulder"/>
    <x v="1"/>
    <n v="0"/>
    <s v="31–90 days"/>
  </r>
  <r>
    <s v="B001478"/>
    <s v="G00003"/>
    <s v="H001"/>
    <s v="CH01"/>
    <d v="2025-12-23T00:00:00"/>
    <d v="2026-05-22T00:00:00"/>
    <x v="0"/>
    <n v="4292"/>
    <x v="1"/>
    <b v="0"/>
    <x v="5"/>
    <x v="9"/>
    <n v="2026"/>
    <n v="4"/>
    <n v="12"/>
    <n v="2025"/>
    <n v="1"/>
    <s v="No"/>
    <x v="2"/>
    <s v="India"/>
    <x v="0"/>
    <s v="StayNest Marina"/>
    <x v="1"/>
    <s v="Business"/>
    <n v="120"/>
    <x v="5"/>
    <s v="Direct"/>
    <d v="2026-05-22T00:00:00"/>
    <s v="No"/>
    <s v="No"/>
    <s v="Peak"/>
    <x v="1"/>
    <n v="1"/>
    <s v="91–180 days"/>
  </r>
  <r>
    <s v="B001479"/>
    <s v="G00330"/>
    <s v="H011"/>
    <s v="CH01"/>
    <d v="2025-12-01T00:00:00"/>
    <d v="2026-01-30T00:00:00"/>
    <x v="3"/>
    <n v="8424"/>
    <x v="0"/>
    <b v="0"/>
    <x v="1"/>
    <x v="6"/>
    <n v="2026"/>
    <n v="4"/>
    <n v="12"/>
    <n v="2025"/>
    <n v="0"/>
    <s v="No"/>
    <x v="3"/>
    <s v="United States"/>
    <x v="1"/>
    <s v="StayNest Grand"/>
    <x v="8"/>
    <s v="Business"/>
    <n v="110"/>
    <x v="5"/>
    <s v="Direct"/>
    <d v="2026-01-30T00:00:00"/>
    <s v="No"/>
    <s v="No"/>
    <s v="Off-Peak"/>
    <x v="1"/>
    <n v="0"/>
    <s v="31–90 days"/>
  </r>
  <r>
    <s v="B001480"/>
    <s v="G00166"/>
    <s v="H007"/>
    <s v="CH05"/>
    <d v="2025-06-25T00:00:00"/>
    <d v="2025-07-25T00:00:00"/>
    <x v="2"/>
    <n v="3123"/>
    <x v="2"/>
    <b v="0"/>
    <x v="2"/>
    <x v="8"/>
    <n v="2025"/>
    <n v="4"/>
    <n v="6"/>
    <n v="2025"/>
    <n v="2"/>
    <s v="No"/>
    <x v="0"/>
    <s v="India"/>
    <x v="1"/>
    <s v="StayNest Tech Park"/>
    <x v="6"/>
    <s v="Business"/>
    <n v="140"/>
    <x v="2"/>
    <s v="Corporate Rate"/>
    <d v="2025-07-25T00:00:00"/>
    <s v="No"/>
    <s v="No"/>
    <s v="Off-Peak"/>
    <x v="1"/>
    <n v="0"/>
    <s v="8–30 days"/>
  </r>
  <r>
    <s v="B001481"/>
    <s v="G00250"/>
    <s v="H004"/>
    <s v="CH02"/>
    <d v="2026-07-24T00:00:00"/>
    <d v="2027-03-01T00:00:00"/>
    <x v="0"/>
    <n v="5078"/>
    <x v="2"/>
    <b v="0"/>
    <x v="8"/>
    <x v="3"/>
    <n v="2027"/>
    <n v="0"/>
    <n v="7"/>
    <n v="2026"/>
    <n v="4"/>
    <s v="No"/>
    <x v="3"/>
    <s v="India"/>
    <x v="0"/>
    <s v="StayNest Lakeview"/>
    <x v="2"/>
    <s v="Resort"/>
    <n v="75"/>
    <x v="3"/>
    <s v="App Push"/>
    <m/>
    <s v="Unknown"/>
    <s v="Unknown"/>
    <s v="Unknown"/>
    <x v="0"/>
    <n v="0"/>
    <s v="181+ days"/>
  </r>
  <r>
    <s v="B001482"/>
    <s v="G00518"/>
    <s v="H006"/>
    <s v="CH06"/>
    <d v="2025-04-27T00:00:00"/>
    <d v="2025-08-05T00:00:00"/>
    <x v="1"/>
    <n v="6015"/>
    <x v="2"/>
    <b v="0"/>
    <x v="0"/>
    <x v="7"/>
    <n v="2025"/>
    <n v="1"/>
    <n v="4"/>
    <n v="2025"/>
    <n v="6"/>
    <s v="No"/>
    <x v="3"/>
    <s v="India"/>
    <x v="1"/>
    <s v="StayNest Beach"/>
    <x v="3"/>
    <s v="Resort"/>
    <n v="100"/>
    <x v="0"/>
    <s v="Retention"/>
    <d v="2025-08-05T00:00:00"/>
    <s v="No"/>
    <s v="No"/>
    <s v="Off-Peak"/>
    <x v="1"/>
    <n v="0"/>
    <s v="91–180 days"/>
  </r>
  <r>
    <s v="B001483"/>
    <s v="G00001"/>
    <s v="H002"/>
    <s v="CH02"/>
    <d v="2025-06-08T00:00:00"/>
    <d v="2025-07-08T00:00:00"/>
    <x v="0"/>
    <n v="4424"/>
    <x v="0"/>
    <b v="0"/>
    <x v="2"/>
    <x v="8"/>
    <n v="2025"/>
    <n v="1"/>
    <n v="6"/>
    <n v="2025"/>
    <n v="6"/>
    <s v="No"/>
    <x v="0"/>
    <s v="India"/>
    <x v="0"/>
    <s v="StayNest Central"/>
    <x v="0"/>
    <s v="Business"/>
    <n v="150"/>
    <x v="3"/>
    <s v="App Push"/>
    <d v="2025-07-08T00:00:00"/>
    <s v="No"/>
    <s v="No"/>
    <s v="Off-Peak"/>
    <x v="1"/>
    <n v="0"/>
    <s v="8–30 days"/>
  </r>
  <r>
    <s v="B001484"/>
    <s v="G00230"/>
    <s v="H006"/>
    <s v="CH02"/>
    <d v="2026-04-18T00:00:00"/>
    <d v="2026-06-17T00:00:00"/>
    <x v="2"/>
    <n v="3176"/>
    <x v="0"/>
    <b v="0"/>
    <x v="1"/>
    <x v="1"/>
    <n v="2026"/>
    <n v="2"/>
    <n v="4"/>
    <n v="2026"/>
    <n v="5"/>
    <s v="No"/>
    <x v="1"/>
    <s v="India"/>
    <x v="0"/>
    <s v="StayNest Beach"/>
    <x v="3"/>
    <s v="Resort"/>
    <n v="100"/>
    <x v="3"/>
    <s v="App Push"/>
    <d v="2026-06-17T00:00:00"/>
    <s v="No"/>
    <s v="No"/>
    <s v="Shoulder"/>
    <x v="1"/>
    <n v="0"/>
    <s v="31–90 days"/>
  </r>
  <r>
    <s v="B001485"/>
    <s v="G00045"/>
    <s v="H007"/>
    <s v="CH06"/>
    <d v="2026-01-15T00:00:00"/>
    <d v="2026-04-25T00:00:00"/>
    <x v="0"/>
    <n v="5704"/>
    <x v="0"/>
    <b v="0"/>
    <x v="0"/>
    <x v="2"/>
    <n v="2026"/>
    <n v="5"/>
    <n v="1"/>
    <n v="2026"/>
    <n v="3"/>
    <s v="Yes"/>
    <x v="2"/>
    <s v="Germany"/>
    <x v="1"/>
    <s v="StayNest Tech Park"/>
    <x v="6"/>
    <s v="Business"/>
    <n v="140"/>
    <x v="0"/>
    <s v="Retention"/>
    <d v="2026-04-25T00:00:00"/>
    <s v="Yes"/>
    <s v="No"/>
    <s v="Peak"/>
    <x v="1"/>
    <n v="0"/>
    <s v="91–180 days"/>
  </r>
  <r>
    <s v="B001486"/>
    <s v="G00077"/>
    <s v="H010"/>
    <s v="CH02"/>
    <d v="2026-04-24T00:00:00"/>
    <d v="2026-05-24T00:00:00"/>
    <x v="1"/>
    <n v="6443"/>
    <x v="2"/>
    <b v="0"/>
    <x v="2"/>
    <x v="9"/>
    <n v="2026"/>
    <n v="6"/>
    <n v="4"/>
    <n v="2026"/>
    <n v="4"/>
    <s v="Yes"/>
    <x v="1"/>
    <s v="Germany"/>
    <x v="1"/>
    <s v="StayNest Garden"/>
    <x v="10"/>
    <s v="Boutique"/>
    <n v="70"/>
    <x v="3"/>
    <s v="App Push"/>
    <d v="2026-05-24T00:00:00"/>
    <s v="Yes"/>
    <s v="No"/>
    <s v="Peak"/>
    <x v="1"/>
    <n v="0"/>
    <s v="8–30 days"/>
  </r>
  <r>
    <s v="B001487"/>
    <s v="G00253"/>
    <s v="H009"/>
    <s v="CH06"/>
    <d v="2025-11-03T00:00:00"/>
    <d v="2025-11-17T00:00:00"/>
    <x v="1"/>
    <n v="7873"/>
    <x v="3"/>
    <b v="0"/>
    <x v="3"/>
    <x v="4"/>
    <n v="2025"/>
    <n v="0"/>
    <n v="11"/>
    <n v="2025"/>
    <n v="0"/>
    <s v="No"/>
    <x v="3"/>
    <s v="India"/>
    <x v="1"/>
    <s v="StayNest Airport"/>
    <x v="9"/>
    <s v="Business"/>
    <n v="160"/>
    <x v="0"/>
    <s v="Retention"/>
    <d v="2025-11-17T00:00:00"/>
    <s v="No"/>
    <s v="No"/>
    <s v="Off-Peak"/>
    <x v="1"/>
    <n v="0"/>
    <s v="8–30 days"/>
  </r>
  <r>
    <s v="B001488"/>
    <s v="G00409"/>
    <s v="H009"/>
    <s v="CH04"/>
    <d v="2025-06-24T00:00:00"/>
    <d v="2025-07-24T00:00:00"/>
    <x v="3"/>
    <n v="7633"/>
    <x v="0"/>
    <b v="0"/>
    <x v="2"/>
    <x v="8"/>
    <n v="2025"/>
    <n v="3"/>
    <n v="6"/>
    <n v="2025"/>
    <n v="1"/>
    <s v="No"/>
    <x v="0"/>
    <s v="India"/>
    <x v="0"/>
    <s v="StayNest Airport"/>
    <x v="9"/>
    <s v="Business"/>
    <n v="160"/>
    <x v="4"/>
    <s v="Partner"/>
    <d v="2025-07-24T00:00:00"/>
    <s v="No"/>
    <s v="No"/>
    <s v="Off-Peak"/>
    <x v="1"/>
    <n v="0"/>
    <s v="8–30 days"/>
  </r>
  <r>
    <s v="B001489"/>
    <s v="G00580"/>
    <s v="H003"/>
    <s v="CH03"/>
    <d v="2025-11-30T00:00:00"/>
    <d v="2025-12-07T00:00:00"/>
    <x v="3"/>
    <n v="10140"/>
    <x v="1"/>
    <b v="0"/>
    <x v="4"/>
    <x v="5"/>
    <n v="2025"/>
    <n v="6"/>
    <n v="11"/>
    <n v="2025"/>
    <n v="6"/>
    <s v="Yes"/>
    <x v="1"/>
    <s v="India"/>
    <x v="0"/>
    <s v="StayNest Hills"/>
    <x v="5"/>
    <s v="Resort"/>
    <n v="80"/>
    <x v="1"/>
    <s v="OTA Promo"/>
    <d v="2025-12-07T00:00:00"/>
    <s v="Yes"/>
    <s v="No"/>
    <s v="Peak"/>
    <x v="1"/>
    <n v="1"/>
    <s v="0–7 days"/>
  </r>
  <r>
    <s v="B001490"/>
    <s v="G00623"/>
    <s v="H001"/>
    <s v="CH04"/>
    <d v="2025-10-02T00:00:00"/>
    <d v="2025-11-01T00:00:00"/>
    <x v="0"/>
    <n v="5232"/>
    <x v="0"/>
    <b v="0"/>
    <x v="2"/>
    <x v="4"/>
    <n v="2025"/>
    <n v="5"/>
    <n v="10"/>
    <n v="2025"/>
    <n v="3"/>
    <s v="Yes"/>
    <x v="1"/>
    <s v="India"/>
    <x v="1"/>
    <s v="StayNest Marina"/>
    <x v="1"/>
    <s v="Business"/>
    <n v="120"/>
    <x v="4"/>
    <s v="Partner"/>
    <d v="2025-11-01T00:00:00"/>
    <s v="Yes"/>
    <s v="No"/>
    <s v="Off-Peak"/>
    <x v="1"/>
    <n v="0"/>
    <s v="8–30 days"/>
  </r>
  <r>
    <s v="B001491"/>
    <s v="G00497"/>
    <s v="H001"/>
    <s v="CH05"/>
    <d v="2025-01-04T00:00:00"/>
    <d v="2025-02-03T00:00:00"/>
    <x v="1"/>
    <n v="7290"/>
    <x v="0"/>
    <b v="0"/>
    <x v="2"/>
    <x v="0"/>
    <n v="2025"/>
    <n v="0"/>
    <n v="1"/>
    <n v="2025"/>
    <n v="5"/>
    <s v="No"/>
    <x v="1"/>
    <s v="India"/>
    <x v="0"/>
    <s v="StayNest Marina"/>
    <x v="1"/>
    <s v="Business"/>
    <n v="120"/>
    <x v="2"/>
    <s v="Corporate Rate"/>
    <d v="2025-02-03T00:00:00"/>
    <s v="No"/>
    <s v="No"/>
    <s v="Shoulder"/>
    <x v="1"/>
    <n v="0"/>
    <s v="8–30 days"/>
  </r>
  <r>
    <s v="B001492"/>
    <s v="G00416"/>
    <s v="H005"/>
    <s v="CH01"/>
    <d v="2026-06-06T00:00:00"/>
    <d v="2026-06-13T00:00:00"/>
    <x v="3"/>
    <n v="8486"/>
    <x v="0"/>
    <b v="0"/>
    <x v="4"/>
    <x v="1"/>
    <n v="2026"/>
    <n v="5"/>
    <n v="6"/>
    <n v="2026"/>
    <n v="5"/>
    <s v="Yes"/>
    <x v="0"/>
    <s v="India"/>
    <x v="0"/>
    <s v="StayNest Heritage"/>
    <x v="11"/>
    <s v="Heritage"/>
    <n v="90"/>
    <x v="5"/>
    <s v="Direct"/>
    <d v="2026-06-13T00:00:00"/>
    <s v="Yes"/>
    <s v="No"/>
    <s v="Shoulder"/>
    <x v="1"/>
    <n v="0"/>
    <s v="0–7 days"/>
  </r>
  <r>
    <s v="B001493"/>
    <s v="G00212"/>
    <s v="H007"/>
    <s v="CH06"/>
    <d v="2026-08-19T00:00:00"/>
    <d v="2026-09-18T00:00:00"/>
    <x v="2"/>
    <n v="2799"/>
    <x v="2"/>
    <b v="0"/>
    <x v="2"/>
    <x v="10"/>
    <n v="2026"/>
    <n v="4"/>
    <n v="8"/>
    <n v="2026"/>
    <n v="2"/>
    <s v="No"/>
    <x v="1"/>
    <s v="India"/>
    <x v="1"/>
    <s v="StayNest Tech Park"/>
    <x v="6"/>
    <s v="Business"/>
    <n v="140"/>
    <x v="0"/>
    <s v="Retention"/>
    <d v="2026-09-18T00:00:00"/>
    <s v="No"/>
    <s v="No"/>
    <s v="Shoulder"/>
    <x v="1"/>
    <n v="0"/>
    <s v="8–30 days"/>
  </r>
  <r>
    <s v="B001494"/>
    <s v="G00171"/>
    <s v="H011"/>
    <s v="CH06"/>
    <d v="2026-06-12T00:00:00"/>
    <d v="2026-08-11T00:00:00"/>
    <x v="2"/>
    <n v="4176"/>
    <x v="1"/>
    <b v="0"/>
    <x v="1"/>
    <x v="7"/>
    <n v="2026"/>
    <n v="1"/>
    <n v="6"/>
    <n v="2026"/>
    <n v="4"/>
    <s v="No"/>
    <x v="1"/>
    <s v="India"/>
    <x v="0"/>
    <s v="StayNest Grand"/>
    <x v="8"/>
    <s v="Business"/>
    <n v="110"/>
    <x v="0"/>
    <s v="Retention"/>
    <d v="2026-08-11T00:00:00"/>
    <s v="No"/>
    <s v="No"/>
    <s v="Off-Peak"/>
    <x v="1"/>
    <n v="1"/>
    <s v="31–90 days"/>
  </r>
  <r>
    <s v="B001495"/>
    <s v="G00409"/>
    <s v="H003"/>
    <s v="CH04"/>
    <d v="2025-02-10T00:00:00"/>
    <d v="2025-02-24T00:00:00"/>
    <x v="3"/>
    <n v="6648"/>
    <x v="2"/>
    <b v="0"/>
    <x v="3"/>
    <x v="0"/>
    <n v="2025"/>
    <n v="0"/>
    <n v="2"/>
    <n v="2025"/>
    <n v="0"/>
    <s v="No"/>
    <x v="0"/>
    <s v="India"/>
    <x v="0"/>
    <s v="StayNest Hills"/>
    <x v="5"/>
    <s v="Resort"/>
    <n v="80"/>
    <x v="4"/>
    <s v="Partner"/>
    <d v="2025-02-24T00:00:00"/>
    <s v="No"/>
    <s v="No"/>
    <s v="Shoulder"/>
    <x v="1"/>
    <n v="0"/>
    <s v="8–30 days"/>
  </r>
  <r>
    <s v="B001496"/>
    <s v="G00368"/>
    <s v="H009"/>
    <s v="CH01"/>
    <d v="2025-08-15T00:00:00"/>
    <d v="2025-08-16T00:00:00"/>
    <x v="0"/>
    <n v="5476"/>
    <x v="0"/>
    <b v="0"/>
    <x v="7"/>
    <x v="7"/>
    <n v="2025"/>
    <n v="5"/>
    <n v="8"/>
    <n v="2025"/>
    <n v="4"/>
    <s v="Yes"/>
    <x v="1"/>
    <s v="India"/>
    <x v="0"/>
    <s v="StayNest Airport"/>
    <x v="9"/>
    <s v="Business"/>
    <n v="160"/>
    <x v="5"/>
    <s v="Direct"/>
    <d v="2025-08-16T00:00:00"/>
    <s v="Yes"/>
    <s v="No"/>
    <s v="Off-Peak"/>
    <x v="1"/>
    <n v="0"/>
    <s v="0–7 days"/>
  </r>
  <r>
    <s v="B001497"/>
    <s v="G00486"/>
    <s v="H005"/>
    <s v="CH06"/>
    <d v="2025-04-19T00:00:00"/>
    <d v="2025-05-19T00:00:00"/>
    <x v="1"/>
    <n v="8228"/>
    <x v="1"/>
    <b v="0"/>
    <x v="2"/>
    <x v="9"/>
    <n v="2025"/>
    <n v="0"/>
    <n v="4"/>
    <n v="2025"/>
    <n v="5"/>
    <s v="No"/>
    <x v="2"/>
    <s v="India"/>
    <x v="1"/>
    <s v="StayNest Heritage"/>
    <x v="11"/>
    <s v="Heritage"/>
    <n v="90"/>
    <x v="0"/>
    <s v="Retention"/>
    <d v="2025-05-19T00:00:00"/>
    <s v="No"/>
    <s v="No"/>
    <s v="Peak"/>
    <x v="1"/>
    <n v="1"/>
    <s v="8–30 days"/>
  </r>
  <r>
    <s v="B001498"/>
    <s v="G00001"/>
    <s v="H004"/>
    <s v="CH01"/>
    <d v="2026-11-27T00:00:00"/>
    <d v="2026-12-11T00:00:00"/>
    <x v="1"/>
    <n v="6457"/>
    <x v="1"/>
    <b v="0"/>
    <x v="3"/>
    <x v="5"/>
    <n v="2026"/>
    <n v="4"/>
    <n v="11"/>
    <n v="2026"/>
    <n v="4"/>
    <s v="No"/>
    <x v="0"/>
    <s v="India"/>
    <x v="0"/>
    <s v="StayNest Lakeview"/>
    <x v="2"/>
    <s v="Resort"/>
    <n v="75"/>
    <x v="5"/>
    <s v="Direct"/>
    <d v="2026-12-11T00:00:00"/>
    <s v="No"/>
    <s v="No"/>
    <s v="Peak"/>
    <x v="1"/>
    <n v="1"/>
    <s v="8–30 days"/>
  </r>
  <r>
    <s v="B001499"/>
    <s v="G00367"/>
    <s v="H007"/>
    <s v="CH03"/>
    <d v="2025-04-10T00:00:00"/>
    <d v="2025-05-10T00:00:00"/>
    <x v="0"/>
    <n v="4705"/>
    <x v="0"/>
    <b v="0"/>
    <x v="2"/>
    <x v="9"/>
    <n v="2025"/>
    <n v="5"/>
    <n v="4"/>
    <n v="2025"/>
    <n v="3"/>
    <s v="Yes"/>
    <x v="3"/>
    <s v="India"/>
    <x v="0"/>
    <s v="StayNest Tech Park"/>
    <x v="6"/>
    <s v="Business"/>
    <n v="140"/>
    <x v="1"/>
    <s v="OTA Promo"/>
    <d v="2025-05-10T00:00:00"/>
    <s v="Yes"/>
    <s v="No"/>
    <s v="Peak"/>
    <x v="1"/>
    <n v="0"/>
    <s v="8–30 days"/>
  </r>
  <r>
    <s v="B001500"/>
    <s v="G00020"/>
    <s v="H011"/>
    <s v="CH01"/>
    <d v="2026-06-28T00:00:00"/>
    <d v="2026-07-12T00:00:00"/>
    <x v="1"/>
    <n v="8072"/>
    <x v="2"/>
    <b v="0"/>
    <x v="3"/>
    <x v="8"/>
    <n v="2026"/>
    <n v="6"/>
    <n v="6"/>
    <n v="2026"/>
    <n v="6"/>
    <s v="Yes"/>
    <x v="0"/>
    <s v="India"/>
    <x v="0"/>
    <s v="StayNest Grand"/>
    <x v="8"/>
    <s v="Business"/>
    <n v="110"/>
    <x v="5"/>
    <s v="Direct"/>
    <d v="2026-07-12T00:00:00"/>
    <s v="Yes"/>
    <s v="No"/>
    <s v="Off-Peak"/>
    <x v="1"/>
    <n v="0"/>
    <s v="8–30 days"/>
  </r>
  <r>
    <s v="B001501"/>
    <s v="G00049"/>
    <s v="H004"/>
    <s v="CH03"/>
    <d v="2025-10-30T00:00:00"/>
    <d v="2025-11-06T00:00:00"/>
    <x v="3"/>
    <n v="6854"/>
    <x v="3"/>
    <b v="0"/>
    <x v="4"/>
    <x v="4"/>
    <n v="2025"/>
    <n v="3"/>
    <n v="10"/>
    <n v="2025"/>
    <n v="3"/>
    <s v="No"/>
    <x v="3"/>
    <s v="Unknown"/>
    <x v="0"/>
    <s v="StayNest Lakeview"/>
    <x v="2"/>
    <s v="Resort"/>
    <n v="75"/>
    <x v="1"/>
    <s v="OTA Promo"/>
    <d v="2025-11-06T00:00:00"/>
    <s v="No"/>
    <s v="No"/>
    <s v="Off-Peak"/>
    <x v="1"/>
    <n v="0"/>
    <s v="0–7 days"/>
  </r>
  <r>
    <s v="B001502"/>
    <s v="G00573"/>
    <s v="H007"/>
    <s v="CH03"/>
    <d v="2025-06-18T00:00:00"/>
    <d v="2025-06-25T00:00:00"/>
    <x v="2"/>
    <n v="2490"/>
    <x v="0"/>
    <b v="0"/>
    <x v="4"/>
    <x v="1"/>
    <n v="2025"/>
    <n v="2"/>
    <n v="6"/>
    <n v="2025"/>
    <n v="2"/>
    <s v="No"/>
    <x v="2"/>
    <s v="India"/>
    <x v="0"/>
    <s v="StayNest Tech Park"/>
    <x v="6"/>
    <s v="Business"/>
    <n v="140"/>
    <x v="1"/>
    <s v="OTA Promo"/>
    <d v="2025-06-25T00:00:00"/>
    <s v="No"/>
    <s v="No"/>
    <s v="Shoulder"/>
    <x v="1"/>
    <n v="0"/>
    <s v="0–7 days"/>
  </r>
  <r>
    <s v="B001503"/>
    <s v="G00490"/>
    <s v="H003"/>
    <s v="CH03"/>
    <d v="2026-03-12T00:00:00"/>
    <d v="2026-05-11T00:00:00"/>
    <x v="0"/>
    <n v="5994"/>
    <x v="0"/>
    <b v="0"/>
    <x v="1"/>
    <x v="9"/>
    <n v="2026"/>
    <n v="0"/>
    <n v="3"/>
    <n v="2026"/>
    <n v="3"/>
    <s v="No"/>
    <x v="0"/>
    <s v="UAE"/>
    <x v="0"/>
    <s v="StayNest Hills"/>
    <x v="5"/>
    <s v="Resort"/>
    <n v="80"/>
    <x v="1"/>
    <s v="OTA Promo"/>
    <d v="2026-05-11T00:00:00"/>
    <s v="No"/>
    <s v="No"/>
    <s v="Peak"/>
    <x v="1"/>
    <n v="0"/>
    <s v="31–90 days"/>
  </r>
  <r>
    <s v="B001504"/>
    <s v="G00302"/>
    <s v="H008"/>
    <s v="CH01"/>
    <d v="2025-09-22T00:00:00"/>
    <d v="2025-10-22T00:00:00"/>
    <x v="1"/>
    <n v="7804"/>
    <x v="0"/>
    <b v="0"/>
    <x v="2"/>
    <x v="11"/>
    <n v="2025"/>
    <n v="2"/>
    <n v="9"/>
    <n v="2025"/>
    <n v="0"/>
    <s v="No"/>
    <x v="0"/>
    <s v="India"/>
    <x v="0"/>
    <s v="StayNest Palace"/>
    <x v="7"/>
    <s v="Heritage"/>
    <n v="85"/>
    <x v="5"/>
    <s v="Direct"/>
    <d v="2025-10-22T00:00:00"/>
    <s v="No"/>
    <s v="No"/>
    <s v="Shoulder"/>
    <x v="1"/>
    <n v="0"/>
    <s v="8–30 days"/>
  </r>
  <r>
    <s v="B001505"/>
    <s v="G00448"/>
    <s v="H006"/>
    <s v="CH02"/>
    <d v="2025-04-09T00:00:00"/>
    <d v="2025-07-18T00:00:00"/>
    <x v="0"/>
    <n v="4780"/>
    <x v="0"/>
    <b v="0"/>
    <x v="0"/>
    <x v="8"/>
    <n v="2025"/>
    <n v="4"/>
    <n v="4"/>
    <n v="2025"/>
    <n v="2"/>
    <s v="No"/>
    <x v="1"/>
    <s v="United Kingdom"/>
    <x v="0"/>
    <s v="StayNest Beach"/>
    <x v="3"/>
    <s v="Resort"/>
    <n v="100"/>
    <x v="3"/>
    <s v="App Push"/>
    <d v="2025-07-18T00:00:00"/>
    <s v="No"/>
    <s v="No"/>
    <s v="Off-Peak"/>
    <x v="1"/>
    <n v="0"/>
    <s v="91–180 days"/>
  </r>
  <r>
    <s v="B001506"/>
    <s v="G00357"/>
    <s v="H004"/>
    <s v="CH01"/>
    <d v="2025-06-20T00:00:00"/>
    <d v="2025-08-19T00:00:00"/>
    <x v="2"/>
    <n v="3717"/>
    <x v="2"/>
    <b v="0"/>
    <x v="1"/>
    <x v="7"/>
    <n v="2025"/>
    <n v="1"/>
    <n v="6"/>
    <n v="2025"/>
    <n v="4"/>
    <s v="No"/>
    <x v="1"/>
    <s v="Unknown"/>
    <x v="0"/>
    <s v="StayNest Lakeview"/>
    <x v="2"/>
    <s v="Resort"/>
    <n v="75"/>
    <x v="5"/>
    <s v="Direct"/>
    <d v="2025-08-19T00:00:00"/>
    <s v="No"/>
    <s v="No"/>
    <s v="Off-Peak"/>
    <x v="1"/>
    <n v="0"/>
    <s v="31–90 days"/>
  </r>
  <r>
    <s v="B001507"/>
    <s v="G00070"/>
    <s v="H012"/>
    <s v="CH04"/>
    <d v="2025-08-31T00:00:00"/>
    <d v="2026-01-28T00:00:00"/>
    <x v="0"/>
    <n v="4143"/>
    <x v="2"/>
    <b v="0"/>
    <x v="5"/>
    <x v="6"/>
    <n v="2026"/>
    <n v="2"/>
    <n v="8"/>
    <n v="2025"/>
    <n v="6"/>
    <s v="No"/>
    <x v="1"/>
    <s v="India"/>
    <x v="0"/>
    <s v="StayNest Valley"/>
    <x v="4"/>
    <s v="Resort"/>
    <n v="65"/>
    <x v="4"/>
    <s v="Partner"/>
    <d v="2026-01-28T00:00:00"/>
    <s v="No"/>
    <s v="No"/>
    <s v="Off-Peak"/>
    <x v="1"/>
    <n v="0"/>
    <s v="91–180 days"/>
  </r>
  <r>
    <s v="B001508"/>
    <s v="G00633"/>
    <s v="H006"/>
    <s v="CH05"/>
    <d v="2025-11-25T00:00:00"/>
    <d v="2026-01-24T00:00:00"/>
    <x v="3"/>
    <n v="7982"/>
    <x v="2"/>
    <b v="0"/>
    <x v="1"/>
    <x v="6"/>
    <n v="2026"/>
    <n v="5"/>
    <n v="11"/>
    <n v="2025"/>
    <n v="1"/>
    <s v="Yes"/>
    <x v="3"/>
    <s v="India"/>
    <x v="0"/>
    <s v="StayNest Beach"/>
    <x v="3"/>
    <s v="Resort"/>
    <n v="100"/>
    <x v="2"/>
    <s v="Corporate Rate"/>
    <d v="2026-01-24T00:00:00"/>
    <s v="Yes"/>
    <s v="No"/>
    <s v="Off-Peak"/>
    <x v="1"/>
    <n v="0"/>
    <s v="31–90 days"/>
  </r>
  <r>
    <s v="B001509"/>
    <s v="G00144"/>
    <s v="H012"/>
    <s v="CH03"/>
    <d v="2025-04-14T00:00:00"/>
    <d v="2025-04-28T00:00:00"/>
    <x v="3"/>
    <n v="10175"/>
    <x v="0"/>
    <b v="0"/>
    <x v="3"/>
    <x v="2"/>
    <n v="2025"/>
    <n v="0"/>
    <n v="4"/>
    <n v="2025"/>
    <n v="0"/>
    <s v="No"/>
    <x v="0"/>
    <s v="India"/>
    <x v="0"/>
    <s v="StayNest Valley"/>
    <x v="4"/>
    <s v="Resort"/>
    <n v="65"/>
    <x v="1"/>
    <s v="OTA Promo"/>
    <d v="2025-04-28T00:00:00"/>
    <s v="No"/>
    <s v="No"/>
    <s v="Peak"/>
    <x v="1"/>
    <n v="0"/>
    <s v="8–30 days"/>
  </r>
  <r>
    <s v="B001510"/>
    <s v="G00049"/>
    <s v="H006"/>
    <s v="CH03"/>
    <d v="2026-09-06T00:00:00"/>
    <d v="2026-09-09T00:00:00"/>
    <x v="1"/>
    <n v="5943"/>
    <x v="0"/>
    <b v="0"/>
    <x v="6"/>
    <x v="10"/>
    <n v="2026"/>
    <n v="2"/>
    <n v="9"/>
    <n v="2026"/>
    <n v="6"/>
    <s v="No"/>
    <x v="3"/>
    <s v="Unknown"/>
    <x v="0"/>
    <s v="StayNest Beach"/>
    <x v="3"/>
    <s v="Resort"/>
    <n v="100"/>
    <x v="1"/>
    <s v="OTA Promo"/>
    <d v="2026-09-09T00:00:00"/>
    <s v="No"/>
    <s v="No"/>
    <s v="Shoulder"/>
    <x v="1"/>
    <n v="0"/>
    <s v="0–7 days"/>
  </r>
  <r>
    <s v="B001511"/>
    <s v="G00145"/>
    <s v="H005"/>
    <s v="CH04"/>
    <d v="2026-06-26T00:00:00"/>
    <d v="2026-08-25T00:00:00"/>
    <x v="3"/>
    <n v="7475"/>
    <x v="3"/>
    <b v="0"/>
    <x v="1"/>
    <x v="7"/>
    <n v="2026"/>
    <n v="1"/>
    <n v="6"/>
    <n v="2026"/>
    <n v="4"/>
    <s v="No"/>
    <x v="1"/>
    <s v="Germany"/>
    <x v="0"/>
    <s v="StayNest Heritage"/>
    <x v="11"/>
    <s v="Heritage"/>
    <n v="90"/>
    <x v="4"/>
    <s v="Partner"/>
    <d v="2026-08-25T00:00:00"/>
    <s v="No"/>
    <s v="No"/>
    <s v="Off-Peak"/>
    <x v="1"/>
    <n v="0"/>
    <s v="31–90 days"/>
  </r>
  <r>
    <s v="B001512"/>
    <s v="G00471"/>
    <s v="H004"/>
    <s v="CH03"/>
    <d v="2025-10-24T00:00:00"/>
    <d v="2026-02-01T00:00:00"/>
    <x v="0"/>
    <n v="4447"/>
    <x v="1"/>
    <b v="0"/>
    <x v="0"/>
    <x v="0"/>
    <n v="2026"/>
    <n v="6"/>
    <n v="10"/>
    <n v="2025"/>
    <n v="4"/>
    <s v="Yes"/>
    <x v="1"/>
    <s v="India"/>
    <x v="0"/>
    <s v="StayNest Lakeview"/>
    <x v="2"/>
    <s v="Resort"/>
    <n v="75"/>
    <x v="1"/>
    <s v="OTA Promo"/>
    <d v="2026-02-01T00:00:00"/>
    <s v="Yes"/>
    <s v="No"/>
    <s v="Shoulder"/>
    <x v="1"/>
    <n v="1"/>
    <s v="91–180 days"/>
  </r>
  <r>
    <s v="B001513"/>
    <s v="G00128"/>
    <s v="H009"/>
    <s v="CH02"/>
    <d v="2026-03-08T00:00:00"/>
    <d v="2026-03-11T00:00:00"/>
    <x v="2"/>
    <n v="2690"/>
    <x v="1"/>
    <b v="0"/>
    <x v="6"/>
    <x v="3"/>
    <n v="2026"/>
    <n v="2"/>
    <n v="3"/>
    <n v="2026"/>
    <n v="6"/>
    <s v="No"/>
    <x v="1"/>
    <s v="India"/>
    <x v="0"/>
    <s v="StayNest Airport"/>
    <x v="9"/>
    <s v="Business"/>
    <n v="160"/>
    <x v="3"/>
    <s v="App Push"/>
    <d v="2026-03-11T00:00:00"/>
    <s v="No"/>
    <s v="No"/>
    <s v="Shoulder"/>
    <x v="1"/>
    <n v="1"/>
    <s v="0–7 days"/>
  </r>
  <r>
    <s v="B001514"/>
    <s v="G00486"/>
    <s v="H009"/>
    <s v="CH05"/>
    <d v="2025-06-29T00:00:00"/>
    <d v="2025-10-07T00:00:00"/>
    <x v="2"/>
    <n v="3826"/>
    <x v="1"/>
    <b v="0"/>
    <x v="0"/>
    <x v="11"/>
    <n v="2025"/>
    <n v="1"/>
    <n v="6"/>
    <n v="2025"/>
    <n v="6"/>
    <s v="No"/>
    <x v="2"/>
    <s v="India"/>
    <x v="1"/>
    <s v="StayNest Airport"/>
    <x v="9"/>
    <s v="Business"/>
    <n v="160"/>
    <x v="2"/>
    <s v="Corporate Rate"/>
    <d v="2025-10-07T00:00:00"/>
    <s v="No"/>
    <s v="No"/>
    <s v="Shoulder"/>
    <x v="1"/>
    <n v="1"/>
    <s v="91–180 days"/>
  </r>
  <r>
    <s v="B001515"/>
    <s v="G00569"/>
    <s v="H007"/>
    <s v="CH02"/>
    <d v="2025-11-20T00:00:00"/>
    <d v="2026-01-19T00:00:00"/>
    <x v="3"/>
    <n v="9004"/>
    <x v="2"/>
    <b v="0"/>
    <x v="1"/>
    <x v="6"/>
    <n v="2026"/>
    <n v="0"/>
    <n v="11"/>
    <n v="2025"/>
    <n v="3"/>
    <s v="No"/>
    <x v="1"/>
    <s v="Unknown"/>
    <x v="0"/>
    <s v="StayNest Tech Park"/>
    <x v="6"/>
    <s v="Business"/>
    <n v="140"/>
    <x v="3"/>
    <s v="App Push"/>
    <d v="2026-01-19T00:00:00"/>
    <s v="No"/>
    <s v="No"/>
    <s v="Off-Peak"/>
    <x v="1"/>
    <n v="0"/>
    <s v="31–90 days"/>
  </r>
  <r>
    <s v="B001516"/>
    <s v="G00232"/>
    <s v="H008"/>
    <s v="CH05"/>
    <d v="2025-02-21T00:00:00"/>
    <d v="2025-02-24T00:00:00"/>
    <x v="2"/>
    <n v="3070"/>
    <x v="0"/>
    <b v="0"/>
    <x v="6"/>
    <x v="0"/>
    <n v="2025"/>
    <n v="0"/>
    <n v="2"/>
    <n v="2025"/>
    <n v="4"/>
    <s v="No"/>
    <x v="2"/>
    <s v="United Kingdom"/>
    <x v="0"/>
    <s v="StayNest Palace"/>
    <x v="7"/>
    <s v="Heritage"/>
    <n v="85"/>
    <x v="2"/>
    <s v="Corporate Rate"/>
    <d v="2025-02-24T00:00:00"/>
    <s v="No"/>
    <s v="No"/>
    <s v="Shoulder"/>
    <x v="1"/>
    <n v="0"/>
    <s v="0–7 days"/>
  </r>
  <r>
    <s v="B001517"/>
    <s v="G00491"/>
    <s v="H008"/>
    <s v="CH06"/>
    <d v="2026-01-23T00:00:00"/>
    <d v="2026-06-22T00:00:00"/>
    <x v="1"/>
    <n v="5919"/>
    <x v="0"/>
    <b v="0"/>
    <x v="5"/>
    <x v="1"/>
    <n v="2026"/>
    <n v="0"/>
    <n v="1"/>
    <n v="2026"/>
    <n v="4"/>
    <s v="No"/>
    <x v="2"/>
    <s v="India"/>
    <x v="0"/>
    <s v="StayNest Palace"/>
    <x v="7"/>
    <s v="Heritage"/>
    <n v="85"/>
    <x v="0"/>
    <s v="Retention"/>
    <d v="2026-06-22T00:00:00"/>
    <s v="No"/>
    <s v="No"/>
    <s v="Shoulder"/>
    <x v="1"/>
    <n v="0"/>
    <s v="91–180 days"/>
  </r>
  <r>
    <s v="B001518"/>
    <s v="G00590"/>
    <s v="H005"/>
    <s v="CH04"/>
    <d v="2026-10-07T00:00:00"/>
    <d v="2026-12-06T00:00:00"/>
    <x v="3"/>
    <n v="11313"/>
    <x v="1"/>
    <b v="0"/>
    <x v="1"/>
    <x v="5"/>
    <n v="2026"/>
    <n v="6"/>
    <n v="10"/>
    <n v="2026"/>
    <n v="2"/>
    <s v="Yes"/>
    <x v="2"/>
    <s v="India"/>
    <x v="0"/>
    <s v="StayNest Heritage"/>
    <x v="11"/>
    <s v="Heritage"/>
    <n v="90"/>
    <x v="4"/>
    <s v="Partner"/>
    <d v="2026-12-06T00:00:00"/>
    <s v="Yes"/>
    <s v="No"/>
    <s v="Peak"/>
    <x v="1"/>
    <n v="1"/>
    <s v="31–90 days"/>
  </r>
  <r>
    <s v="B001519"/>
    <s v="G00038"/>
    <s v="H002"/>
    <s v="CH01"/>
    <d v="2026-06-30T00:00:00"/>
    <d v="2026-07-30T00:00:00"/>
    <x v="3"/>
    <n v="6638"/>
    <x v="2"/>
    <b v="0"/>
    <x v="2"/>
    <x v="8"/>
    <n v="2026"/>
    <n v="3"/>
    <n v="6"/>
    <n v="2026"/>
    <n v="1"/>
    <s v="No"/>
    <x v="1"/>
    <s v="India"/>
    <x v="1"/>
    <s v="StayNest Central"/>
    <x v="0"/>
    <s v="Business"/>
    <n v="150"/>
    <x v="5"/>
    <s v="Direct"/>
    <d v="2026-07-30T00:00:00"/>
    <s v="No"/>
    <s v="No"/>
    <s v="Off-Peak"/>
    <x v="1"/>
    <n v="0"/>
    <s v="8–30 days"/>
  </r>
  <r>
    <s v="B001520"/>
    <s v="G00349"/>
    <s v="H003"/>
    <s v="CH01"/>
    <d v="2025-03-29T00:00:00"/>
    <d v="2025-04-28T00:00:00"/>
    <x v="1"/>
    <n v="7664"/>
    <x v="2"/>
    <b v="0"/>
    <x v="2"/>
    <x v="2"/>
    <n v="2025"/>
    <n v="0"/>
    <n v="3"/>
    <n v="2025"/>
    <n v="5"/>
    <s v="No"/>
    <x v="0"/>
    <s v="India"/>
    <x v="1"/>
    <s v="StayNest Hills"/>
    <x v="5"/>
    <s v="Resort"/>
    <n v="80"/>
    <x v="5"/>
    <s v="Direct"/>
    <d v="2025-04-28T00:00:00"/>
    <s v="No"/>
    <s v="No"/>
    <s v="Peak"/>
    <x v="1"/>
    <n v="0"/>
    <s v="8–30 days"/>
  </r>
  <r>
    <s v="B001521"/>
    <s v="G00530"/>
    <s v="H005"/>
    <s v="CH05"/>
    <d v="2026-11-18T00:00:00"/>
    <d v="2026-12-18T00:00:00"/>
    <x v="1"/>
    <n v="7298"/>
    <x v="2"/>
    <b v="0"/>
    <x v="2"/>
    <x v="5"/>
    <n v="2026"/>
    <n v="4"/>
    <n v="11"/>
    <n v="2026"/>
    <n v="2"/>
    <s v="No"/>
    <x v="0"/>
    <s v="India"/>
    <x v="0"/>
    <s v="StayNest Heritage"/>
    <x v="11"/>
    <s v="Heritage"/>
    <n v="90"/>
    <x v="2"/>
    <s v="Corporate Rate"/>
    <d v="2026-12-18T00:00:00"/>
    <s v="No"/>
    <s v="No"/>
    <s v="Peak"/>
    <x v="1"/>
    <n v="0"/>
    <s v="8–30 days"/>
  </r>
  <r>
    <s v="B001522"/>
    <s v="G00503"/>
    <s v="H006"/>
    <s v="CH06"/>
    <d v="2026-08-08T00:00:00"/>
    <d v="2026-08-22T00:00:00"/>
    <x v="0"/>
    <n v="3955"/>
    <x v="1"/>
    <b v="0"/>
    <x v="3"/>
    <x v="7"/>
    <n v="2026"/>
    <n v="5"/>
    <n v="8"/>
    <n v="2026"/>
    <n v="5"/>
    <s v="Yes"/>
    <x v="1"/>
    <s v="United Kingdom"/>
    <x v="0"/>
    <s v="StayNest Beach"/>
    <x v="3"/>
    <s v="Resort"/>
    <n v="100"/>
    <x v="0"/>
    <s v="Retention"/>
    <d v="2026-08-22T00:00:00"/>
    <s v="Yes"/>
    <s v="No"/>
    <s v="Off-Peak"/>
    <x v="1"/>
    <n v="1"/>
    <s v="8–30 days"/>
  </r>
  <r>
    <s v="B001523"/>
    <s v="G00598"/>
    <s v="H008"/>
    <s v="CH06"/>
    <d v="2026-07-06T00:00:00"/>
    <d v="2026-08-05T00:00:00"/>
    <x v="2"/>
    <n v="2812"/>
    <x v="0"/>
    <b v="0"/>
    <x v="2"/>
    <x v="7"/>
    <n v="2026"/>
    <n v="2"/>
    <n v="7"/>
    <n v="2026"/>
    <n v="0"/>
    <s v="No"/>
    <x v="1"/>
    <s v="India"/>
    <x v="0"/>
    <s v="StayNest Palace"/>
    <x v="7"/>
    <s v="Heritage"/>
    <n v="85"/>
    <x v="0"/>
    <s v="Retention"/>
    <d v="2026-08-05T00:00:00"/>
    <s v="No"/>
    <s v="No"/>
    <s v="Off-Peak"/>
    <x v="1"/>
    <n v="0"/>
    <s v="8–30 days"/>
  </r>
  <r>
    <s v="B001524"/>
    <s v="G00084"/>
    <s v="H008"/>
    <s v="CH01"/>
    <d v="2025-12-03T00:00:00"/>
    <d v="2026-02-01T00:00:00"/>
    <x v="3"/>
    <n v="7310"/>
    <x v="0"/>
    <b v="0"/>
    <x v="1"/>
    <x v="0"/>
    <n v="2026"/>
    <n v="6"/>
    <n v="12"/>
    <n v="2025"/>
    <n v="2"/>
    <s v="Yes"/>
    <x v="1"/>
    <s v="India"/>
    <x v="0"/>
    <s v="StayNest Palace"/>
    <x v="7"/>
    <s v="Heritage"/>
    <n v="85"/>
    <x v="5"/>
    <s v="Direct"/>
    <d v="2026-02-01T00:00:00"/>
    <s v="Yes"/>
    <s v="No"/>
    <s v="Shoulder"/>
    <x v="1"/>
    <n v="0"/>
    <s v="31–90 days"/>
  </r>
  <r>
    <s v="B001525"/>
    <s v="G00164"/>
    <s v="H009"/>
    <s v="CH04"/>
    <d v="2026-06-20T00:00:00"/>
    <d v="2026-06-23T00:00:00"/>
    <x v="0"/>
    <n v="3621"/>
    <x v="2"/>
    <b v="0"/>
    <x v="6"/>
    <x v="1"/>
    <n v="2026"/>
    <n v="1"/>
    <n v="6"/>
    <n v="2026"/>
    <n v="5"/>
    <s v="No"/>
    <x v="3"/>
    <s v="India"/>
    <x v="1"/>
    <s v="StayNest Airport"/>
    <x v="9"/>
    <s v="Business"/>
    <n v="160"/>
    <x v="4"/>
    <s v="Partner"/>
    <d v="2026-06-23T00:00:00"/>
    <s v="No"/>
    <s v="No"/>
    <s v="Shoulder"/>
    <x v="1"/>
    <n v="0"/>
    <s v="0–7 days"/>
  </r>
  <r>
    <s v="B001526"/>
    <s v="G00117"/>
    <s v="H002"/>
    <s v="CH05"/>
    <d v="2025-09-09T00:00:00"/>
    <d v="2025-10-09T00:00:00"/>
    <x v="1"/>
    <n v="36805"/>
    <x v="0"/>
    <b v="0"/>
    <x v="2"/>
    <x v="11"/>
    <n v="2025"/>
    <n v="3"/>
    <n v="9"/>
    <n v="2025"/>
    <n v="1"/>
    <s v="No"/>
    <x v="0"/>
    <s v="India"/>
    <x v="0"/>
    <s v="StayNest Central"/>
    <x v="0"/>
    <s v="Business"/>
    <n v="150"/>
    <x v="2"/>
    <s v="Corporate Rate"/>
    <d v="2025-10-09T00:00:00"/>
    <s v="No"/>
    <s v="No"/>
    <s v="Shoulder"/>
    <x v="1"/>
    <n v="0"/>
    <s v="8–30 days"/>
  </r>
  <r>
    <s v="B001527"/>
    <s v="G00587"/>
    <s v="H011"/>
    <s v="CH02"/>
    <d v="2025-04-18T00:00:00"/>
    <d v="2025-05-02T00:00:00"/>
    <x v="2"/>
    <n v="2846"/>
    <x v="0"/>
    <b v="0"/>
    <x v="3"/>
    <x v="9"/>
    <n v="2025"/>
    <n v="4"/>
    <n v="4"/>
    <n v="2025"/>
    <n v="4"/>
    <s v="No"/>
    <x v="0"/>
    <s v="United States"/>
    <x v="0"/>
    <s v="StayNest Grand"/>
    <x v="8"/>
    <s v="Business"/>
    <n v="110"/>
    <x v="3"/>
    <s v="App Push"/>
    <d v="2025-05-02T00:00:00"/>
    <s v="No"/>
    <s v="No"/>
    <s v="Peak"/>
    <x v="1"/>
    <n v="0"/>
    <s v="8–30 days"/>
  </r>
  <r>
    <s v="B001528"/>
    <s v="G00383"/>
    <s v="H002"/>
    <s v="CH06"/>
    <d v="2026-11-04T00:00:00"/>
    <d v="2026-11-11T00:00:00"/>
    <x v="2"/>
    <n v="4168"/>
    <x v="0"/>
    <b v="0"/>
    <x v="4"/>
    <x v="4"/>
    <n v="2026"/>
    <n v="2"/>
    <n v="11"/>
    <n v="2026"/>
    <n v="2"/>
    <s v="No"/>
    <x v="0"/>
    <s v="India"/>
    <x v="1"/>
    <s v="StayNest Central"/>
    <x v="0"/>
    <s v="Business"/>
    <n v="150"/>
    <x v="0"/>
    <s v="Retention"/>
    <d v="2026-11-11T00:00:00"/>
    <s v="No"/>
    <s v="No"/>
    <s v="Off-Peak"/>
    <x v="1"/>
    <n v="0"/>
    <s v="0–7 days"/>
  </r>
  <r>
    <s v="B001529"/>
    <s v="G00125"/>
    <s v="H002"/>
    <s v="CH05"/>
    <d v="2025-09-04T00:00:00"/>
    <d v="2025-11-03T00:00:00"/>
    <x v="2"/>
    <n v="2709"/>
    <x v="0"/>
    <b v="0"/>
    <x v="1"/>
    <x v="4"/>
    <n v="2025"/>
    <n v="0"/>
    <n v="9"/>
    <n v="2025"/>
    <n v="3"/>
    <s v="No"/>
    <x v="0"/>
    <s v="India"/>
    <x v="0"/>
    <s v="StayNest Central"/>
    <x v="0"/>
    <s v="Business"/>
    <n v="150"/>
    <x v="2"/>
    <s v="Corporate Rate"/>
    <d v="2025-11-03T00:00:00"/>
    <s v="No"/>
    <s v="No"/>
    <s v="Off-Peak"/>
    <x v="1"/>
    <n v="0"/>
    <s v="31–90 days"/>
  </r>
  <r>
    <s v="B001530"/>
    <s v="G00323"/>
    <s v="H006"/>
    <s v="CH01"/>
    <d v="2025-09-07T00:00:00"/>
    <d v="2025-11-06T00:00:00"/>
    <x v="2"/>
    <n v="2320"/>
    <x v="1"/>
    <b v="0"/>
    <x v="1"/>
    <x v="4"/>
    <n v="2025"/>
    <n v="3"/>
    <n v="9"/>
    <n v="2025"/>
    <n v="6"/>
    <s v="No"/>
    <x v="1"/>
    <s v="UAE"/>
    <x v="0"/>
    <s v="StayNest Beach"/>
    <x v="3"/>
    <s v="Resort"/>
    <n v="100"/>
    <x v="5"/>
    <s v="Direct"/>
    <d v="2025-11-06T00:00:00"/>
    <s v="No"/>
    <s v="No"/>
    <s v="Off-Peak"/>
    <x v="1"/>
    <n v="1"/>
    <s v="31–90 days"/>
  </r>
  <r>
    <s v="B001531"/>
    <s v="G00515"/>
    <s v="H012"/>
    <s v="CH01"/>
    <d v="2025-02-13T00:00:00"/>
    <d v="2025-02-20T00:00:00"/>
    <x v="2"/>
    <n v="2813"/>
    <x v="2"/>
    <b v="0"/>
    <x v="4"/>
    <x v="0"/>
    <n v="2025"/>
    <n v="3"/>
    <n v="2"/>
    <n v="2025"/>
    <n v="3"/>
    <s v="No"/>
    <x v="1"/>
    <s v="India"/>
    <x v="0"/>
    <s v="StayNest Valley"/>
    <x v="4"/>
    <s v="Resort"/>
    <n v="65"/>
    <x v="5"/>
    <s v="Direct"/>
    <d v="2025-02-20T00:00:00"/>
    <s v="No"/>
    <s v="No"/>
    <s v="Shoulder"/>
    <x v="1"/>
    <n v="0"/>
    <s v="0–7 days"/>
  </r>
  <r>
    <s v="B001532"/>
    <s v="G00544"/>
    <s v="H008"/>
    <s v="CH02"/>
    <d v="2026-01-24T00:00:00"/>
    <d v="2026-03-25T00:00:00"/>
    <x v="0"/>
    <n v="4388"/>
    <x v="0"/>
    <b v="0"/>
    <x v="1"/>
    <x v="3"/>
    <n v="2026"/>
    <n v="2"/>
    <n v="1"/>
    <n v="2026"/>
    <n v="5"/>
    <s v="No"/>
    <x v="3"/>
    <s v="India"/>
    <x v="0"/>
    <s v="StayNest Palace"/>
    <x v="7"/>
    <s v="Heritage"/>
    <n v="85"/>
    <x v="3"/>
    <s v="App Push"/>
    <d v="2026-03-25T00:00:00"/>
    <s v="No"/>
    <s v="No"/>
    <s v="Shoulder"/>
    <x v="1"/>
    <n v="0"/>
    <s v="31–90 days"/>
  </r>
  <r>
    <s v="B001533"/>
    <s v="G00362"/>
    <s v="H004"/>
    <s v="CH05"/>
    <d v="2025-03-03T00:00:00"/>
    <d v="2025-05-02T00:00:00"/>
    <x v="3"/>
    <n v="7240"/>
    <x v="2"/>
    <b v="0"/>
    <x v="1"/>
    <x v="9"/>
    <n v="2025"/>
    <n v="4"/>
    <n v="3"/>
    <n v="2025"/>
    <n v="0"/>
    <s v="No"/>
    <x v="3"/>
    <s v="India"/>
    <x v="1"/>
    <s v="StayNest Lakeview"/>
    <x v="2"/>
    <s v="Resort"/>
    <n v="75"/>
    <x v="2"/>
    <s v="Corporate Rate"/>
    <d v="2025-05-02T00:00:00"/>
    <s v="No"/>
    <s v="No"/>
    <s v="Peak"/>
    <x v="1"/>
    <n v="0"/>
    <s v="31–90 days"/>
  </r>
  <r>
    <s v="B001534"/>
    <s v="G00089"/>
    <s v="H011"/>
    <s v="CH03"/>
    <d v="2026-01-31T00:00:00"/>
    <d v="2026-05-11T00:00:00"/>
    <x v="0"/>
    <n v="5826"/>
    <x v="0"/>
    <b v="0"/>
    <x v="0"/>
    <x v="9"/>
    <n v="2026"/>
    <n v="0"/>
    <n v="1"/>
    <n v="2026"/>
    <n v="5"/>
    <s v="No"/>
    <x v="0"/>
    <s v="United States"/>
    <x v="0"/>
    <s v="StayNest Grand"/>
    <x v="8"/>
    <s v="Business"/>
    <n v="110"/>
    <x v="1"/>
    <s v="OTA Promo"/>
    <d v="2026-05-11T00:00:00"/>
    <s v="No"/>
    <s v="No"/>
    <s v="Peak"/>
    <x v="1"/>
    <n v="0"/>
    <s v="91–180 days"/>
  </r>
  <r>
    <s v="B001535"/>
    <s v="G00298"/>
    <s v="H004"/>
    <s v="CH04"/>
    <d v="2026-11-27T00:00:00"/>
    <d v="2026-12-27T00:00:00"/>
    <x v="0"/>
    <n v="4482"/>
    <x v="1"/>
    <b v="0"/>
    <x v="2"/>
    <x v="5"/>
    <n v="2026"/>
    <n v="6"/>
    <n v="11"/>
    <n v="2026"/>
    <n v="4"/>
    <s v="Yes"/>
    <x v="3"/>
    <s v="India"/>
    <x v="0"/>
    <s v="StayNest Lakeview"/>
    <x v="2"/>
    <s v="Resort"/>
    <n v="75"/>
    <x v="4"/>
    <s v="Partner"/>
    <d v="2026-12-27T00:00:00"/>
    <s v="Yes"/>
    <s v="No"/>
    <s v="Peak"/>
    <x v="1"/>
    <n v="1"/>
    <s v="8–30 days"/>
  </r>
  <r>
    <s v="B001536"/>
    <s v="G00163"/>
    <s v="H009"/>
    <s v="CH05"/>
    <d v="2026-03-08T00:00:00"/>
    <d v="2026-10-14T00:00:00"/>
    <x v="1"/>
    <n v="6208"/>
    <x v="1"/>
    <b v="0"/>
    <x v="8"/>
    <x v="11"/>
    <n v="2026"/>
    <n v="2"/>
    <n v="3"/>
    <n v="2026"/>
    <n v="6"/>
    <s v="No"/>
    <x v="3"/>
    <s v="United States"/>
    <x v="0"/>
    <s v="StayNest Airport"/>
    <x v="9"/>
    <s v="Business"/>
    <n v="160"/>
    <x v="2"/>
    <s v="Corporate Rate"/>
    <d v="2026-10-14T00:00:00"/>
    <s v="No"/>
    <s v="No"/>
    <s v="Shoulder"/>
    <x v="1"/>
    <n v="1"/>
    <s v="181+ days"/>
  </r>
  <r>
    <s v="B001537"/>
    <s v="G00262"/>
    <s v="H005"/>
    <s v="CH01"/>
    <d v="2026-12-01T00:00:00"/>
    <d v="2026-12-15T00:00:00"/>
    <x v="2"/>
    <n v="3476"/>
    <x v="2"/>
    <b v="0"/>
    <x v="3"/>
    <x v="5"/>
    <n v="2026"/>
    <n v="1"/>
    <n v="12"/>
    <n v="2026"/>
    <n v="1"/>
    <s v="No"/>
    <x v="3"/>
    <s v="India"/>
    <x v="0"/>
    <s v="StayNest Heritage"/>
    <x v="11"/>
    <s v="Heritage"/>
    <n v="90"/>
    <x v="5"/>
    <s v="Direct"/>
    <d v="2026-12-15T00:00:00"/>
    <s v="No"/>
    <s v="No"/>
    <s v="Peak"/>
    <x v="1"/>
    <n v="0"/>
    <s v="8–30 days"/>
  </r>
  <r>
    <s v="B001538"/>
    <s v="G00307"/>
    <s v="H007"/>
    <s v="CH03"/>
    <d v="2025-02-13T00:00:00"/>
    <d v="2025-09-21T00:00:00"/>
    <x v="2"/>
    <n v="2586"/>
    <x v="0"/>
    <b v="0"/>
    <x v="8"/>
    <x v="10"/>
    <n v="2025"/>
    <n v="6"/>
    <n v="2"/>
    <n v="2025"/>
    <n v="3"/>
    <s v="Yes"/>
    <x v="0"/>
    <s v="Unknown"/>
    <x v="0"/>
    <s v="StayNest Tech Park"/>
    <x v="6"/>
    <s v="Business"/>
    <n v="140"/>
    <x v="1"/>
    <s v="OTA Promo"/>
    <d v="2025-09-21T00:00:00"/>
    <s v="Yes"/>
    <s v="No"/>
    <s v="Shoulder"/>
    <x v="1"/>
    <n v="0"/>
    <s v="181+ days"/>
  </r>
  <r>
    <s v="B001539"/>
    <s v="G00147"/>
    <s v="H008"/>
    <s v="CH04"/>
    <d v="2025-08-02T00:00:00"/>
    <d v="2025-08-16T00:00:00"/>
    <x v="2"/>
    <n v="3497"/>
    <x v="0"/>
    <b v="0"/>
    <x v="3"/>
    <x v="7"/>
    <n v="2025"/>
    <n v="5"/>
    <n v="8"/>
    <n v="2025"/>
    <n v="5"/>
    <s v="Yes"/>
    <x v="3"/>
    <s v="United Kingdom"/>
    <x v="0"/>
    <s v="StayNest Palace"/>
    <x v="7"/>
    <s v="Heritage"/>
    <n v="85"/>
    <x v="4"/>
    <s v="Partner"/>
    <d v="2025-08-16T00:00:00"/>
    <s v="Yes"/>
    <s v="No"/>
    <s v="Off-Peak"/>
    <x v="1"/>
    <n v="0"/>
    <s v="8–30 days"/>
  </r>
  <r>
    <s v="B001540"/>
    <s v="G00325"/>
    <s v="H004"/>
    <s v="CH01"/>
    <d v="2026-08-13T00:00:00"/>
    <d v="2026-08-27T00:00:00"/>
    <x v="2"/>
    <n v="3214"/>
    <x v="2"/>
    <b v="0"/>
    <x v="3"/>
    <x v="7"/>
    <n v="2026"/>
    <n v="3"/>
    <n v="8"/>
    <n v="2026"/>
    <n v="3"/>
    <s v="No"/>
    <x v="0"/>
    <s v="UAE"/>
    <x v="0"/>
    <s v="StayNest Lakeview"/>
    <x v="2"/>
    <s v="Resort"/>
    <n v="75"/>
    <x v="5"/>
    <s v="Direct"/>
    <d v="2026-08-27T00:00:00"/>
    <s v="No"/>
    <s v="No"/>
    <s v="Off-Peak"/>
    <x v="1"/>
    <n v="0"/>
    <s v="8–30 days"/>
  </r>
  <r>
    <s v="B001541"/>
    <s v="G00642"/>
    <s v="H012"/>
    <s v="CH01"/>
    <d v="2026-08-07T00:00:00"/>
    <d v="2026-08-10T00:00:00"/>
    <x v="3"/>
    <n v="8708"/>
    <x v="0"/>
    <b v="0"/>
    <x v="6"/>
    <x v="7"/>
    <n v="2026"/>
    <n v="0"/>
    <n v="8"/>
    <n v="2026"/>
    <n v="4"/>
    <s v="No"/>
    <x v="3"/>
    <s v="India"/>
    <x v="0"/>
    <s v="StayNest Valley"/>
    <x v="4"/>
    <s v="Resort"/>
    <n v="65"/>
    <x v="5"/>
    <s v="Direct"/>
    <d v="2026-08-10T00:00:00"/>
    <s v="No"/>
    <s v="No"/>
    <s v="Off-Peak"/>
    <x v="1"/>
    <n v="0"/>
    <s v="0–7 days"/>
  </r>
  <r>
    <s v="B001542"/>
    <s v="G00243"/>
    <s v="H006"/>
    <s v="CH05"/>
    <d v="2026-04-10T00:00:00"/>
    <d v="2026-04-13T00:00:00"/>
    <x v="1"/>
    <n v="5087"/>
    <x v="0"/>
    <b v="0"/>
    <x v="6"/>
    <x v="2"/>
    <n v="2026"/>
    <n v="0"/>
    <n v="4"/>
    <n v="2026"/>
    <n v="4"/>
    <s v="No"/>
    <x v="0"/>
    <s v="India"/>
    <x v="1"/>
    <s v="StayNest Beach"/>
    <x v="3"/>
    <s v="Resort"/>
    <n v="100"/>
    <x v="2"/>
    <s v="Corporate Rate"/>
    <d v="2026-04-13T00:00:00"/>
    <s v="No"/>
    <s v="No"/>
    <s v="Peak"/>
    <x v="1"/>
    <n v="0"/>
    <s v="0–7 days"/>
  </r>
  <r>
    <s v="B001543"/>
    <s v="G00574"/>
    <s v="H002"/>
    <s v="CH01"/>
    <d v="2026-01-28T00:00:00"/>
    <d v="2026-05-08T00:00:00"/>
    <x v="3"/>
    <n v="8206"/>
    <x v="0"/>
    <b v="0"/>
    <x v="0"/>
    <x v="9"/>
    <n v="2026"/>
    <n v="4"/>
    <n v="1"/>
    <n v="2026"/>
    <n v="2"/>
    <s v="No"/>
    <x v="0"/>
    <s v="United States"/>
    <x v="1"/>
    <s v="StayNest Central"/>
    <x v="0"/>
    <s v="Business"/>
    <n v="150"/>
    <x v="5"/>
    <s v="Direct"/>
    <d v="2026-05-08T00:00:00"/>
    <s v="No"/>
    <s v="No"/>
    <s v="Peak"/>
    <x v="1"/>
    <n v="0"/>
    <s v="91–180 days"/>
  </r>
  <r>
    <s v="B001544"/>
    <s v="G00506"/>
    <s v="H004"/>
    <s v="CH05"/>
    <d v="2026-04-27T00:00:00"/>
    <d v="2026-05-11T00:00:00"/>
    <x v="3"/>
    <n v="8256"/>
    <x v="0"/>
    <b v="0"/>
    <x v="3"/>
    <x v="9"/>
    <n v="2026"/>
    <n v="0"/>
    <n v="4"/>
    <n v="2026"/>
    <n v="0"/>
    <s v="No"/>
    <x v="0"/>
    <s v="India"/>
    <x v="0"/>
    <s v="StayNest Lakeview"/>
    <x v="2"/>
    <s v="Resort"/>
    <n v="75"/>
    <x v="2"/>
    <s v="Corporate Rate"/>
    <d v="2026-05-11T00:00:00"/>
    <s v="No"/>
    <s v="No"/>
    <s v="Peak"/>
    <x v="1"/>
    <n v="0"/>
    <s v="8–30 days"/>
  </r>
  <r>
    <s v="B001545"/>
    <s v="G00258"/>
    <s v="H002"/>
    <s v="CH02"/>
    <d v="2025-01-09T00:00:00"/>
    <d v="2025-02-08T00:00:00"/>
    <x v="2"/>
    <n v="2595"/>
    <x v="1"/>
    <b v="0"/>
    <x v="2"/>
    <x v="0"/>
    <n v="2025"/>
    <n v="5"/>
    <n v="1"/>
    <n v="2025"/>
    <n v="3"/>
    <s v="Yes"/>
    <x v="1"/>
    <s v="India"/>
    <x v="0"/>
    <s v="StayNest Central"/>
    <x v="0"/>
    <s v="Business"/>
    <n v="150"/>
    <x v="3"/>
    <s v="App Push"/>
    <d v="2025-02-08T00:00:00"/>
    <s v="Yes"/>
    <s v="No"/>
    <s v="Shoulder"/>
    <x v="1"/>
    <n v="1"/>
    <s v="8–30 days"/>
  </r>
  <r>
    <s v="B001546"/>
    <s v="G00559"/>
    <s v="H003"/>
    <s v="CH04"/>
    <d v="2025-05-17T00:00:00"/>
    <d v="2025-05-31T00:00:00"/>
    <x v="0"/>
    <n v="4573"/>
    <x v="0"/>
    <b v="0"/>
    <x v="3"/>
    <x v="9"/>
    <n v="2025"/>
    <n v="5"/>
    <n v="5"/>
    <n v="2025"/>
    <n v="5"/>
    <s v="Yes"/>
    <x v="1"/>
    <s v="India"/>
    <x v="0"/>
    <s v="StayNest Hills"/>
    <x v="5"/>
    <s v="Resort"/>
    <n v="80"/>
    <x v="4"/>
    <s v="Partner"/>
    <d v="2025-05-31T00:00:00"/>
    <s v="Yes"/>
    <s v="No"/>
    <s v="Peak"/>
    <x v="1"/>
    <n v="0"/>
    <s v="8–30 days"/>
  </r>
  <r>
    <s v="B001547"/>
    <s v="G00088"/>
    <s v="H010"/>
    <s v="CH01"/>
    <d v="2026-10-31T00:00:00"/>
    <d v="2026-11-14T00:00:00"/>
    <x v="1"/>
    <n v="5271"/>
    <x v="0"/>
    <b v="0"/>
    <x v="3"/>
    <x v="4"/>
    <n v="2026"/>
    <n v="5"/>
    <n v="10"/>
    <n v="2026"/>
    <n v="5"/>
    <s v="Yes"/>
    <x v="2"/>
    <s v="India"/>
    <x v="1"/>
    <s v="StayNest Garden"/>
    <x v="10"/>
    <s v="Boutique"/>
    <n v="70"/>
    <x v="5"/>
    <s v="Direct"/>
    <d v="2026-11-14T00:00:00"/>
    <s v="Yes"/>
    <s v="No"/>
    <s v="Off-Peak"/>
    <x v="1"/>
    <n v="0"/>
    <s v="8–30 days"/>
  </r>
  <r>
    <s v="B001548"/>
    <s v="G00606"/>
    <s v="H012"/>
    <s v="CH03"/>
    <d v="2025-04-13T00:00:00"/>
    <d v="2025-05-13T00:00:00"/>
    <x v="0"/>
    <n v="4483"/>
    <x v="2"/>
    <b v="0"/>
    <x v="2"/>
    <x v="9"/>
    <n v="2025"/>
    <n v="1"/>
    <n v="4"/>
    <n v="2025"/>
    <n v="6"/>
    <s v="No"/>
    <x v="2"/>
    <s v="India"/>
    <x v="0"/>
    <s v="StayNest Valley"/>
    <x v="4"/>
    <s v="Resort"/>
    <n v="65"/>
    <x v="1"/>
    <s v="OTA Promo"/>
    <d v="2025-05-13T00:00:00"/>
    <s v="No"/>
    <s v="No"/>
    <s v="Peak"/>
    <x v="1"/>
    <n v="0"/>
    <s v="8–30 days"/>
  </r>
  <r>
    <s v="B001549"/>
    <s v="G00317"/>
    <s v="H002"/>
    <s v="CH06"/>
    <d v="2025-05-28T00:00:00"/>
    <d v="2025-05-31T00:00:00"/>
    <x v="3"/>
    <n v="6730"/>
    <x v="0"/>
    <b v="0"/>
    <x v="6"/>
    <x v="9"/>
    <n v="2025"/>
    <n v="5"/>
    <n v="5"/>
    <n v="2025"/>
    <n v="2"/>
    <s v="Yes"/>
    <x v="2"/>
    <s v="Singapore"/>
    <x v="0"/>
    <s v="StayNest Central"/>
    <x v="0"/>
    <s v="Business"/>
    <n v="150"/>
    <x v="0"/>
    <s v="Retention"/>
    <d v="2025-05-31T00:00:00"/>
    <s v="Yes"/>
    <s v="No"/>
    <s v="Peak"/>
    <x v="1"/>
    <n v="0"/>
    <s v="0–7 days"/>
  </r>
  <r>
    <s v="B001550"/>
    <s v="G00400"/>
    <s v="H005"/>
    <s v="CH05"/>
    <d v="2026-02-21T00:00:00"/>
    <d v="2026-02-28T00:00:00"/>
    <x v="0"/>
    <n v="5531"/>
    <x v="0"/>
    <b v="0"/>
    <x v="4"/>
    <x v="0"/>
    <n v="2026"/>
    <n v="5"/>
    <n v="2"/>
    <n v="2026"/>
    <n v="5"/>
    <s v="Yes"/>
    <x v="0"/>
    <s v="UAE"/>
    <x v="1"/>
    <s v="StayNest Heritage"/>
    <x v="11"/>
    <s v="Heritage"/>
    <n v="90"/>
    <x v="2"/>
    <s v="Corporate Rate"/>
    <d v="2026-02-28T00:00:00"/>
    <s v="Yes"/>
    <s v="No"/>
    <s v="Shoulder"/>
    <x v="1"/>
    <n v="0"/>
    <s v="0–7 days"/>
  </r>
  <r>
    <s v="B001551"/>
    <s v="G00220"/>
    <s v="H003"/>
    <s v="CH04"/>
    <d v="2025-04-13T00:00:00"/>
    <d v="2025-04-16T00:00:00"/>
    <x v="2"/>
    <n v="2594"/>
    <x v="0"/>
    <b v="0"/>
    <x v="6"/>
    <x v="2"/>
    <n v="2025"/>
    <n v="2"/>
    <n v="4"/>
    <n v="2025"/>
    <n v="6"/>
    <s v="No"/>
    <x v="3"/>
    <s v="India"/>
    <x v="1"/>
    <s v="StayNest Hills"/>
    <x v="5"/>
    <s v="Resort"/>
    <n v="80"/>
    <x v="4"/>
    <s v="Partner"/>
    <d v="2025-04-16T00:00:00"/>
    <s v="No"/>
    <s v="No"/>
    <s v="Peak"/>
    <x v="1"/>
    <n v="0"/>
    <s v="0–7 days"/>
  </r>
  <r>
    <s v="B001552"/>
    <s v="G00487"/>
    <s v="H001"/>
    <s v="CH02"/>
    <d v="2026-07-14T00:00:00"/>
    <d v="2026-07-28T00:00:00"/>
    <x v="0"/>
    <n v="4120"/>
    <x v="0"/>
    <b v="0"/>
    <x v="3"/>
    <x v="8"/>
    <n v="2026"/>
    <n v="1"/>
    <n v="7"/>
    <n v="2026"/>
    <n v="1"/>
    <s v="No"/>
    <x v="0"/>
    <s v="India"/>
    <x v="0"/>
    <s v="StayNest Marina"/>
    <x v="1"/>
    <s v="Business"/>
    <n v="120"/>
    <x v="3"/>
    <s v="App Push"/>
    <d v="2026-07-28T00:00:00"/>
    <s v="No"/>
    <s v="No"/>
    <s v="Off-Peak"/>
    <x v="1"/>
    <n v="0"/>
    <s v="8–30 days"/>
  </r>
  <r>
    <s v="B001553"/>
    <s v="G00425"/>
    <s v="H012"/>
    <s v="CH02"/>
    <d v="2025-03-13T00:00:00"/>
    <d v="2025-04-12T00:00:00"/>
    <x v="0"/>
    <n v="29892"/>
    <x v="0"/>
    <b v="1"/>
    <x v="2"/>
    <x v="2"/>
    <n v="2025"/>
    <n v="5"/>
    <n v="3"/>
    <n v="2025"/>
    <n v="3"/>
    <s v="Yes"/>
    <x v="1"/>
    <s v="India"/>
    <x v="0"/>
    <s v="StayNest Valley"/>
    <x v="4"/>
    <s v="Resort"/>
    <n v="65"/>
    <x v="3"/>
    <s v="App Push"/>
    <d v="2025-04-12T00:00:00"/>
    <s v="Yes"/>
    <s v="No"/>
    <s v="Peak"/>
    <x v="1"/>
    <n v="0"/>
    <s v="8–30 days"/>
  </r>
  <r>
    <s v="B001554"/>
    <s v="G00062"/>
    <s v="H002"/>
    <s v="CH04"/>
    <d v="2025-09-07T00:00:00"/>
    <d v="2025-09-10T00:00:00"/>
    <x v="2"/>
    <n v="3835"/>
    <x v="2"/>
    <b v="0"/>
    <x v="6"/>
    <x v="10"/>
    <n v="2025"/>
    <n v="2"/>
    <n v="9"/>
    <n v="2025"/>
    <n v="6"/>
    <s v="No"/>
    <x v="1"/>
    <s v="India"/>
    <x v="0"/>
    <s v="StayNest Central"/>
    <x v="0"/>
    <s v="Business"/>
    <n v="150"/>
    <x v="4"/>
    <s v="Partner"/>
    <d v="2025-09-10T00:00:00"/>
    <s v="No"/>
    <s v="No"/>
    <s v="Shoulder"/>
    <x v="1"/>
    <n v="0"/>
    <s v="0–7 days"/>
  </r>
  <r>
    <s v="B001555"/>
    <s v="G00463"/>
    <s v="H003"/>
    <s v="CH02"/>
    <d v="2025-04-06T00:00:00"/>
    <d v="2025-04-09T00:00:00"/>
    <x v="1"/>
    <n v="8623"/>
    <x v="0"/>
    <b v="0"/>
    <x v="6"/>
    <x v="2"/>
    <n v="2025"/>
    <n v="2"/>
    <n v="4"/>
    <n v="2025"/>
    <n v="6"/>
    <s v="No"/>
    <x v="0"/>
    <s v="United States"/>
    <x v="1"/>
    <s v="StayNest Hills"/>
    <x v="5"/>
    <s v="Resort"/>
    <n v="80"/>
    <x v="3"/>
    <s v="App Push"/>
    <d v="2025-04-09T00:00:00"/>
    <s v="No"/>
    <s v="No"/>
    <s v="Peak"/>
    <x v="1"/>
    <n v="0"/>
    <s v="0–7 days"/>
  </r>
  <r>
    <s v="B001556"/>
    <s v="G00123"/>
    <s v="H001"/>
    <s v="CH03"/>
    <d v="2025-11-20T00:00:00"/>
    <d v="2026-02-28T00:00:00"/>
    <x v="3"/>
    <n v="10563"/>
    <x v="3"/>
    <b v="0"/>
    <x v="0"/>
    <x v="0"/>
    <n v="2026"/>
    <n v="5"/>
    <n v="11"/>
    <n v="2025"/>
    <n v="3"/>
    <s v="Yes"/>
    <x v="1"/>
    <s v="United States"/>
    <x v="1"/>
    <s v="StayNest Marina"/>
    <x v="1"/>
    <s v="Business"/>
    <n v="120"/>
    <x v="1"/>
    <s v="OTA Promo"/>
    <d v="2026-02-28T00:00:00"/>
    <s v="Yes"/>
    <s v="No"/>
    <s v="Shoulder"/>
    <x v="1"/>
    <n v="0"/>
    <s v="91–180 days"/>
  </r>
  <r>
    <s v="B001557"/>
    <s v="G00071"/>
    <s v="H008"/>
    <s v="CH01"/>
    <d v="2026-04-11T00:00:00"/>
    <d v="2026-04-18T00:00:00"/>
    <x v="0"/>
    <n v="4092"/>
    <x v="2"/>
    <b v="0"/>
    <x v="4"/>
    <x v="2"/>
    <n v="2026"/>
    <n v="5"/>
    <n v="4"/>
    <n v="2026"/>
    <n v="5"/>
    <s v="Yes"/>
    <x v="1"/>
    <s v="United Kingdom"/>
    <x v="0"/>
    <s v="StayNest Palace"/>
    <x v="7"/>
    <s v="Heritage"/>
    <n v="85"/>
    <x v="5"/>
    <s v="Direct"/>
    <d v="2026-04-18T00:00:00"/>
    <s v="Yes"/>
    <s v="No"/>
    <s v="Peak"/>
    <x v="1"/>
    <n v="0"/>
    <s v="0–7 days"/>
  </r>
  <r>
    <s v="B001558"/>
    <s v="G00135"/>
    <s v="H003"/>
    <s v="CH03"/>
    <d v="2025-05-28T00:00:00"/>
    <d v="2025-05-31T00:00:00"/>
    <x v="1"/>
    <n v="5879"/>
    <x v="1"/>
    <b v="0"/>
    <x v="6"/>
    <x v="9"/>
    <n v="2025"/>
    <n v="5"/>
    <n v="5"/>
    <n v="2025"/>
    <n v="2"/>
    <s v="Yes"/>
    <x v="3"/>
    <s v="UAE"/>
    <x v="0"/>
    <s v="StayNest Hills"/>
    <x v="5"/>
    <s v="Resort"/>
    <n v="80"/>
    <x v="1"/>
    <s v="OTA Promo"/>
    <d v="2025-05-31T00:00:00"/>
    <s v="Yes"/>
    <s v="No"/>
    <s v="Peak"/>
    <x v="1"/>
    <n v="1"/>
    <s v="0–7 days"/>
  </r>
  <r>
    <s v="B001559"/>
    <s v="G00085"/>
    <s v="H003"/>
    <s v="CH06"/>
    <d v="2026-11-12T00:00:00"/>
    <d v="2027-01-11T00:00:00"/>
    <x v="3"/>
    <n v="10386"/>
    <x v="0"/>
    <b v="0"/>
    <x v="1"/>
    <x v="6"/>
    <n v="2027"/>
    <n v="0"/>
    <n v="11"/>
    <n v="2026"/>
    <n v="3"/>
    <s v="No"/>
    <x v="1"/>
    <s v="India"/>
    <x v="0"/>
    <s v="StayNest Hills"/>
    <x v="5"/>
    <s v="Resort"/>
    <n v="80"/>
    <x v="0"/>
    <s v="Retention"/>
    <m/>
    <s v="Unknown"/>
    <s v="Unknown"/>
    <s v="Unknown"/>
    <x v="0"/>
    <n v="0"/>
    <s v="31–90 days"/>
  </r>
  <r>
    <s v="B001560"/>
    <s v="G00188"/>
    <s v="H007"/>
    <s v="CH06"/>
    <d v="2026-10-03T00:00:00"/>
    <d v="2026-10-17T00:00:00"/>
    <x v="2"/>
    <n v="4090"/>
    <x v="2"/>
    <b v="0"/>
    <x v="3"/>
    <x v="11"/>
    <n v="2026"/>
    <n v="5"/>
    <n v="10"/>
    <n v="2026"/>
    <n v="5"/>
    <s v="Yes"/>
    <x v="1"/>
    <s v="India"/>
    <x v="0"/>
    <s v="StayNest Tech Park"/>
    <x v="6"/>
    <s v="Business"/>
    <n v="140"/>
    <x v="0"/>
    <s v="Retention"/>
    <d v="2026-10-17T00:00:00"/>
    <s v="Yes"/>
    <s v="No"/>
    <s v="Shoulder"/>
    <x v="1"/>
    <n v="0"/>
    <s v="8–30 days"/>
  </r>
  <r>
    <s v="B001561"/>
    <s v="G00571"/>
    <s v="H001"/>
    <s v="CH06"/>
    <d v="2025-05-18T00:00:00"/>
    <d v="2025-05-25T00:00:00"/>
    <x v="3"/>
    <n v="9373"/>
    <x v="0"/>
    <b v="0"/>
    <x v="4"/>
    <x v="9"/>
    <n v="2025"/>
    <n v="6"/>
    <n v="5"/>
    <n v="2025"/>
    <n v="6"/>
    <s v="Yes"/>
    <x v="3"/>
    <s v="United States"/>
    <x v="0"/>
    <s v="StayNest Marina"/>
    <x v="1"/>
    <s v="Business"/>
    <n v="120"/>
    <x v="0"/>
    <s v="Retention"/>
    <d v="2025-05-25T00:00:00"/>
    <s v="Yes"/>
    <s v="No"/>
    <s v="Peak"/>
    <x v="1"/>
    <n v="0"/>
    <s v="0–7 days"/>
  </r>
  <r>
    <s v="B001562"/>
    <s v="G00114"/>
    <s v="H006"/>
    <s v="CH05"/>
    <d v="2026-08-19T00:00:00"/>
    <d v="2027-01-16T00:00:00"/>
    <x v="2"/>
    <n v="3849"/>
    <x v="0"/>
    <b v="0"/>
    <x v="5"/>
    <x v="6"/>
    <n v="2027"/>
    <n v="5"/>
    <n v="8"/>
    <n v="2026"/>
    <n v="2"/>
    <s v="Yes"/>
    <x v="1"/>
    <s v="United Kingdom"/>
    <x v="1"/>
    <s v="StayNest Beach"/>
    <x v="3"/>
    <s v="Resort"/>
    <n v="100"/>
    <x v="2"/>
    <s v="Corporate Rate"/>
    <m/>
    <s v="Unknown"/>
    <s v="Unknown"/>
    <s v="Unknown"/>
    <x v="0"/>
    <n v="0"/>
    <s v="91–180 days"/>
  </r>
  <r>
    <s v="B001563"/>
    <s v="G00622"/>
    <s v="H009"/>
    <s v="CH04"/>
    <d v="2025-09-19T00:00:00"/>
    <d v="2025-10-03T00:00:00"/>
    <x v="1"/>
    <n v="5876"/>
    <x v="2"/>
    <b v="0"/>
    <x v="3"/>
    <x v="11"/>
    <n v="2025"/>
    <n v="4"/>
    <n v="9"/>
    <n v="2025"/>
    <n v="4"/>
    <s v="No"/>
    <x v="0"/>
    <s v="India"/>
    <x v="1"/>
    <s v="StayNest Airport"/>
    <x v="9"/>
    <s v="Business"/>
    <n v="160"/>
    <x v="4"/>
    <s v="Partner"/>
    <d v="2025-10-03T00:00:00"/>
    <s v="No"/>
    <s v="No"/>
    <s v="Shoulder"/>
    <x v="1"/>
    <n v="0"/>
    <s v="8–30 days"/>
  </r>
  <r>
    <s v="B001564"/>
    <s v="G00513"/>
    <s v="H009"/>
    <s v="CH03"/>
    <d v="2025-11-16T00:00:00"/>
    <d v="2025-11-30T00:00:00"/>
    <x v="2"/>
    <n v="3734"/>
    <x v="3"/>
    <b v="0"/>
    <x v="3"/>
    <x v="4"/>
    <n v="2025"/>
    <n v="6"/>
    <n v="11"/>
    <n v="2025"/>
    <n v="6"/>
    <s v="Yes"/>
    <x v="2"/>
    <s v="India"/>
    <x v="1"/>
    <s v="StayNest Airport"/>
    <x v="9"/>
    <s v="Business"/>
    <n v="160"/>
    <x v="1"/>
    <s v="OTA Promo"/>
    <d v="2025-11-30T00:00:00"/>
    <s v="Yes"/>
    <s v="No"/>
    <s v="Off-Peak"/>
    <x v="1"/>
    <n v="0"/>
    <s v="8–30 days"/>
  </r>
  <r>
    <s v="B001565"/>
    <s v="G00113"/>
    <s v="H010"/>
    <s v="CH01"/>
    <d v="2026-05-18T00:00:00"/>
    <d v="2026-05-25T00:00:00"/>
    <x v="0"/>
    <n v="4731"/>
    <x v="2"/>
    <b v="0"/>
    <x v="4"/>
    <x v="9"/>
    <n v="2026"/>
    <n v="0"/>
    <n v="5"/>
    <n v="2026"/>
    <n v="0"/>
    <s v="No"/>
    <x v="1"/>
    <s v="United Kingdom"/>
    <x v="0"/>
    <s v="StayNest Garden"/>
    <x v="10"/>
    <s v="Boutique"/>
    <n v="70"/>
    <x v="5"/>
    <s v="Direct"/>
    <d v="2026-05-25T00:00:00"/>
    <s v="No"/>
    <s v="No"/>
    <s v="Peak"/>
    <x v="1"/>
    <n v="0"/>
    <s v="0–7 days"/>
  </r>
  <r>
    <s v="B001566"/>
    <s v="G00207"/>
    <s v="H007"/>
    <s v="CH05"/>
    <d v="2026-10-03T00:00:00"/>
    <d v="2026-10-06T00:00:00"/>
    <x v="0"/>
    <n v="4641"/>
    <x v="3"/>
    <b v="0"/>
    <x v="6"/>
    <x v="11"/>
    <n v="2026"/>
    <n v="1"/>
    <n v="10"/>
    <n v="2026"/>
    <n v="5"/>
    <s v="No"/>
    <x v="0"/>
    <s v="India"/>
    <x v="1"/>
    <s v="StayNest Tech Park"/>
    <x v="6"/>
    <s v="Business"/>
    <n v="140"/>
    <x v="2"/>
    <s v="Corporate Rate"/>
    <d v="2026-10-06T00:00:00"/>
    <s v="No"/>
    <s v="No"/>
    <s v="Shoulder"/>
    <x v="1"/>
    <n v="0"/>
    <s v="0–7 days"/>
  </r>
  <r>
    <s v="B001567"/>
    <s v="G00041"/>
    <s v="H009"/>
    <s v="CH02"/>
    <d v="2025-05-01T00:00:00"/>
    <d v="2025-05-08T00:00:00"/>
    <x v="1"/>
    <n v="5606"/>
    <x v="1"/>
    <b v="0"/>
    <x v="4"/>
    <x v="9"/>
    <n v="2025"/>
    <n v="3"/>
    <n v="5"/>
    <n v="2025"/>
    <n v="3"/>
    <s v="No"/>
    <x v="0"/>
    <s v="India"/>
    <x v="0"/>
    <s v="StayNest Airport"/>
    <x v="9"/>
    <s v="Business"/>
    <n v="160"/>
    <x v="3"/>
    <s v="App Push"/>
    <d v="2025-05-08T00:00:00"/>
    <s v="No"/>
    <s v="No"/>
    <s v="Peak"/>
    <x v="1"/>
    <n v="1"/>
    <s v="0–7 days"/>
  </r>
  <r>
    <s v="B001568"/>
    <s v="G00068"/>
    <s v="H003"/>
    <s v="CH02"/>
    <d v="2026-05-19T00:00:00"/>
    <d v="2026-07-18T00:00:00"/>
    <x v="0"/>
    <n v="4846"/>
    <x v="0"/>
    <b v="0"/>
    <x v="1"/>
    <x v="8"/>
    <n v="2026"/>
    <n v="5"/>
    <n v="5"/>
    <n v="2026"/>
    <n v="1"/>
    <s v="Yes"/>
    <x v="2"/>
    <s v="Singapore"/>
    <x v="1"/>
    <s v="StayNest Hills"/>
    <x v="5"/>
    <s v="Resort"/>
    <n v="80"/>
    <x v="3"/>
    <s v="App Push"/>
    <d v="2026-07-18T00:00:00"/>
    <s v="Yes"/>
    <s v="No"/>
    <s v="Off-Peak"/>
    <x v="1"/>
    <n v="0"/>
    <s v="31–90 days"/>
  </r>
  <r>
    <s v="B001569"/>
    <s v="G00019"/>
    <s v="H009"/>
    <s v="CH05"/>
    <d v="2026-01-21T00:00:00"/>
    <d v="2026-01-28T00:00:00"/>
    <x v="3"/>
    <n v="11363"/>
    <x v="1"/>
    <b v="0"/>
    <x v="4"/>
    <x v="6"/>
    <n v="2026"/>
    <n v="2"/>
    <n v="1"/>
    <n v="2026"/>
    <n v="2"/>
    <s v="No"/>
    <x v="0"/>
    <s v="India"/>
    <x v="1"/>
    <s v="StayNest Airport"/>
    <x v="9"/>
    <s v="Business"/>
    <n v="160"/>
    <x v="2"/>
    <s v="Corporate Rate"/>
    <d v="2026-01-28T00:00:00"/>
    <s v="No"/>
    <s v="No"/>
    <s v="Off-Peak"/>
    <x v="1"/>
    <n v="1"/>
    <s v="0–7 days"/>
  </r>
  <r>
    <s v="B001570"/>
    <s v="G00534"/>
    <s v="H010"/>
    <s v="CH05"/>
    <d v="2025-04-03T00:00:00"/>
    <d v="2025-04-06T00:00:00"/>
    <x v="2"/>
    <n v="3834"/>
    <x v="0"/>
    <b v="0"/>
    <x v="6"/>
    <x v="2"/>
    <n v="2025"/>
    <n v="6"/>
    <n v="4"/>
    <n v="2025"/>
    <n v="3"/>
    <s v="Yes"/>
    <x v="1"/>
    <s v="Germany"/>
    <x v="1"/>
    <s v="StayNest Garden"/>
    <x v="10"/>
    <s v="Boutique"/>
    <n v="70"/>
    <x v="2"/>
    <s v="Corporate Rate"/>
    <d v="2025-04-06T00:00:00"/>
    <s v="Yes"/>
    <s v="No"/>
    <s v="Peak"/>
    <x v="1"/>
    <n v="0"/>
    <s v="0–7 days"/>
  </r>
  <r>
    <s v="B001571"/>
    <s v="G00643"/>
    <s v="H003"/>
    <s v="CH02"/>
    <d v="2025-05-23T00:00:00"/>
    <d v="2025-07-22T00:00:00"/>
    <x v="0"/>
    <n v="5883"/>
    <x v="2"/>
    <b v="0"/>
    <x v="1"/>
    <x v="8"/>
    <n v="2025"/>
    <n v="1"/>
    <n v="5"/>
    <n v="2025"/>
    <n v="4"/>
    <s v="No"/>
    <x v="0"/>
    <s v="United States"/>
    <x v="0"/>
    <s v="StayNest Hills"/>
    <x v="5"/>
    <s v="Resort"/>
    <n v="80"/>
    <x v="3"/>
    <s v="App Push"/>
    <d v="2025-07-22T00:00:00"/>
    <s v="No"/>
    <s v="No"/>
    <s v="Off-Peak"/>
    <x v="1"/>
    <n v="0"/>
    <s v="31–90 days"/>
  </r>
  <r>
    <s v="B001572"/>
    <s v="G00633"/>
    <s v="H001"/>
    <s v="CH04"/>
    <d v="2025-01-10T00:00:00"/>
    <d v="2025-02-09T00:00:00"/>
    <x v="3"/>
    <n v="10986"/>
    <x v="0"/>
    <b v="0"/>
    <x v="2"/>
    <x v="0"/>
    <n v="2025"/>
    <n v="6"/>
    <n v="1"/>
    <n v="2025"/>
    <n v="4"/>
    <s v="Yes"/>
    <x v="3"/>
    <s v="India"/>
    <x v="0"/>
    <s v="StayNest Marina"/>
    <x v="1"/>
    <s v="Business"/>
    <n v="120"/>
    <x v="4"/>
    <s v="Partner"/>
    <d v="2025-02-09T00:00:00"/>
    <s v="Yes"/>
    <s v="No"/>
    <s v="Shoulder"/>
    <x v="1"/>
    <n v="0"/>
    <s v="8–30 days"/>
  </r>
  <r>
    <s v="B001573"/>
    <s v="G00052"/>
    <s v="H001"/>
    <s v="CH05"/>
    <d v="2026-08-27T00:00:00"/>
    <d v="2026-09-26T00:00:00"/>
    <x v="0"/>
    <n v="3986"/>
    <x v="0"/>
    <b v="0"/>
    <x v="2"/>
    <x v="10"/>
    <n v="2026"/>
    <n v="5"/>
    <n v="8"/>
    <n v="2026"/>
    <n v="3"/>
    <s v="Yes"/>
    <x v="3"/>
    <s v="India"/>
    <x v="1"/>
    <s v="StayNest Marina"/>
    <x v="1"/>
    <s v="Business"/>
    <n v="120"/>
    <x v="2"/>
    <s v="Corporate Rate"/>
    <d v="2026-09-26T00:00:00"/>
    <s v="Yes"/>
    <s v="No"/>
    <s v="Shoulder"/>
    <x v="1"/>
    <n v="0"/>
    <s v="8–30 days"/>
  </r>
  <r>
    <s v="B001574"/>
    <s v="G00099"/>
    <s v="H009"/>
    <s v="CH01"/>
    <d v="2025-11-22T00:00:00"/>
    <d v="2025-11-25T00:00:00"/>
    <x v="3"/>
    <n v="7659"/>
    <x v="0"/>
    <b v="0"/>
    <x v="6"/>
    <x v="4"/>
    <n v="2025"/>
    <n v="1"/>
    <n v="11"/>
    <n v="2025"/>
    <n v="5"/>
    <s v="No"/>
    <x v="0"/>
    <s v="India"/>
    <x v="0"/>
    <s v="StayNest Airport"/>
    <x v="9"/>
    <s v="Business"/>
    <n v="160"/>
    <x v="5"/>
    <s v="Direct"/>
    <d v="2025-11-25T00:00:00"/>
    <s v="No"/>
    <s v="No"/>
    <s v="Off-Peak"/>
    <x v="1"/>
    <n v="0"/>
    <s v="0–7 days"/>
  </r>
  <r>
    <s v="B001575"/>
    <s v="G00019"/>
    <s v="H004"/>
    <s v="CH06"/>
    <d v="2025-09-24T00:00:00"/>
    <d v="2025-11-23T00:00:00"/>
    <x v="2"/>
    <n v="2943"/>
    <x v="0"/>
    <b v="0"/>
    <x v="1"/>
    <x v="4"/>
    <n v="2025"/>
    <n v="6"/>
    <n v="9"/>
    <n v="2025"/>
    <n v="2"/>
    <s v="Yes"/>
    <x v="0"/>
    <s v="India"/>
    <x v="1"/>
    <s v="StayNest Lakeview"/>
    <x v="2"/>
    <s v="Resort"/>
    <n v="75"/>
    <x v="0"/>
    <s v="Retention"/>
    <d v="2025-11-23T00:00:00"/>
    <s v="Yes"/>
    <s v="No"/>
    <s v="Off-Peak"/>
    <x v="1"/>
    <n v="0"/>
    <s v="31–90 days"/>
  </r>
  <r>
    <s v="B001576"/>
    <s v="G00330"/>
    <s v="H007"/>
    <s v="CH05"/>
    <d v="2026-09-14T00:00:00"/>
    <d v="2026-10-14T00:00:00"/>
    <x v="3"/>
    <n v="9813"/>
    <x v="0"/>
    <b v="0"/>
    <x v="2"/>
    <x v="11"/>
    <n v="2026"/>
    <n v="2"/>
    <n v="9"/>
    <n v="2026"/>
    <n v="0"/>
    <s v="No"/>
    <x v="3"/>
    <s v="United States"/>
    <x v="1"/>
    <s v="StayNest Tech Park"/>
    <x v="6"/>
    <s v="Business"/>
    <n v="140"/>
    <x v="2"/>
    <s v="Corporate Rate"/>
    <d v="2026-10-14T00:00:00"/>
    <s v="No"/>
    <s v="No"/>
    <s v="Shoulder"/>
    <x v="1"/>
    <n v="0"/>
    <s v="8–30 days"/>
  </r>
  <r>
    <s v="B001577"/>
    <s v="G00564"/>
    <s v="H003"/>
    <s v="CH03"/>
    <d v="2026-10-22T00:00:00"/>
    <d v="2026-12-21T00:00:00"/>
    <x v="0"/>
    <n v="3875"/>
    <x v="0"/>
    <b v="0"/>
    <x v="1"/>
    <x v="5"/>
    <n v="2026"/>
    <n v="0"/>
    <n v="10"/>
    <n v="2026"/>
    <n v="3"/>
    <s v="No"/>
    <x v="1"/>
    <s v="Germany"/>
    <x v="0"/>
    <s v="StayNest Hills"/>
    <x v="5"/>
    <s v="Resort"/>
    <n v="80"/>
    <x v="1"/>
    <s v="OTA Promo"/>
    <d v="2026-12-21T00:00:00"/>
    <s v="No"/>
    <s v="No"/>
    <s v="Peak"/>
    <x v="1"/>
    <n v="0"/>
    <s v="31–90 days"/>
  </r>
  <r>
    <s v="B001578"/>
    <s v="G00611"/>
    <s v="H005"/>
    <s v="CH01"/>
    <d v="2025-06-02T00:00:00"/>
    <d v="2025-10-30T00:00:00"/>
    <x v="1"/>
    <n v="7051"/>
    <x v="2"/>
    <b v="0"/>
    <x v="5"/>
    <x v="11"/>
    <n v="2025"/>
    <n v="3"/>
    <n v="6"/>
    <n v="2025"/>
    <n v="0"/>
    <s v="No"/>
    <x v="3"/>
    <s v="India"/>
    <x v="0"/>
    <s v="StayNest Heritage"/>
    <x v="11"/>
    <s v="Heritage"/>
    <n v="90"/>
    <x v="5"/>
    <s v="Direct"/>
    <d v="2025-10-30T00:00:00"/>
    <s v="No"/>
    <s v="No"/>
    <s v="Shoulder"/>
    <x v="1"/>
    <n v="0"/>
    <s v="91–180 days"/>
  </r>
  <r>
    <s v="B001579"/>
    <s v="G00140"/>
    <s v="H008"/>
    <s v="CH02"/>
    <d v="2026-01-03T00:00:00"/>
    <d v="2026-02-02T00:00:00"/>
    <x v="0"/>
    <n v="4154"/>
    <x v="1"/>
    <b v="0"/>
    <x v="2"/>
    <x v="0"/>
    <n v="2026"/>
    <n v="0"/>
    <n v="1"/>
    <n v="2026"/>
    <n v="5"/>
    <s v="No"/>
    <x v="3"/>
    <s v="Singapore"/>
    <x v="1"/>
    <s v="StayNest Palace"/>
    <x v="7"/>
    <s v="Heritage"/>
    <n v="85"/>
    <x v="3"/>
    <s v="App Push"/>
    <d v="2026-02-02T00:00:00"/>
    <s v="No"/>
    <s v="No"/>
    <s v="Shoulder"/>
    <x v="1"/>
    <n v="1"/>
    <s v="8–30 days"/>
  </r>
  <r>
    <s v="B001580"/>
    <s v="G00302"/>
    <s v="H002"/>
    <s v="CH02"/>
    <d v="2026-09-27T00:00:00"/>
    <d v="2026-09-30T00:00:00"/>
    <x v="0"/>
    <n v="4859"/>
    <x v="0"/>
    <b v="0"/>
    <x v="6"/>
    <x v="10"/>
    <n v="2026"/>
    <n v="2"/>
    <n v="9"/>
    <n v="2026"/>
    <n v="6"/>
    <s v="No"/>
    <x v="0"/>
    <s v="India"/>
    <x v="0"/>
    <s v="StayNest Central"/>
    <x v="0"/>
    <s v="Business"/>
    <n v="150"/>
    <x v="3"/>
    <s v="App Push"/>
    <d v="2026-09-30T00:00:00"/>
    <s v="No"/>
    <s v="No"/>
    <s v="Shoulder"/>
    <x v="1"/>
    <n v="0"/>
    <s v="0–7 days"/>
  </r>
  <r>
    <s v="B001581"/>
    <s v="G00181"/>
    <s v="H011"/>
    <s v="CH03"/>
    <d v="2025-12-21T00:00:00"/>
    <d v="2026-01-20T00:00:00"/>
    <x v="3"/>
    <n v="6998"/>
    <x v="1"/>
    <b v="0"/>
    <x v="2"/>
    <x v="6"/>
    <n v="2026"/>
    <n v="1"/>
    <n v="12"/>
    <n v="2025"/>
    <n v="6"/>
    <s v="No"/>
    <x v="0"/>
    <s v="Germany"/>
    <x v="1"/>
    <s v="StayNest Grand"/>
    <x v="8"/>
    <s v="Business"/>
    <n v="110"/>
    <x v="1"/>
    <s v="OTA Promo"/>
    <d v="2026-01-20T00:00:00"/>
    <s v="No"/>
    <s v="No"/>
    <s v="Off-Peak"/>
    <x v="1"/>
    <n v="1"/>
    <s v="8–30 days"/>
  </r>
  <r>
    <s v="B001582"/>
    <s v="G00271"/>
    <s v="H007"/>
    <s v="CH04"/>
    <d v="2025-01-25T00:00:00"/>
    <d v="2025-01-26T00:00:00"/>
    <x v="0"/>
    <n v="5639"/>
    <x v="2"/>
    <b v="0"/>
    <x v="7"/>
    <x v="6"/>
    <n v="2025"/>
    <n v="6"/>
    <n v="1"/>
    <n v="2025"/>
    <n v="5"/>
    <s v="Yes"/>
    <x v="3"/>
    <s v="India"/>
    <x v="1"/>
    <s v="StayNest Tech Park"/>
    <x v="6"/>
    <s v="Business"/>
    <n v="140"/>
    <x v="4"/>
    <s v="Partner"/>
    <d v="2025-01-26T00:00:00"/>
    <s v="Yes"/>
    <s v="Yes"/>
    <s v="Off-Peak"/>
    <x v="1"/>
    <n v="0"/>
    <s v="0–7 days"/>
  </r>
  <r>
    <s v="B001583"/>
    <s v="G00180"/>
    <s v="H004"/>
    <s v="CH02"/>
    <d v="2026-08-05T00:00:00"/>
    <d v="2026-10-04T00:00:00"/>
    <x v="1"/>
    <n v="5120"/>
    <x v="0"/>
    <b v="0"/>
    <x v="1"/>
    <x v="11"/>
    <n v="2026"/>
    <n v="6"/>
    <n v="8"/>
    <n v="2026"/>
    <n v="2"/>
    <s v="Yes"/>
    <x v="3"/>
    <s v="United States"/>
    <x v="1"/>
    <s v="StayNest Lakeview"/>
    <x v="2"/>
    <s v="Resort"/>
    <n v="75"/>
    <x v="3"/>
    <s v="App Push"/>
    <d v="2026-10-04T00:00:00"/>
    <s v="Yes"/>
    <s v="No"/>
    <s v="Shoulder"/>
    <x v="1"/>
    <n v="0"/>
    <s v="31–90 days"/>
  </r>
  <r>
    <s v="B001584"/>
    <s v="G00384"/>
    <s v="H001"/>
    <s v="CH04"/>
    <d v="2026-03-16T00:00:00"/>
    <d v="2026-03-30T00:00:00"/>
    <x v="3"/>
    <n v="9056"/>
    <x v="0"/>
    <b v="0"/>
    <x v="3"/>
    <x v="3"/>
    <n v="2026"/>
    <n v="0"/>
    <n v="3"/>
    <n v="2026"/>
    <n v="0"/>
    <s v="No"/>
    <x v="1"/>
    <s v="India"/>
    <x v="0"/>
    <s v="StayNest Marina"/>
    <x v="1"/>
    <s v="Business"/>
    <n v="120"/>
    <x v="4"/>
    <s v="Partner"/>
    <d v="2026-03-30T00:00:00"/>
    <s v="No"/>
    <s v="No"/>
    <s v="Shoulder"/>
    <x v="1"/>
    <n v="0"/>
    <s v="8–30 days"/>
  </r>
  <r>
    <s v="B001585"/>
    <s v="G00182"/>
    <s v="H003"/>
    <s v="CH04"/>
    <d v="2026-03-06T00:00:00"/>
    <d v="2026-10-12T00:00:00"/>
    <x v="3"/>
    <n v="7377"/>
    <x v="1"/>
    <b v="0"/>
    <x v="8"/>
    <x v="11"/>
    <n v="2026"/>
    <n v="0"/>
    <n v="3"/>
    <n v="2026"/>
    <n v="4"/>
    <s v="No"/>
    <x v="1"/>
    <s v="India"/>
    <x v="0"/>
    <s v="StayNest Hills"/>
    <x v="5"/>
    <s v="Resort"/>
    <n v="80"/>
    <x v="4"/>
    <s v="Partner"/>
    <d v="2026-10-12T00:00:00"/>
    <s v="No"/>
    <s v="No"/>
    <s v="Shoulder"/>
    <x v="1"/>
    <n v="1"/>
    <s v="181+ days"/>
  </r>
  <r>
    <s v="B001586"/>
    <s v="G00375"/>
    <s v="H008"/>
    <s v="CH06"/>
    <d v="2026-10-03T00:00:00"/>
    <d v="2027-05-11T00:00:00"/>
    <x v="3"/>
    <n v="8625"/>
    <x v="0"/>
    <b v="0"/>
    <x v="8"/>
    <x v="9"/>
    <n v="2027"/>
    <n v="1"/>
    <n v="10"/>
    <n v="2026"/>
    <n v="5"/>
    <s v="No"/>
    <x v="0"/>
    <s v="India"/>
    <x v="0"/>
    <s v="StayNest Palace"/>
    <x v="7"/>
    <s v="Heritage"/>
    <n v="85"/>
    <x v="0"/>
    <s v="Retention"/>
    <m/>
    <s v="Unknown"/>
    <s v="Unknown"/>
    <s v="Unknown"/>
    <x v="0"/>
    <n v="0"/>
    <s v="181+ days"/>
  </r>
  <r>
    <s v="B001587"/>
    <s v="G00420"/>
    <s v="H009"/>
    <s v="CH02"/>
    <d v="2025-06-17T00:00:00"/>
    <d v="2025-11-14T00:00:00"/>
    <x v="2"/>
    <n v="3891"/>
    <x v="0"/>
    <b v="0"/>
    <x v="5"/>
    <x v="4"/>
    <n v="2025"/>
    <n v="4"/>
    <n v="6"/>
    <n v="2025"/>
    <n v="1"/>
    <s v="No"/>
    <x v="0"/>
    <s v="India"/>
    <x v="0"/>
    <s v="StayNest Airport"/>
    <x v="9"/>
    <s v="Business"/>
    <n v="160"/>
    <x v="3"/>
    <s v="App Push"/>
    <d v="2025-11-14T00:00:00"/>
    <s v="No"/>
    <s v="No"/>
    <s v="Off-Peak"/>
    <x v="1"/>
    <n v="0"/>
    <s v="91–180 days"/>
  </r>
  <r>
    <s v="B001588"/>
    <s v="G00402"/>
    <s v="H007"/>
    <s v="CH06"/>
    <d v="2026-02-01T00:00:00"/>
    <d v="2026-07-01T00:00:00"/>
    <x v="1"/>
    <n v="5313"/>
    <x v="0"/>
    <b v="0"/>
    <x v="5"/>
    <x v="8"/>
    <n v="2026"/>
    <n v="2"/>
    <n v="2"/>
    <n v="2026"/>
    <n v="6"/>
    <s v="No"/>
    <x v="3"/>
    <s v="India"/>
    <x v="0"/>
    <s v="StayNest Tech Park"/>
    <x v="6"/>
    <s v="Business"/>
    <n v="140"/>
    <x v="0"/>
    <s v="Retention"/>
    <d v="2026-07-01T00:00:00"/>
    <s v="No"/>
    <s v="No"/>
    <s v="Off-Peak"/>
    <x v="1"/>
    <n v="0"/>
    <s v="91–180 days"/>
  </r>
  <r>
    <s v="B001589"/>
    <s v="G00419"/>
    <s v="H009"/>
    <s v="CH04"/>
    <d v="2026-06-07T00:00:00"/>
    <d v="2026-09-15T00:00:00"/>
    <x v="3"/>
    <n v="10326"/>
    <x v="1"/>
    <b v="0"/>
    <x v="0"/>
    <x v="10"/>
    <n v="2026"/>
    <n v="1"/>
    <n v="6"/>
    <n v="2026"/>
    <n v="6"/>
    <s v="No"/>
    <x v="2"/>
    <s v="India"/>
    <x v="0"/>
    <s v="StayNest Airport"/>
    <x v="9"/>
    <s v="Business"/>
    <n v="160"/>
    <x v="4"/>
    <s v="Partner"/>
    <d v="2026-09-15T00:00:00"/>
    <s v="No"/>
    <s v="No"/>
    <s v="Shoulder"/>
    <x v="1"/>
    <n v="1"/>
    <s v="91–180 days"/>
  </r>
  <r>
    <s v="B001590"/>
    <s v="G00062"/>
    <s v="H011"/>
    <s v="CH02"/>
    <d v="2026-01-06T00:00:00"/>
    <d v="2026-01-07T00:00:00"/>
    <x v="1"/>
    <n v="7050"/>
    <x v="3"/>
    <b v="0"/>
    <x v="7"/>
    <x v="6"/>
    <n v="2026"/>
    <n v="2"/>
    <n v="1"/>
    <n v="2026"/>
    <n v="1"/>
    <s v="No"/>
    <x v="1"/>
    <s v="India"/>
    <x v="0"/>
    <s v="StayNest Grand"/>
    <x v="8"/>
    <s v="Business"/>
    <n v="110"/>
    <x v="3"/>
    <s v="App Push"/>
    <d v="2026-01-07T00:00:00"/>
    <s v="No"/>
    <s v="No"/>
    <s v="Off-Peak"/>
    <x v="1"/>
    <n v="0"/>
    <s v="0–7 days"/>
  </r>
  <r>
    <s v="B001591"/>
    <s v="G00129"/>
    <s v="H004"/>
    <s v="CH03"/>
    <d v="2025-10-06T00:00:00"/>
    <d v="2026-01-14T00:00:00"/>
    <x v="3"/>
    <n v="9599"/>
    <x v="1"/>
    <b v="0"/>
    <x v="0"/>
    <x v="6"/>
    <n v="2026"/>
    <n v="2"/>
    <n v="10"/>
    <n v="2025"/>
    <n v="0"/>
    <s v="No"/>
    <x v="3"/>
    <s v="India"/>
    <x v="1"/>
    <s v="StayNest Lakeview"/>
    <x v="2"/>
    <s v="Resort"/>
    <n v="75"/>
    <x v="1"/>
    <s v="OTA Promo"/>
    <d v="2026-01-14T00:00:00"/>
    <s v="No"/>
    <s v="No"/>
    <s v="Off-Peak"/>
    <x v="1"/>
    <n v="1"/>
    <s v="91–180 days"/>
  </r>
  <r>
    <s v="B001592"/>
    <s v="G00089"/>
    <s v="H006"/>
    <s v="CH06"/>
    <d v="2026-03-20T00:00:00"/>
    <d v="2026-06-28T00:00:00"/>
    <x v="3"/>
    <n v="11209"/>
    <x v="2"/>
    <b v="0"/>
    <x v="0"/>
    <x v="1"/>
    <n v="2026"/>
    <n v="6"/>
    <n v="3"/>
    <n v="2026"/>
    <n v="4"/>
    <s v="Yes"/>
    <x v="0"/>
    <s v="United States"/>
    <x v="0"/>
    <s v="StayNest Beach"/>
    <x v="3"/>
    <s v="Resort"/>
    <n v="100"/>
    <x v="0"/>
    <s v="Retention"/>
    <d v="2026-06-28T00:00:00"/>
    <s v="Yes"/>
    <s v="No"/>
    <s v="Shoulder"/>
    <x v="1"/>
    <n v="0"/>
    <s v="91–180 days"/>
  </r>
  <r>
    <s v="B001593"/>
    <s v="G00284"/>
    <s v="H005"/>
    <s v="CH06"/>
    <d v="2025-04-01T00:00:00"/>
    <d v="2025-05-31T00:00:00"/>
    <x v="2"/>
    <n v="3209"/>
    <x v="0"/>
    <b v="0"/>
    <x v="1"/>
    <x v="9"/>
    <n v="2025"/>
    <n v="5"/>
    <n v="4"/>
    <n v="2025"/>
    <n v="1"/>
    <s v="Yes"/>
    <x v="0"/>
    <s v="Singapore"/>
    <x v="1"/>
    <s v="StayNest Heritage"/>
    <x v="11"/>
    <s v="Heritage"/>
    <n v="90"/>
    <x v="0"/>
    <s v="Retention"/>
    <d v="2025-05-31T00:00:00"/>
    <s v="Yes"/>
    <s v="No"/>
    <s v="Peak"/>
    <x v="1"/>
    <n v="0"/>
    <s v="31–90 days"/>
  </r>
  <r>
    <s v="B001594"/>
    <s v="G00440"/>
    <s v="H004"/>
    <s v="CH03"/>
    <d v="2025-08-19T00:00:00"/>
    <d v="2025-09-02T00:00:00"/>
    <x v="3"/>
    <n v="7964"/>
    <x v="0"/>
    <b v="0"/>
    <x v="3"/>
    <x v="10"/>
    <n v="2025"/>
    <n v="1"/>
    <n v="8"/>
    <n v="2025"/>
    <n v="1"/>
    <s v="No"/>
    <x v="0"/>
    <s v="India"/>
    <x v="0"/>
    <s v="StayNest Lakeview"/>
    <x v="2"/>
    <s v="Resort"/>
    <n v="75"/>
    <x v="1"/>
    <s v="OTA Promo"/>
    <d v="2025-09-02T00:00:00"/>
    <s v="No"/>
    <s v="No"/>
    <s v="Shoulder"/>
    <x v="1"/>
    <n v="0"/>
    <s v="8–30 days"/>
  </r>
  <r>
    <s v="B001595"/>
    <s v="G00430"/>
    <s v="H009"/>
    <s v="CH01"/>
    <d v="2026-02-19T00:00:00"/>
    <d v="2026-03-05T00:00:00"/>
    <x v="2"/>
    <n v="3934"/>
    <x v="2"/>
    <b v="0"/>
    <x v="3"/>
    <x v="3"/>
    <n v="2026"/>
    <n v="3"/>
    <n v="2"/>
    <n v="2026"/>
    <n v="3"/>
    <s v="No"/>
    <x v="2"/>
    <s v="India"/>
    <x v="0"/>
    <s v="StayNest Airport"/>
    <x v="9"/>
    <s v="Business"/>
    <n v="160"/>
    <x v="5"/>
    <s v="Direct"/>
    <d v="2026-03-05T00:00:00"/>
    <s v="No"/>
    <s v="No"/>
    <s v="Shoulder"/>
    <x v="1"/>
    <n v="0"/>
    <s v="8–30 days"/>
  </r>
  <r>
    <s v="B001596"/>
    <s v="G00319"/>
    <s v="H004"/>
    <s v="CH06"/>
    <d v="2025-10-13T00:00:00"/>
    <d v="2025-10-16T00:00:00"/>
    <x v="0"/>
    <n v="3620"/>
    <x v="2"/>
    <b v="0"/>
    <x v="6"/>
    <x v="11"/>
    <n v="2025"/>
    <n v="3"/>
    <n v="10"/>
    <n v="2025"/>
    <n v="0"/>
    <s v="No"/>
    <x v="1"/>
    <s v="United Kingdom"/>
    <x v="1"/>
    <s v="StayNest Lakeview"/>
    <x v="2"/>
    <s v="Resort"/>
    <n v="75"/>
    <x v="0"/>
    <s v="Retention"/>
    <d v="2025-10-16T00:00:00"/>
    <s v="No"/>
    <s v="No"/>
    <s v="Shoulder"/>
    <x v="1"/>
    <n v="0"/>
    <s v="0–7 days"/>
  </r>
  <r>
    <s v="B001597"/>
    <s v="G00541"/>
    <s v="H007"/>
    <s v="CH01"/>
    <d v="2025-09-03T00:00:00"/>
    <d v="2025-10-03T00:00:00"/>
    <x v="2"/>
    <n v="2988"/>
    <x v="0"/>
    <b v="0"/>
    <x v="2"/>
    <x v="11"/>
    <n v="2025"/>
    <n v="4"/>
    <n v="9"/>
    <n v="2025"/>
    <n v="2"/>
    <s v="No"/>
    <x v="3"/>
    <s v="United Kingdom"/>
    <x v="0"/>
    <s v="StayNest Tech Park"/>
    <x v="6"/>
    <s v="Business"/>
    <n v="140"/>
    <x v="5"/>
    <s v="Direct"/>
    <d v="2025-10-03T00:00:00"/>
    <s v="No"/>
    <s v="No"/>
    <s v="Shoulder"/>
    <x v="1"/>
    <n v="0"/>
    <s v="8–30 days"/>
  </r>
  <r>
    <s v="B001598"/>
    <s v="G00609"/>
    <s v="H008"/>
    <s v="CH05"/>
    <d v="2026-08-30T00:00:00"/>
    <d v="2026-09-29T00:00:00"/>
    <x v="2"/>
    <n v="18088"/>
    <x v="0"/>
    <b v="1"/>
    <x v="2"/>
    <x v="10"/>
    <n v="2026"/>
    <n v="1"/>
    <n v="8"/>
    <n v="2026"/>
    <n v="6"/>
    <s v="No"/>
    <x v="2"/>
    <s v="India"/>
    <x v="0"/>
    <s v="StayNest Palace"/>
    <x v="7"/>
    <s v="Heritage"/>
    <n v="85"/>
    <x v="2"/>
    <s v="Corporate Rate"/>
    <d v="2026-09-29T00:00:00"/>
    <s v="No"/>
    <s v="No"/>
    <s v="Shoulder"/>
    <x v="1"/>
    <n v="0"/>
    <s v="8–30 days"/>
  </r>
  <r>
    <s v="B001599"/>
    <s v="G00120"/>
    <s v="H004"/>
    <s v="CH01"/>
    <d v="2026-05-24T00:00:00"/>
    <d v="2026-07-23T00:00:00"/>
    <x v="1"/>
    <n v="8623"/>
    <x v="2"/>
    <b v="0"/>
    <x v="1"/>
    <x v="8"/>
    <n v="2026"/>
    <n v="3"/>
    <n v="5"/>
    <n v="2026"/>
    <n v="6"/>
    <s v="No"/>
    <x v="1"/>
    <s v="India"/>
    <x v="0"/>
    <s v="StayNest Lakeview"/>
    <x v="2"/>
    <s v="Resort"/>
    <n v="75"/>
    <x v="5"/>
    <s v="Direct"/>
    <d v="2026-07-23T00:00:00"/>
    <s v="No"/>
    <s v="No"/>
    <s v="Off-Peak"/>
    <x v="1"/>
    <n v="0"/>
    <s v="31–90 days"/>
  </r>
  <r>
    <s v="B001600"/>
    <s v="G00364"/>
    <s v="H011"/>
    <s v="CH06"/>
    <d v="2026-09-24T00:00:00"/>
    <d v="2027-05-02T00:00:00"/>
    <x v="2"/>
    <n v="2729"/>
    <x v="0"/>
    <b v="0"/>
    <x v="8"/>
    <x v="9"/>
    <n v="2027"/>
    <n v="6"/>
    <n v="9"/>
    <n v="2026"/>
    <n v="3"/>
    <s v="Yes"/>
    <x v="1"/>
    <s v="UAE"/>
    <x v="1"/>
    <s v="StayNest Grand"/>
    <x v="8"/>
    <s v="Business"/>
    <n v="110"/>
    <x v="0"/>
    <s v="Retention"/>
    <m/>
    <s v="Unknown"/>
    <s v="Unknown"/>
    <s v="Unknown"/>
    <x v="0"/>
    <n v="0"/>
    <s v="181+ days"/>
  </r>
  <r>
    <s v="B001601"/>
    <s v="G00537"/>
    <s v="H006"/>
    <s v="CH03"/>
    <d v="2025-01-10T00:00:00"/>
    <d v="2025-02-09T00:00:00"/>
    <x v="2"/>
    <n v="4162"/>
    <x v="1"/>
    <b v="0"/>
    <x v="2"/>
    <x v="0"/>
    <n v="2025"/>
    <n v="6"/>
    <n v="1"/>
    <n v="2025"/>
    <n v="4"/>
    <s v="Yes"/>
    <x v="1"/>
    <s v="India"/>
    <x v="0"/>
    <s v="StayNest Beach"/>
    <x v="3"/>
    <s v="Resort"/>
    <n v="100"/>
    <x v="1"/>
    <s v="OTA Promo"/>
    <d v="2025-02-09T00:00:00"/>
    <s v="Yes"/>
    <s v="No"/>
    <s v="Shoulder"/>
    <x v="1"/>
    <n v="1"/>
    <s v="8–30 days"/>
  </r>
  <r>
    <s v="B001602"/>
    <s v="G00123"/>
    <s v="H001"/>
    <s v="CH04"/>
    <d v="2025-06-20T00:00:00"/>
    <d v="2025-07-20T00:00:00"/>
    <x v="1"/>
    <n v="5563"/>
    <x v="0"/>
    <b v="0"/>
    <x v="2"/>
    <x v="8"/>
    <n v="2025"/>
    <n v="6"/>
    <n v="6"/>
    <n v="2025"/>
    <n v="4"/>
    <s v="Yes"/>
    <x v="1"/>
    <s v="United States"/>
    <x v="1"/>
    <s v="StayNest Marina"/>
    <x v="1"/>
    <s v="Business"/>
    <n v="120"/>
    <x v="4"/>
    <s v="Partner"/>
    <d v="2025-07-20T00:00:00"/>
    <s v="Yes"/>
    <s v="No"/>
    <s v="Off-Peak"/>
    <x v="1"/>
    <n v="0"/>
    <s v="8–30 days"/>
  </r>
  <r>
    <s v="B001603"/>
    <s v="G00233"/>
    <s v="H008"/>
    <s v="CH01"/>
    <d v="2026-03-02T00:00:00"/>
    <d v="2026-03-05T00:00:00"/>
    <x v="2"/>
    <n v="3613"/>
    <x v="0"/>
    <b v="0"/>
    <x v="6"/>
    <x v="3"/>
    <n v="2026"/>
    <n v="3"/>
    <n v="3"/>
    <n v="2026"/>
    <n v="0"/>
    <s v="No"/>
    <x v="0"/>
    <s v="Germany"/>
    <x v="0"/>
    <s v="StayNest Palace"/>
    <x v="7"/>
    <s v="Heritage"/>
    <n v="85"/>
    <x v="5"/>
    <s v="Direct"/>
    <d v="2026-03-05T00:00:00"/>
    <s v="No"/>
    <s v="No"/>
    <s v="Shoulder"/>
    <x v="1"/>
    <n v="0"/>
    <s v="0–7 days"/>
  </r>
  <r>
    <s v="B001604"/>
    <s v="G00208"/>
    <s v="H011"/>
    <s v="CH05"/>
    <d v="2026-08-26T00:00:00"/>
    <d v="2026-09-25T00:00:00"/>
    <x v="1"/>
    <n v="7193"/>
    <x v="0"/>
    <b v="0"/>
    <x v="2"/>
    <x v="10"/>
    <n v="2026"/>
    <n v="4"/>
    <n v="8"/>
    <n v="2026"/>
    <n v="2"/>
    <s v="No"/>
    <x v="1"/>
    <s v="India"/>
    <x v="1"/>
    <s v="StayNest Grand"/>
    <x v="8"/>
    <s v="Business"/>
    <n v="110"/>
    <x v="2"/>
    <s v="Corporate Rate"/>
    <d v="2026-09-25T00:00:00"/>
    <s v="No"/>
    <s v="No"/>
    <s v="Shoulder"/>
    <x v="1"/>
    <n v="0"/>
    <s v="8–30 days"/>
  </r>
  <r>
    <s v="B001605"/>
    <s v="G00459"/>
    <s v="H007"/>
    <s v="CH05"/>
    <d v="2025-04-19T00:00:00"/>
    <d v="2025-07-28T00:00:00"/>
    <x v="2"/>
    <n v="3834"/>
    <x v="0"/>
    <b v="0"/>
    <x v="0"/>
    <x v="8"/>
    <n v="2025"/>
    <n v="0"/>
    <n v="4"/>
    <n v="2025"/>
    <n v="5"/>
    <s v="No"/>
    <x v="1"/>
    <s v="India"/>
    <x v="1"/>
    <s v="StayNest Tech Park"/>
    <x v="6"/>
    <s v="Business"/>
    <n v="140"/>
    <x v="2"/>
    <s v="Corporate Rate"/>
    <d v="2025-07-28T00:00:00"/>
    <s v="No"/>
    <s v="No"/>
    <s v="Off-Peak"/>
    <x v="1"/>
    <n v="0"/>
    <s v="91–180 days"/>
  </r>
  <r>
    <s v="B001606"/>
    <s v="G00361"/>
    <s v="H008"/>
    <s v="CH05"/>
    <d v="2025-02-02T00:00:00"/>
    <d v="2025-02-03T00:00:00"/>
    <x v="3"/>
    <n v="8247"/>
    <x v="3"/>
    <b v="0"/>
    <x v="7"/>
    <x v="0"/>
    <n v="2025"/>
    <n v="0"/>
    <n v="2"/>
    <n v="2025"/>
    <n v="6"/>
    <s v="No"/>
    <x v="3"/>
    <s v="Unknown"/>
    <x v="0"/>
    <s v="StayNest Palace"/>
    <x v="7"/>
    <s v="Heritage"/>
    <n v="85"/>
    <x v="2"/>
    <s v="Corporate Rate"/>
    <d v="2025-02-03T00:00:00"/>
    <s v="No"/>
    <s v="No"/>
    <s v="Shoulder"/>
    <x v="1"/>
    <n v="0"/>
    <s v="0–7 days"/>
  </r>
  <r>
    <s v="B001607"/>
    <s v="G00125"/>
    <s v="H007"/>
    <s v="CH05"/>
    <d v="2025-02-08T00:00:00"/>
    <d v="2025-04-09T00:00:00"/>
    <x v="1"/>
    <n v="6443"/>
    <x v="2"/>
    <b v="0"/>
    <x v="1"/>
    <x v="2"/>
    <n v="2025"/>
    <n v="2"/>
    <n v="2"/>
    <n v="2025"/>
    <n v="5"/>
    <s v="No"/>
    <x v="0"/>
    <s v="India"/>
    <x v="0"/>
    <s v="StayNest Tech Park"/>
    <x v="6"/>
    <s v="Business"/>
    <n v="140"/>
    <x v="2"/>
    <s v="Corporate Rate"/>
    <d v="2025-04-09T00:00:00"/>
    <s v="No"/>
    <s v="No"/>
    <s v="Peak"/>
    <x v="1"/>
    <n v="0"/>
    <s v="31–90 days"/>
  </r>
  <r>
    <s v="B001608"/>
    <s v="G00021"/>
    <s v="H007"/>
    <s v="CH04"/>
    <d v="2026-11-30T00:00:00"/>
    <d v="2027-01-29T00:00:00"/>
    <x v="2"/>
    <n v="3469"/>
    <x v="0"/>
    <b v="0"/>
    <x v="1"/>
    <x v="6"/>
    <n v="2027"/>
    <n v="4"/>
    <n v="11"/>
    <n v="2026"/>
    <n v="0"/>
    <s v="No"/>
    <x v="2"/>
    <s v="India"/>
    <x v="0"/>
    <s v="StayNest Tech Park"/>
    <x v="6"/>
    <s v="Business"/>
    <n v="140"/>
    <x v="4"/>
    <s v="Partner"/>
    <m/>
    <s v="Unknown"/>
    <s v="Unknown"/>
    <s v="Unknown"/>
    <x v="0"/>
    <n v="0"/>
    <s v="31–90 days"/>
  </r>
  <r>
    <s v="B001609"/>
    <s v="G00146"/>
    <s v="H002"/>
    <s v="CH03"/>
    <d v="2025-02-26T00:00:00"/>
    <d v="2025-04-27T00:00:00"/>
    <x v="1"/>
    <n v="26485"/>
    <x v="1"/>
    <b v="0"/>
    <x v="1"/>
    <x v="2"/>
    <n v="2025"/>
    <n v="6"/>
    <n v="2"/>
    <n v="2025"/>
    <n v="2"/>
    <s v="Yes"/>
    <x v="1"/>
    <s v="India"/>
    <x v="0"/>
    <s v="StayNest Central"/>
    <x v="0"/>
    <s v="Business"/>
    <n v="150"/>
    <x v="1"/>
    <s v="OTA Promo"/>
    <d v="2025-04-27T00:00:00"/>
    <s v="Yes"/>
    <s v="No"/>
    <s v="Peak"/>
    <x v="1"/>
    <n v="1"/>
    <s v="31–90 days"/>
  </r>
  <r>
    <s v="B001610"/>
    <s v="G00373"/>
    <s v="H001"/>
    <s v="CH06"/>
    <d v="2026-06-20T00:00:00"/>
    <d v="2026-08-19T00:00:00"/>
    <x v="0"/>
    <n v="4367"/>
    <x v="0"/>
    <b v="0"/>
    <x v="1"/>
    <x v="7"/>
    <n v="2026"/>
    <n v="2"/>
    <n v="6"/>
    <n v="2026"/>
    <n v="5"/>
    <s v="No"/>
    <x v="1"/>
    <s v="United Kingdom"/>
    <x v="0"/>
    <s v="StayNest Marina"/>
    <x v="1"/>
    <s v="Business"/>
    <n v="120"/>
    <x v="0"/>
    <s v="Retention"/>
    <d v="2026-08-19T00:00:00"/>
    <s v="No"/>
    <s v="No"/>
    <s v="Off-Peak"/>
    <x v="1"/>
    <n v="0"/>
    <s v="31–90 days"/>
  </r>
  <r>
    <s v="B001611"/>
    <s v="G00555"/>
    <s v="H005"/>
    <s v="CH05"/>
    <d v="2025-03-09T00:00:00"/>
    <d v="2025-03-16T00:00:00"/>
    <x v="2"/>
    <n v="4069"/>
    <x v="1"/>
    <b v="0"/>
    <x v="4"/>
    <x v="3"/>
    <n v="2025"/>
    <n v="6"/>
    <n v="3"/>
    <n v="2025"/>
    <n v="6"/>
    <s v="Yes"/>
    <x v="1"/>
    <s v="India"/>
    <x v="0"/>
    <s v="StayNest Heritage"/>
    <x v="11"/>
    <s v="Heritage"/>
    <n v="90"/>
    <x v="2"/>
    <s v="Corporate Rate"/>
    <d v="2025-03-16T00:00:00"/>
    <s v="Yes"/>
    <s v="No"/>
    <s v="Shoulder"/>
    <x v="1"/>
    <n v="1"/>
    <s v="0–7 days"/>
  </r>
  <r>
    <s v="B001612"/>
    <s v="G00016"/>
    <s v="H006"/>
    <s v="CH02"/>
    <d v="2025-02-17T00:00:00"/>
    <d v="2025-02-20T00:00:00"/>
    <x v="3"/>
    <n v="9487"/>
    <x v="0"/>
    <b v="0"/>
    <x v="6"/>
    <x v="0"/>
    <n v="2025"/>
    <n v="3"/>
    <n v="2"/>
    <n v="2025"/>
    <n v="0"/>
    <s v="No"/>
    <x v="1"/>
    <s v="India"/>
    <x v="0"/>
    <s v="StayNest Beach"/>
    <x v="3"/>
    <s v="Resort"/>
    <n v="100"/>
    <x v="3"/>
    <s v="App Push"/>
    <d v="2025-02-20T00:00:00"/>
    <s v="No"/>
    <s v="No"/>
    <s v="Shoulder"/>
    <x v="1"/>
    <n v="0"/>
    <s v="0–7 days"/>
  </r>
  <r>
    <s v="B001613"/>
    <s v="G00298"/>
    <s v="H007"/>
    <s v="CH06"/>
    <d v="2025-09-08T00:00:00"/>
    <d v="2025-09-15T00:00:00"/>
    <x v="3"/>
    <n v="36215"/>
    <x v="2"/>
    <b v="0"/>
    <x v="4"/>
    <x v="10"/>
    <n v="2025"/>
    <n v="0"/>
    <n v="9"/>
    <n v="2025"/>
    <n v="0"/>
    <s v="No"/>
    <x v="3"/>
    <s v="India"/>
    <x v="0"/>
    <s v="StayNest Tech Park"/>
    <x v="6"/>
    <s v="Business"/>
    <n v="140"/>
    <x v="0"/>
    <s v="Retention"/>
    <d v="2025-09-15T00:00:00"/>
    <s v="No"/>
    <s v="No"/>
    <s v="Shoulder"/>
    <x v="1"/>
    <n v="0"/>
    <s v="0–7 days"/>
  </r>
  <r>
    <s v="B001614"/>
    <s v="G00283"/>
    <s v="H008"/>
    <s v="CH04"/>
    <d v="2025-09-23T00:00:00"/>
    <d v="2025-11-22T00:00:00"/>
    <x v="0"/>
    <n v="5897"/>
    <x v="0"/>
    <b v="0"/>
    <x v="1"/>
    <x v="4"/>
    <n v="2025"/>
    <n v="5"/>
    <n v="9"/>
    <n v="2025"/>
    <n v="1"/>
    <s v="Yes"/>
    <x v="3"/>
    <s v="India"/>
    <x v="0"/>
    <s v="StayNest Palace"/>
    <x v="7"/>
    <s v="Heritage"/>
    <n v="85"/>
    <x v="4"/>
    <s v="Partner"/>
    <d v="2025-11-22T00:00:00"/>
    <s v="Yes"/>
    <s v="No"/>
    <s v="Off-Peak"/>
    <x v="1"/>
    <n v="0"/>
    <s v="31–90 days"/>
  </r>
  <r>
    <s v="B001615"/>
    <s v="G00346"/>
    <s v="H006"/>
    <s v="CH06"/>
    <d v="2025-04-24T00:00:00"/>
    <d v="2025-04-27T00:00:00"/>
    <x v="2"/>
    <n v="4058"/>
    <x v="0"/>
    <b v="0"/>
    <x v="6"/>
    <x v="2"/>
    <n v="2025"/>
    <n v="6"/>
    <n v="4"/>
    <n v="2025"/>
    <n v="3"/>
    <s v="Yes"/>
    <x v="0"/>
    <s v="India"/>
    <x v="0"/>
    <s v="StayNest Beach"/>
    <x v="3"/>
    <s v="Resort"/>
    <n v="100"/>
    <x v="0"/>
    <s v="Retention"/>
    <d v="2025-04-27T00:00:00"/>
    <s v="Yes"/>
    <s v="No"/>
    <s v="Peak"/>
    <x v="1"/>
    <n v="0"/>
    <s v="0–7 days"/>
  </r>
  <r>
    <s v="B001616"/>
    <s v="G00577"/>
    <s v="H008"/>
    <s v="CH05"/>
    <d v="2025-04-11T00:00:00"/>
    <d v="2025-04-25T00:00:00"/>
    <x v="3"/>
    <n v="12000"/>
    <x v="2"/>
    <b v="0"/>
    <x v="3"/>
    <x v="2"/>
    <n v="2025"/>
    <n v="4"/>
    <n v="4"/>
    <n v="2025"/>
    <n v="4"/>
    <s v="No"/>
    <x v="3"/>
    <s v="India"/>
    <x v="0"/>
    <s v="StayNest Palace"/>
    <x v="7"/>
    <s v="Heritage"/>
    <n v="85"/>
    <x v="2"/>
    <s v="Corporate Rate"/>
    <d v="2025-04-25T00:00:00"/>
    <s v="No"/>
    <s v="No"/>
    <s v="Peak"/>
    <x v="1"/>
    <n v="0"/>
    <s v="8–30 days"/>
  </r>
  <r>
    <s v="B001617"/>
    <s v="G00020"/>
    <s v="H003"/>
    <s v="CH03"/>
    <d v="2025-10-27T00:00:00"/>
    <d v="2025-11-10T00:00:00"/>
    <x v="3"/>
    <n v="10338"/>
    <x v="1"/>
    <b v="0"/>
    <x v="3"/>
    <x v="4"/>
    <n v="2025"/>
    <n v="0"/>
    <n v="10"/>
    <n v="2025"/>
    <n v="0"/>
    <s v="No"/>
    <x v="0"/>
    <s v="India"/>
    <x v="0"/>
    <s v="StayNest Hills"/>
    <x v="5"/>
    <s v="Resort"/>
    <n v="80"/>
    <x v="1"/>
    <s v="OTA Promo"/>
    <d v="2025-11-10T00:00:00"/>
    <s v="No"/>
    <s v="No"/>
    <s v="Off-Peak"/>
    <x v="1"/>
    <n v="1"/>
    <s v="8–30 days"/>
  </r>
  <r>
    <s v="B001618"/>
    <s v="G00105"/>
    <s v="H001"/>
    <s v="CH04"/>
    <d v="2025-07-28T00:00:00"/>
    <d v="2025-07-29T00:00:00"/>
    <x v="1"/>
    <n v="8091"/>
    <x v="0"/>
    <b v="0"/>
    <x v="7"/>
    <x v="8"/>
    <n v="2025"/>
    <n v="1"/>
    <n v="7"/>
    <n v="2025"/>
    <n v="0"/>
    <s v="No"/>
    <x v="1"/>
    <s v="India"/>
    <x v="0"/>
    <s v="StayNest Marina"/>
    <x v="1"/>
    <s v="Business"/>
    <n v="120"/>
    <x v="4"/>
    <s v="Partner"/>
    <d v="2025-07-29T00:00:00"/>
    <s v="No"/>
    <s v="No"/>
    <s v="Off-Peak"/>
    <x v="1"/>
    <n v="0"/>
    <s v="0–7 days"/>
  </r>
  <r>
    <s v="B001619"/>
    <s v="G00236"/>
    <s v="H008"/>
    <s v="CH06"/>
    <d v="2025-03-04T00:00:00"/>
    <d v="2025-03-11T00:00:00"/>
    <x v="1"/>
    <n v="5065"/>
    <x v="0"/>
    <b v="0"/>
    <x v="4"/>
    <x v="3"/>
    <n v="2025"/>
    <n v="1"/>
    <n v="3"/>
    <n v="2025"/>
    <n v="1"/>
    <s v="No"/>
    <x v="1"/>
    <s v="United States"/>
    <x v="0"/>
    <s v="StayNest Palace"/>
    <x v="7"/>
    <s v="Heritage"/>
    <n v="85"/>
    <x v="0"/>
    <s v="Retention"/>
    <d v="2025-03-11T00:00:00"/>
    <s v="No"/>
    <s v="No"/>
    <s v="Shoulder"/>
    <x v="1"/>
    <n v="0"/>
    <s v="0–7 days"/>
  </r>
  <r>
    <s v="B001620"/>
    <s v="G00075"/>
    <s v="H005"/>
    <s v="CH05"/>
    <d v="2025-11-29T00:00:00"/>
    <d v="2026-01-28T00:00:00"/>
    <x v="0"/>
    <n v="4163"/>
    <x v="0"/>
    <b v="0"/>
    <x v="1"/>
    <x v="6"/>
    <n v="2026"/>
    <n v="2"/>
    <n v="11"/>
    <n v="2025"/>
    <n v="5"/>
    <s v="No"/>
    <x v="3"/>
    <s v="United States"/>
    <x v="1"/>
    <s v="StayNest Heritage"/>
    <x v="11"/>
    <s v="Heritage"/>
    <n v="90"/>
    <x v="2"/>
    <s v="Corporate Rate"/>
    <d v="2026-01-28T00:00:00"/>
    <s v="No"/>
    <s v="No"/>
    <s v="Off-Peak"/>
    <x v="1"/>
    <n v="0"/>
    <s v="31–90 days"/>
  </r>
  <r>
    <s v="B001621"/>
    <s v="G00541"/>
    <s v="H007"/>
    <s v="CH02"/>
    <d v="2026-04-07T00:00:00"/>
    <d v="2026-04-14T00:00:00"/>
    <x v="3"/>
    <n v="10011"/>
    <x v="2"/>
    <b v="0"/>
    <x v="4"/>
    <x v="2"/>
    <n v="2026"/>
    <n v="1"/>
    <n v="4"/>
    <n v="2026"/>
    <n v="1"/>
    <s v="No"/>
    <x v="3"/>
    <s v="United Kingdom"/>
    <x v="0"/>
    <s v="StayNest Tech Park"/>
    <x v="6"/>
    <s v="Business"/>
    <n v="140"/>
    <x v="3"/>
    <s v="App Push"/>
    <d v="2026-04-14T00:00:00"/>
    <s v="No"/>
    <s v="No"/>
    <s v="Peak"/>
    <x v="2"/>
    <n v="0"/>
    <s v="0–7 days"/>
  </r>
  <r>
    <s v="B001622"/>
    <s v="G00212"/>
    <s v="H003"/>
    <s v="CH04"/>
    <d v="2025-03-11T00:00:00"/>
    <d v="2025-06-19T00:00:00"/>
    <x v="0"/>
    <n v="5746"/>
    <x v="1"/>
    <b v="0"/>
    <x v="0"/>
    <x v="1"/>
    <n v="2025"/>
    <n v="3"/>
    <n v="3"/>
    <n v="2025"/>
    <n v="1"/>
    <s v="No"/>
    <x v="1"/>
    <s v="India"/>
    <x v="1"/>
    <s v="StayNest Hills"/>
    <x v="5"/>
    <s v="Resort"/>
    <n v="80"/>
    <x v="4"/>
    <s v="Partner"/>
    <d v="2025-06-19T00:00:00"/>
    <s v="No"/>
    <s v="No"/>
    <s v="Shoulder"/>
    <x v="1"/>
    <n v="1"/>
    <s v="91–180 days"/>
  </r>
  <r>
    <s v="B001623"/>
    <s v="G00619"/>
    <s v="H003"/>
    <s v="CH02"/>
    <d v="2026-06-26T00:00:00"/>
    <d v="2026-07-10T00:00:00"/>
    <x v="1"/>
    <n v="8265"/>
    <x v="0"/>
    <b v="0"/>
    <x v="3"/>
    <x v="8"/>
    <n v="2026"/>
    <n v="4"/>
    <n v="6"/>
    <n v="2026"/>
    <n v="4"/>
    <s v="No"/>
    <x v="0"/>
    <s v="India"/>
    <x v="0"/>
    <s v="StayNest Hills"/>
    <x v="5"/>
    <s v="Resort"/>
    <n v="80"/>
    <x v="3"/>
    <s v="App Push"/>
    <d v="2026-07-10T00:00:00"/>
    <s v="No"/>
    <s v="No"/>
    <s v="Off-Peak"/>
    <x v="1"/>
    <n v="0"/>
    <s v="8–30 days"/>
  </r>
  <r>
    <s v="B001624"/>
    <s v="G00403"/>
    <s v="H010"/>
    <s v="CH06"/>
    <d v="2025-08-28T00:00:00"/>
    <d v="2025-08-31T00:00:00"/>
    <x v="3"/>
    <n v="8627"/>
    <x v="1"/>
    <b v="0"/>
    <x v="6"/>
    <x v="7"/>
    <n v="2025"/>
    <n v="6"/>
    <n v="8"/>
    <n v="2025"/>
    <n v="3"/>
    <s v="Yes"/>
    <x v="1"/>
    <s v="India"/>
    <x v="1"/>
    <s v="StayNest Garden"/>
    <x v="10"/>
    <s v="Boutique"/>
    <n v="70"/>
    <x v="0"/>
    <s v="Retention"/>
    <d v="2025-08-31T00:00:00"/>
    <s v="Yes"/>
    <s v="No"/>
    <s v="Off-Peak"/>
    <x v="1"/>
    <n v="1"/>
    <s v="0–7 days"/>
  </r>
  <r>
    <s v="B001625"/>
    <s v="G00538"/>
    <s v="H010"/>
    <s v="CH02"/>
    <d v="2026-05-01T00:00:00"/>
    <d v="2026-05-08T00:00:00"/>
    <x v="1"/>
    <n v="8496"/>
    <x v="2"/>
    <b v="0"/>
    <x v="4"/>
    <x v="9"/>
    <n v="2026"/>
    <n v="4"/>
    <n v="5"/>
    <n v="2026"/>
    <n v="4"/>
    <s v="No"/>
    <x v="3"/>
    <s v="India"/>
    <x v="0"/>
    <s v="StayNest Garden"/>
    <x v="10"/>
    <s v="Boutique"/>
    <n v="70"/>
    <x v="3"/>
    <s v="App Push"/>
    <d v="2026-05-08T00:00:00"/>
    <s v="No"/>
    <s v="No"/>
    <s v="Peak"/>
    <x v="1"/>
    <n v="0"/>
    <s v="0–7 days"/>
  </r>
  <r>
    <s v="B001626"/>
    <s v="G00322"/>
    <s v="H004"/>
    <s v="CH06"/>
    <d v="2026-11-03T00:00:00"/>
    <d v="2027-01-02T00:00:00"/>
    <x v="1"/>
    <n v="7438"/>
    <x v="0"/>
    <b v="0"/>
    <x v="1"/>
    <x v="6"/>
    <n v="2027"/>
    <n v="5"/>
    <n v="11"/>
    <n v="2026"/>
    <n v="1"/>
    <s v="Yes"/>
    <x v="2"/>
    <s v="India"/>
    <x v="1"/>
    <s v="StayNest Lakeview"/>
    <x v="2"/>
    <s v="Resort"/>
    <n v="75"/>
    <x v="0"/>
    <s v="Retention"/>
    <m/>
    <s v="Unknown"/>
    <s v="Unknown"/>
    <s v="Unknown"/>
    <x v="0"/>
    <n v="0"/>
    <s v="31–90 days"/>
  </r>
  <r>
    <s v="B001627"/>
    <s v="G00261"/>
    <s v="H003"/>
    <s v="CH04"/>
    <d v="2025-03-20T00:00:00"/>
    <d v="2025-04-19T00:00:00"/>
    <x v="2"/>
    <n v="3902"/>
    <x v="2"/>
    <b v="0"/>
    <x v="2"/>
    <x v="2"/>
    <n v="2025"/>
    <n v="5"/>
    <n v="3"/>
    <n v="2025"/>
    <n v="3"/>
    <s v="Yes"/>
    <x v="0"/>
    <s v="India"/>
    <x v="0"/>
    <s v="StayNest Hills"/>
    <x v="5"/>
    <s v="Resort"/>
    <n v="80"/>
    <x v="4"/>
    <s v="Partner"/>
    <d v="2025-04-19T00:00:00"/>
    <s v="Yes"/>
    <s v="No"/>
    <s v="Peak"/>
    <x v="1"/>
    <n v="0"/>
    <s v="8–30 days"/>
  </r>
  <r>
    <s v="B001629"/>
    <s v="G00380"/>
    <s v="H011"/>
    <s v="CH04"/>
    <d v="2026-03-13T00:00:00"/>
    <d v="2026-04-12T00:00:00"/>
    <x v="1"/>
    <n v="8192"/>
    <x v="0"/>
    <b v="0"/>
    <x v="2"/>
    <x v="2"/>
    <n v="2026"/>
    <n v="6"/>
    <n v="3"/>
    <n v="2026"/>
    <n v="4"/>
    <s v="Yes"/>
    <x v="1"/>
    <s v="India"/>
    <x v="1"/>
    <s v="StayNest Grand"/>
    <x v="8"/>
    <s v="Business"/>
    <n v="110"/>
    <x v="4"/>
    <s v="Partner"/>
    <d v="2026-04-12T00:00:00"/>
    <s v="Yes"/>
    <s v="No"/>
    <s v="Peak"/>
    <x v="1"/>
    <n v="0"/>
    <s v="8–30 days"/>
  </r>
  <r>
    <s v="B001630"/>
    <s v="G00117"/>
    <s v="H005"/>
    <s v="CH03"/>
    <d v="2026-07-20T00:00:00"/>
    <d v="2026-08-03T00:00:00"/>
    <x v="0"/>
    <n v="4219"/>
    <x v="0"/>
    <b v="0"/>
    <x v="3"/>
    <x v="7"/>
    <n v="2026"/>
    <n v="0"/>
    <n v="7"/>
    <n v="2026"/>
    <n v="0"/>
    <s v="No"/>
    <x v="0"/>
    <s v="India"/>
    <x v="0"/>
    <s v="StayNest Heritage"/>
    <x v="11"/>
    <s v="Heritage"/>
    <n v="90"/>
    <x v="1"/>
    <s v="OTA Promo"/>
    <d v="2026-08-03T00:00:00"/>
    <s v="No"/>
    <s v="No"/>
    <s v="Off-Peak"/>
    <x v="1"/>
    <n v="0"/>
    <s v="8–30 days"/>
  </r>
  <r>
    <s v="B001631"/>
    <s v="G00184"/>
    <s v="H003"/>
    <s v="CH01"/>
    <d v="2025-07-04T00:00:00"/>
    <d v="2025-09-02T00:00:00"/>
    <x v="2"/>
    <n v="4023"/>
    <x v="0"/>
    <b v="0"/>
    <x v="1"/>
    <x v="10"/>
    <n v="2025"/>
    <n v="1"/>
    <n v="7"/>
    <n v="2025"/>
    <n v="4"/>
    <s v="No"/>
    <x v="1"/>
    <s v="United States"/>
    <x v="0"/>
    <s v="StayNest Hills"/>
    <x v="5"/>
    <s v="Resort"/>
    <n v="80"/>
    <x v="5"/>
    <s v="Direct"/>
    <d v="2025-09-02T00:00:00"/>
    <s v="No"/>
    <s v="No"/>
    <s v="Shoulder"/>
    <x v="1"/>
    <n v="0"/>
    <s v="31–90 days"/>
  </r>
  <r>
    <s v="B001632"/>
    <s v="G00433"/>
    <s v="H009"/>
    <s v="CH01"/>
    <d v="2025-03-15T00:00:00"/>
    <d v="2025-03-29T00:00:00"/>
    <x v="2"/>
    <n v="3851"/>
    <x v="0"/>
    <b v="0"/>
    <x v="3"/>
    <x v="3"/>
    <n v="2025"/>
    <n v="5"/>
    <n v="3"/>
    <n v="2025"/>
    <n v="5"/>
    <s v="Yes"/>
    <x v="2"/>
    <s v="India"/>
    <x v="0"/>
    <s v="StayNest Airport"/>
    <x v="9"/>
    <s v="Business"/>
    <n v="160"/>
    <x v="5"/>
    <s v="Direct"/>
    <d v="2025-03-29T00:00:00"/>
    <s v="Yes"/>
    <s v="No"/>
    <s v="Shoulder"/>
    <x v="1"/>
    <n v="0"/>
    <s v="8–30 days"/>
  </r>
  <r>
    <s v="B001633"/>
    <s v="G00351"/>
    <s v="H011"/>
    <s v="CH01"/>
    <d v="2025-02-03T00:00:00"/>
    <d v="2025-02-10T00:00:00"/>
    <x v="0"/>
    <n v="5192"/>
    <x v="0"/>
    <b v="0"/>
    <x v="4"/>
    <x v="0"/>
    <n v="2025"/>
    <n v="0"/>
    <n v="2"/>
    <n v="2025"/>
    <n v="0"/>
    <s v="No"/>
    <x v="0"/>
    <s v="Singapore"/>
    <x v="0"/>
    <s v="StayNest Grand"/>
    <x v="8"/>
    <s v="Business"/>
    <n v="110"/>
    <x v="5"/>
    <s v="Direct"/>
    <d v="2025-02-10T00:00:00"/>
    <s v="No"/>
    <s v="No"/>
    <s v="Shoulder"/>
    <x v="1"/>
    <n v="0"/>
    <s v="0–7 days"/>
  </r>
  <r>
    <s v="B001634"/>
    <s v="G00116"/>
    <s v="H008"/>
    <s v="CH02"/>
    <d v="2026-07-31T00:00:00"/>
    <d v="2026-08-07T00:00:00"/>
    <x v="1"/>
    <n v="7211"/>
    <x v="2"/>
    <b v="0"/>
    <x v="4"/>
    <x v="7"/>
    <n v="2026"/>
    <n v="4"/>
    <n v="7"/>
    <n v="2026"/>
    <n v="4"/>
    <s v="No"/>
    <x v="2"/>
    <s v="Germany"/>
    <x v="0"/>
    <s v="StayNest Palace"/>
    <x v="7"/>
    <s v="Heritage"/>
    <n v="85"/>
    <x v="3"/>
    <s v="App Push"/>
    <d v="2026-08-07T00:00:00"/>
    <s v="No"/>
    <s v="No"/>
    <s v="Off-Peak"/>
    <x v="1"/>
    <n v="0"/>
    <s v="0–7 days"/>
  </r>
  <r>
    <s v="B001635"/>
    <s v="G00333"/>
    <s v="H005"/>
    <s v="CH01"/>
    <d v="2025-06-10T00:00:00"/>
    <d v="2025-09-18T00:00:00"/>
    <x v="3"/>
    <n v="8293"/>
    <x v="1"/>
    <b v="0"/>
    <x v="0"/>
    <x v="10"/>
    <n v="2025"/>
    <n v="3"/>
    <n v="6"/>
    <n v="2025"/>
    <n v="1"/>
    <s v="No"/>
    <x v="1"/>
    <s v="India"/>
    <x v="0"/>
    <s v="StayNest Heritage"/>
    <x v="11"/>
    <s v="Heritage"/>
    <n v="90"/>
    <x v="5"/>
    <s v="Direct"/>
    <d v="2025-09-18T00:00:00"/>
    <s v="No"/>
    <s v="No"/>
    <s v="Shoulder"/>
    <x v="1"/>
    <n v="1"/>
    <s v="91–180 days"/>
  </r>
  <r>
    <s v="B001636"/>
    <s v="G00162"/>
    <s v="H008"/>
    <s v="CH02"/>
    <d v="2026-07-08T00:00:00"/>
    <d v="2026-10-16T00:00:00"/>
    <x v="0"/>
    <n v="5087"/>
    <x v="1"/>
    <b v="0"/>
    <x v="0"/>
    <x v="11"/>
    <n v="2026"/>
    <n v="4"/>
    <n v="7"/>
    <n v="2026"/>
    <n v="2"/>
    <s v="No"/>
    <x v="0"/>
    <s v="Singapore"/>
    <x v="0"/>
    <s v="StayNest Palace"/>
    <x v="7"/>
    <s v="Heritage"/>
    <n v="85"/>
    <x v="3"/>
    <s v="App Push"/>
    <d v="2026-10-16T00:00:00"/>
    <s v="No"/>
    <s v="No"/>
    <s v="Shoulder"/>
    <x v="1"/>
    <n v="1"/>
    <s v="91–180 days"/>
  </r>
  <r>
    <s v="B001637"/>
    <s v="G00577"/>
    <s v="H007"/>
    <s v="CH01"/>
    <d v="2025-05-09T00:00:00"/>
    <d v="2025-08-17T00:00:00"/>
    <x v="1"/>
    <n v="6858"/>
    <x v="0"/>
    <b v="0"/>
    <x v="0"/>
    <x v="7"/>
    <n v="2025"/>
    <n v="6"/>
    <n v="5"/>
    <n v="2025"/>
    <n v="4"/>
    <s v="Yes"/>
    <x v="3"/>
    <s v="India"/>
    <x v="0"/>
    <s v="StayNest Tech Park"/>
    <x v="6"/>
    <s v="Business"/>
    <n v="140"/>
    <x v="5"/>
    <s v="Direct"/>
    <d v="2025-08-17T00:00:00"/>
    <s v="Yes"/>
    <s v="No"/>
    <s v="Off-Peak"/>
    <x v="1"/>
    <n v="0"/>
    <s v="91–180 days"/>
  </r>
  <r>
    <s v="B001638"/>
    <s v="G00211"/>
    <s v="H010"/>
    <s v="CH04"/>
    <d v="2025-09-29T00:00:00"/>
    <d v="2025-10-29T00:00:00"/>
    <x v="3"/>
    <n v="10642"/>
    <x v="0"/>
    <b v="0"/>
    <x v="2"/>
    <x v="11"/>
    <n v="2025"/>
    <n v="2"/>
    <n v="9"/>
    <n v="2025"/>
    <n v="0"/>
    <s v="No"/>
    <x v="2"/>
    <s v="India"/>
    <x v="0"/>
    <s v="StayNest Garden"/>
    <x v="10"/>
    <s v="Boutique"/>
    <n v="70"/>
    <x v="4"/>
    <s v="Partner"/>
    <d v="2025-10-29T00:00:00"/>
    <s v="No"/>
    <s v="No"/>
    <s v="Shoulder"/>
    <x v="1"/>
    <n v="0"/>
    <s v="8–30 days"/>
  </r>
  <r>
    <s v="B001639"/>
    <s v="G00508"/>
    <s v="H006"/>
    <s v="CH04"/>
    <d v="2025-01-23T00:00:00"/>
    <d v="2025-01-26T00:00:00"/>
    <x v="2"/>
    <n v="3357"/>
    <x v="2"/>
    <b v="0"/>
    <x v="6"/>
    <x v="6"/>
    <n v="2025"/>
    <n v="6"/>
    <n v="1"/>
    <n v="2025"/>
    <n v="3"/>
    <s v="Yes"/>
    <x v="1"/>
    <s v="United States"/>
    <x v="0"/>
    <s v="StayNest Beach"/>
    <x v="3"/>
    <s v="Resort"/>
    <n v="100"/>
    <x v="4"/>
    <s v="Partner"/>
    <d v="2025-01-26T00:00:00"/>
    <s v="Yes"/>
    <s v="Yes"/>
    <s v="Off-Peak"/>
    <x v="1"/>
    <n v="0"/>
    <s v="0–7 days"/>
  </r>
  <r>
    <s v="B001640"/>
    <s v="G00307"/>
    <s v="H004"/>
    <s v="CH05"/>
    <d v="2025-02-03T00:00:00"/>
    <d v="2025-02-10T00:00:00"/>
    <x v="2"/>
    <n v="2661"/>
    <x v="0"/>
    <b v="0"/>
    <x v="4"/>
    <x v="0"/>
    <n v="2025"/>
    <n v="0"/>
    <n v="2"/>
    <n v="2025"/>
    <n v="0"/>
    <s v="No"/>
    <x v="0"/>
    <s v="Unknown"/>
    <x v="0"/>
    <s v="StayNest Lakeview"/>
    <x v="2"/>
    <s v="Resort"/>
    <n v="75"/>
    <x v="2"/>
    <s v="Corporate Rate"/>
    <d v="2025-02-10T00:00:00"/>
    <s v="No"/>
    <s v="No"/>
    <s v="Shoulder"/>
    <x v="1"/>
    <n v="0"/>
    <s v="0–7 days"/>
  </r>
  <r>
    <s v="B001641"/>
    <s v="G00172"/>
    <s v="H004"/>
    <s v="CH03"/>
    <d v="2025-03-10T00:00:00"/>
    <d v="2025-03-11T00:00:00"/>
    <x v="3"/>
    <n v="7429"/>
    <x v="1"/>
    <b v="0"/>
    <x v="7"/>
    <x v="3"/>
    <n v="2025"/>
    <n v="1"/>
    <n v="3"/>
    <n v="2025"/>
    <n v="0"/>
    <s v="No"/>
    <x v="1"/>
    <s v="United States"/>
    <x v="0"/>
    <s v="StayNest Lakeview"/>
    <x v="2"/>
    <s v="Resort"/>
    <n v="75"/>
    <x v="1"/>
    <s v="OTA Promo"/>
    <d v="2025-03-11T00:00:00"/>
    <s v="No"/>
    <s v="No"/>
    <s v="Shoulder"/>
    <x v="1"/>
    <n v="1"/>
    <s v="0–7 days"/>
  </r>
  <r>
    <s v="B001642"/>
    <s v="G00346"/>
    <s v="H005"/>
    <s v="CH03"/>
    <d v="2026-12-01T00:00:00"/>
    <d v="2027-03-11T00:00:00"/>
    <x v="0"/>
    <n v="5565"/>
    <x v="0"/>
    <b v="0"/>
    <x v="0"/>
    <x v="3"/>
    <n v="2027"/>
    <n v="3"/>
    <n v="12"/>
    <n v="2026"/>
    <n v="1"/>
    <s v="No"/>
    <x v="0"/>
    <s v="India"/>
    <x v="0"/>
    <s v="StayNest Heritage"/>
    <x v="11"/>
    <s v="Heritage"/>
    <n v="90"/>
    <x v="1"/>
    <s v="OTA Promo"/>
    <m/>
    <s v="Unknown"/>
    <s v="Unknown"/>
    <s v="Unknown"/>
    <x v="0"/>
    <n v="0"/>
    <s v="91–180 days"/>
  </r>
  <r>
    <s v="B001643"/>
    <s v="G00199"/>
    <s v="H004"/>
    <s v="CH02"/>
    <d v="2025-06-16T00:00:00"/>
    <d v="2025-06-23T00:00:00"/>
    <x v="0"/>
    <n v="4168"/>
    <x v="0"/>
    <b v="0"/>
    <x v="4"/>
    <x v="1"/>
    <n v="2025"/>
    <n v="0"/>
    <n v="6"/>
    <n v="2025"/>
    <n v="0"/>
    <s v="No"/>
    <x v="1"/>
    <s v="UAE"/>
    <x v="0"/>
    <s v="StayNest Lakeview"/>
    <x v="2"/>
    <s v="Resort"/>
    <n v="75"/>
    <x v="3"/>
    <s v="App Push"/>
    <d v="2025-06-23T00:00:00"/>
    <s v="No"/>
    <s v="No"/>
    <s v="Shoulder"/>
    <x v="1"/>
    <n v="0"/>
    <s v="0–7 days"/>
  </r>
  <r>
    <s v="B001644"/>
    <s v="G00578"/>
    <s v="H012"/>
    <s v="CH06"/>
    <d v="2026-07-06T00:00:00"/>
    <d v="2027-02-11T00:00:00"/>
    <x v="0"/>
    <n v="4603"/>
    <x v="0"/>
    <b v="0"/>
    <x v="8"/>
    <x v="0"/>
    <n v="2027"/>
    <n v="3"/>
    <n v="7"/>
    <n v="2026"/>
    <n v="0"/>
    <s v="No"/>
    <x v="3"/>
    <s v="Singapore"/>
    <x v="1"/>
    <s v="StayNest Valley"/>
    <x v="4"/>
    <s v="Resort"/>
    <n v="65"/>
    <x v="0"/>
    <s v="Retention"/>
    <m/>
    <s v="Unknown"/>
    <s v="Unknown"/>
    <s v="Unknown"/>
    <x v="0"/>
    <n v="0"/>
    <s v="181+ days"/>
  </r>
  <r>
    <s v="B001645"/>
    <s v="G00342"/>
    <s v="H010"/>
    <s v="CH04"/>
    <d v="2025-11-17T00:00:00"/>
    <d v="2026-02-25T00:00:00"/>
    <x v="0"/>
    <n v="4084"/>
    <x v="1"/>
    <b v="0"/>
    <x v="0"/>
    <x v="0"/>
    <n v="2026"/>
    <n v="2"/>
    <n v="11"/>
    <n v="2025"/>
    <n v="0"/>
    <s v="No"/>
    <x v="1"/>
    <s v="India"/>
    <x v="0"/>
    <s v="StayNest Garden"/>
    <x v="10"/>
    <s v="Boutique"/>
    <n v="70"/>
    <x v="4"/>
    <s v="Partner"/>
    <d v="2026-02-25T00:00:00"/>
    <s v="No"/>
    <s v="No"/>
    <s v="Shoulder"/>
    <x v="1"/>
    <n v="1"/>
    <s v="91–180 days"/>
  </r>
  <r>
    <s v="B001646"/>
    <s v="G00493"/>
    <s v="H008"/>
    <s v="CH03"/>
    <d v="2026-08-26T00:00:00"/>
    <d v="2026-09-09T00:00:00"/>
    <x v="0"/>
    <n v="3560"/>
    <x v="0"/>
    <b v="0"/>
    <x v="3"/>
    <x v="10"/>
    <n v="2026"/>
    <n v="2"/>
    <n v="8"/>
    <n v="2026"/>
    <n v="2"/>
    <s v="No"/>
    <x v="0"/>
    <s v="India"/>
    <x v="0"/>
    <s v="StayNest Palace"/>
    <x v="7"/>
    <s v="Heritage"/>
    <n v="85"/>
    <x v="1"/>
    <s v="OTA Promo"/>
    <d v="2026-09-09T00:00:00"/>
    <s v="No"/>
    <s v="No"/>
    <s v="Shoulder"/>
    <x v="1"/>
    <n v="0"/>
    <s v="8–30 days"/>
  </r>
  <r>
    <s v="B001647"/>
    <s v="G00580"/>
    <s v="H004"/>
    <s v="CH04"/>
    <d v="2025-12-17T00:00:00"/>
    <d v="2026-01-16T00:00:00"/>
    <x v="2"/>
    <n v="2471"/>
    <x v="0"/>
    <b v="0"/>
    <x v="2"/>
    <x v="6"/>
    <n v="2026"/>
    <n v="4"/>
    <n v="12"/>
    <n v="2025"/>
    <n v="2"/>
    <s v="No"/>
    <x v="1"/>
    <s v="India"/>
    <x v="0"/>
    <s v="StayNest Lakeview"/>
    <x v="2"/>
    <s v="Resort"/>
    <n v="75"/>
    <x v="4"/>
    <s v="Partner"/>
    <d v="2026-01-16T00:00:00"/>
    <s v="No"/>
    <s v="No"/>
    <s v="Off-Peak"/>
    <x v="1"/>
    <n v="0"/>
    <s v="8–30 days"/>
  </r>
  <r>
    <s v="B001648"/>
    <s v="G00238"/>
    <s v="H012"/>
    <s v="CH04"/>
    <d v="2025-05-12T00:00:00"/>
    <d v="2025-10-09T00:00:00"/>
    <x v="3"/>
    <n v="11970"/>
    <x v="0"/>
    <b v="0"/>
    <x v="5"/>
    <x v="11"/>
    <n v="2025"/>
    <n v="3"/>
    <n v="5"/>
    <n v="2025"/>
    <n v="0"/>
    <s v="No"/>
    <x v="0"/>
    <s v="Germany"/>
    <x v="0"/>
    <s v="StayNest Valley"/>
    <x v="4"/>
    <s v="Resort"/>
    <n v="65"/>
    <x v="4"/>
    <s v="Partner"/>
    <d v="2025-10-09T00:00:00"/>
    <s v="No"/>
    <s v="No"/>
    <s v="Shoulder"/>
    <x v="1"/>
    <n v="0"/>
    <s v="91–180 days"/>
  </r>
  <r>
    <s v="B001649"/>
    <s v="G00106"/>
    <s v="H003"/>
    <s v="CH06"/>
    <d v="2025-01-27T00:00:00"/>
    <d v="2025-05-07T00:00:00"/>
    <x v="1"/>
    <n v="5018"/>
    <x v="1"/>
    <b v="0"/>
    <x v="0"/>
    <x v="9"/>
    <n v="2025"/>
    <n v="2"/>
    <n v="1"/>
    <n v="2025"/>
    <n v="0"/>
    <s v="No"/>
    <x v="2"/>
    <s v="India"/>
    <x v="0"/>
    <s v="StayNest Hills"/>
    <x v="5"/>
    <s v="Resort"/>
    <n v="80"/>
    <x v="0"/>
    <s v="Retention"/>
    <d v="2025-05-07T00:00:00"/>
    <s v="No"/>
    <s v="No"/>
    <s v="Peak"/>
    <x v="1"/>
    <n v="1"/>
    <s v="91–180 days"/>
  </r>
  <r>
    <s v="B001650"/>
    <s v="G00546"/>
    <s v="H005"/>
    <s v="CH03"/>
    <d v="2025-05-21T00:00:00"/>
    <d v="2025-05-28T00:00:00"/>
    <x v="0"/>
    <n v="3933"/>
    <x v="0"/>
    <b v="0"/>
    <x v="4"/>
    <x v="9"/>
    <n v="2025"/>
    <n v="2"/>
    <n v="5"/>
    <n v="2025"/>
    <n v="2"/>
    <s v="No"/>
    <x v="1"/>
    <s v="India"/>
    <x v="0"/>
    <s v="StayNest Heritage"/>
    <x v="11"/>
    <s v="Heritage"/>
    <n v="90"/>
    <x v="1"/>
    <s v="OTA Promo"/>
    <d v="2025-05-28T00:00:00"/>
    <s v="No"/>
    <s v="No"/>
    <s v="Peak"/>
    <x v="1"/>
    <n v="0"/>
    <s v="0–7 days"/>
  </r>
  <r>
    <s v="B001651"/>
    <s v="G00326"/>
    <s v="H002"/>
    <s v="CH03"/>
    <d v="2025-08-03T00:00:00"/>
    <d v="2025-10-02T00:00:00"/>
    <x v="0"/>
    <n v="3930"/>
    <x v="1"/>
    <b v="0"/>
    <x v="1"/>
    <x v="11"/>
    <n v="2025"/>
    <n v="3"/>
    <n v="8"/>
    <n v="2025"/>
    <n v="6"/>
    <s v="No"/>
    <x v="3"/>
    <s v="India"/>
    <x v="0"/>
    <s v="StayNest Central"/>
    <x v="0"/>
    <s v="Business"/>
    <n v="150"/>
    <x v="1"/>
    <s v="OTA Promo"/>
    <d v="2025-10-02T00:00:00"/>
    <s v="No"/>
    <s v="Yes"/>
    <s v="Shoulder"/>
    <x v="2"/>
    <n v="1"/>
    <s v="31–90 days"/>
  </r>
  <r>
    <s v="B001652"/>
    <s v="G00453"/>
    <s v="H008"/>
    <s v="CH05"/>
    <d v="2026-04-18T00:00:00"/>
    <d v="2026-05-18T00:00:00"/>
    <x v="3"/>
    <n v="9566"/>
    <x v="0"/>
    <b v="0"/>
    <x v="2"/>
    <x v="9"/>
    <n v="2026"/>
    <n v="0"/>
    <n v="4"/>
    <n v="2026"/>
    <n v="5"/>
    <s v="No"/>
    <x v="1"/>
    <s v="India"/>
    <x v="0"/>
    <s v="StayNest Palace"/>
    <x v="7"/>
    <s v="Heritage"/>
    <n v="85"/>
    <x v="2"/>
    <s v="Corporate Rate"/>
    <d v="2026-05-18T00:00:00"/>
    <s v="No"/>
    <s v="No"/>
    <s v="Peak"/>
    <x v="1"/>
    <n v="0"/>
    <s v="8–30 days"/>
  </r>
  <r>
    <s v="B001653"/>
    <s v="G00096"/>
    <s v="H009"/>
    <s v="CH05"/>
    <d v="2025-08-30T00:00:00"/>
    <d v="2025-10-29T00:00:00"/>
    <x v="3"/>
    <n v="7396"/>
    <x v="0"/>
    <b v="0"/>
    <x v="1"/>
    <x v="11"/>
    <n v="2025"/>
    <n v="2"/>
    <n v="8"/>
    <n v="2025"/>
    <n v="5"/>
    <s v="No"/>
    <x v="2"/>
    <s v="Singapore"/>
    <x v="1"/>
    <s v="StayNest Airport"/>
    <x v="9"/>
    <s v="Business"/>
    <n v="160"/>
    <x v="2"/>
    <s v="Corporate Rate"/>
    <d v="2025-10-29T00:00:00"/>
    <s v="No"/>
    <s v="No"/>
    <s v="Shoulder"/>
    <x v="1"/>
    <n v="0"/>
    <s v="31–90 days"/>
  </r>
  <r>
    <s v="B001654"/>
    <s v="G00556"/>
    <s v="H008"/>
    <s v="CH04"/>
    <d v="2025-02-12T00:00:00"/>
    <d v="2025-02-26T00:00:00"/>
    <x v="1"/>
    <n v="8102"/>
    <x v="0"/>
    <b v="0"/>
    <x v="3"/>
    <x v="0"/>
    <n v="2025"/>
    <n v="2"/>
    <n v="2"/>
    <n v="2025"/>
    <n v="2"/>
    <s v="No"/>
    <x v="2"/>
    <s v="India"/>
    <x v="0"/>
    <s v="StayNest Palace"/>
    <x v="7"/>
    <s v="Heritage"/>
    <n v="85"/>
    <x v="4"/>
    <s v="Partner"/>
    <d v="2025-02-26T00:00:00"/>
    <s v="No"/>
    <s v="No"/>
    <s v="Shoulder"/>
    <x v="1"/>
    <n v="0"/>
    <s v="8–30 days"/>
  </r>
  <r>
    <s v="B001655"/>
    <s v="G00363"/>
    <s v="H002"/>
    <s v="CH03"/>
    <d v="2026-09-25T00:00:00"/>
    <d v="2027-02-22T00:00:00"/>
    <x v="0"/>
    <n v="5723"/>
    <x v="1"/>
    <b v="0"/>
    <x v="5"/>
    <x v="0"/>
    <n v="2027"/>
    <n v="0"/>
    <n v="9"/>
    <n v="2026"/>
    <n v="4"/>
    <s v="No"/>
    <x v="3"/>
    <s v="India"/>
    <x v="0"/>
    <s v="StayNest Central"/>
    <x v="0"/>
    <s v="Business"/>
    <n v="150"/>
    <x v="1"/>
    <s v="OTA Promo"/>
    <m/>
    <s v="Unknown"/>
    <s v="Unknown"/>
    <s v="Unknown"/>
    <x v="0"/>
    <n v="1"/>
    <s v="91–180 days"/>
  </r>
  <r>
    <s v="B001656"/>
    <s v="G00533"/>
    <s v="H006"/>
    <s v="CH06"/>
    <d v="2026-05-31T00:00:00"/>
    <d v="2026-07-30T00:00:00"/>
    <x v="3"/>
    <n v="10935"/>
    <x v="0"/>
    <b v="0"/>
    <x v="1"/>
    <x v="8"/>
    <n v="2026"/>
    <n v="3"/>
    <n v="5"/>
    <n v="2026"/>
    <n v="6"/>
    <s v="No"/>
    <x v="1"/>
    <s v="India"/>
    <x v="0"/>
    <s v="StayNest Beach"/>
    <x v="3"/>
    <s v="Resort"/>
    <n v="100"/>
    <x v="0"/>
    <s v="Retention"/>
    <d v="2026-07-30T00:00:00"/>
    <s v="No"/>
    <s v="No"/>
    <s v="Off-Peak"/>
    <x v="1"/>
    <n v="0"/>
    <s v="31–90 days"/>
  </r>
  <r>
    <s v="B001657"/>
    <s v="G00490"/>
    <s v="H003"/>
    <s v="CH04"/>
    <d v="2025-06-26T00:00:00"/>
    <d v="2025-06-27T00:00:00"/>
    <x v="3"/>
    <n v="11894"/>
    <x v="2"/>
    <b v="0"/>
    <x v="7"/>
    <x v="1"/>
    <n v="2025"/>
    <n v="4"/>
    <n v="6"/>
    <n v="2025"/>
    <n v="3"/>
    <s v="No"/>
    <x v="0"/>
    <s v="UAE"/>
    <x v="0"/>
    <s v="StayNest Hills"/>
    <x v="5"/>
    <s v="Resort"/>
    <n v="80"/>
    <x v="4"/>
    <s v="Partner"/>
    <d v="2025-06-27T00:00:00"/>
    <s v="No"/>
    <s v="No"/>
    <s v="Shoulder"/>
    <x v="1"/>
    <n v="0"/>
    <s v="0–7 days"/>
  </r>
  <r>
    <s v="B001658"/>
    <s v="G00327"/>
    <s v="H012"/>
    <s v="CH03"/>
    <d v="2025-03-24T00:00:00"/>
    <d v="2025-05-23T00:00:00"/>
    <x v="1"/>
    <n v="5751"/>
    <x v="1"/>
    <b v="0"/>
    <x v="1"/>
    <x v="9"/>
    <n v="2025"/>
    <n v="4"/>
    <n v="3"/>
    <n v="2025"/>
    <n v="0"/>
    <s v="No"/>
    <x v="1"/>
    <s v="India"/>
    <x v="1"/>
    <s v="StayNest Valley"/>
    <x v="4"/>
    <s v="Resort"/>
    <n v="65"/>
    <x v="1"/>
    <s v="OTA Promo"/>
    <d v="2025-05-23T00:00:00"/>
    <s v="No"/>
    <s v="No"/>
    <s v="Peak"/>
    <x v="1"/>
    <n v="1"/>
    <s v="31–90 days"/>
  </r>
  <r>
    <s v="B001659"/>
    <s v="G00109"/>
    <s v="H009"/>
    <s v="CH02"/>
    <d v="2025-12-28T00:00:00"/>
    <d v="2026-02-26T00:00:00"/>
    <x v="1"/>
    <n v="5704"/>
    <x v="2"/>
    <b v="0"/>
    <x v="1"/>
    <x v="0"/>
    <n v="2026"/>
    <n v="3"/>
    <n v="12"/>
    <n v="2025"/>
    <n v="6"/>
    <s v="No"/>
    <x v="1"/>
    <s v="United States"/>
    <x v="0"/>
    <s v="StayNest Airport"/>
    <x v="9"/>
    <s v="Business"/>
    <n v="160"/>
    <x v="3"/>
    <s v="App Push"/>
    <d v="2026-02-26T00:00:00"/>
    <s v="No"/>
    <s v="No"/>
    <s v="Shoulder"/>
    <x v="1"/>
    <n v="0"/>
    <s v="31–90 days"/>
  </r>
  <r>
    <s v="B001660"/>
    <s v="G00185"/>
    <s v="H011"/>
    <s v="CH01"/>
    <d v="2025-04-03T00:00:00"/>
    <d v="2025-07-12T00:00:00"/>
    <x v="0"/>
    <n v="4620"/>
    <x v="1"/>
    <b v="0"/>
    <x v="0"/>
    <x v="8"/>
    <n v="2025"/>
    <n v="5"/>
    <n v="4"/>
    <n v="2025"/>
    <n v="3"/>
    <s v="Yes"/>
    <x v="1"/>
    <s v="United Kingdom"/>
    <x v="0"/>
    <s v="StayNest Grand"/>
    <x v="8"/>
    <s v="Business"/>
    <n v="110"/>
    <x v="5"/>
    <s v="Direct"/>
    <d v="2025-07-12T00:00:00"/>
    <s v="Yes"/>
    <s v="No"/>
    <s v="Off-Peak"/>
    <x v="1"/>
    <n v="1"/>
    <s v="91–180 days"/>
  </r>
  <r>
    <s v="B001661"/>
    <s v="G00012"/>
    <s v="H001"/>
    <s v="CH05"/>
    <d v="2026-11-02T00:00:00"/>
    <d v="2026-11-16T00:00:00"/>
    <x v="0"/>
    <n v="29892"/>
    <x v="0"/>
    <b v="1"/>
    <x v="3"/>
    <x v="4"/>
    <n v="2026"/>
    <n v="0"/>
    <n v="11"/>
    <n v="2026"/>
    <n v="0"/>
    <s v="No"/>
    <x v="2"/>
    <s v="India"/>
    <x v="0"/>
    <s v="StayNest Marina"/>
    <x v="1"/>
    <s v="Business"/>
    <n v="120"/>
    <x v="2"/>
    <s v="Corporate Rate"/>
    <d v="2026-11-16T00:00:00"/>
    <s v="No"/>
    <s v="No"/>
    <s v="Off-Peak"/>
    <x v="1"/>
    <n v="0"/>
    <s v="8–30 days"/>
  </r>
  <r>
    <s v="B001662"/>
    <s v="G00595"/>
    <s v="H006"/>
    <s v="CH04"/>
    <d v="2025-07-18T00:00:00"/>
    <d v="2025-07-25T00:00:00"/>
    <x v="1"/>
    <n v="7937"/>
    <x v="1"/>
    <b v="0"/>
    <x v="4"/>
    <x v="8"/>
    <n v="2025"/>
    <n v="4"/>
    <n v="7"/>
    <n v="2025"/>
    <n v="4"/>
    <s v="No"/>
    <x v="2"/>
    <s v="United Kingdom"/>
    <x v="0"/>
    <s v="StayNest Beach"/>
    <x v="3"/>
    <s v="Resort"/>
    <n v="100"/>
    <x v="4"/>
    <s v="Partner"/>
    <d v="2025-07-25T00:00:00"/>
    <s v="No"/>
    <s v="No"/>
    <s v="Off-Peak"/>
    <x v="1"/>
    <n v="1"/>
    <s v="0–7 days"/>
  </r>
  <r>
    <s v="B001663"/>
    <s v="G00087"/>
    <s v="H010"/>
    <s v="CH02"/>
    <d v="2025-09-09T00:00:00"/>
    <d v="2025-09-23T00:00:00"/>
    <x v="0"/>
    <n v="4227"/>
    <x v="0"/>
    <b v="0"/>
    <x v="3"/>
    <x v="10"/>
    <n v="2025"/>
    <n v="1"/>
    <n v="9"/>
    <n v="2025"/>
    <n v="1"/>
    <s v="No"/>
    <x v="1"/>
    <s v="Germany"/>
    <x v="0"/>
    <s v="StayNest Garden"/>
    <x v="10"/>
    <s v="Boutique"/>
    <n v="70"/>
    <x v="3"/>
    <s v="App Push"/>
    <d v="2025-09-23T00:00:00"/>
    <s v="No"/>
    <s v="No"/>
    <s v="Shoulder"/>
    <x v="1"/>
    <n v="0"/>
    <s v="8–30 days"/>
  </r>
  <r>
    <s v="B001664"/>
    <s v="G00607"/>
    <s v="H004"/>
    <s v="CH04"/>
    <d v="2025-01-06T00:00:00"/>
    <d v="2025-03-07T00:00:00"/>
    <x v="1"/>
    <n v="6889"/>
    <x v="1"/>
    <b v="0"/>
    <x v="1"/>
    <x v="3"/>
    <n v="2025"/>
    <n v="4"/>
    <n v="1"/>
    <n v="2025"/>
    <n v="0"/>
    <s v="No"/>
    <x v="2"/>
    <s v="India"/>
    <x v="0"/>
    <s v="StayNest Lakeview"/>
    <x v="2"/>
    <s v="Resort"/>
    <n v="75"/>
    <x v="4"/>
    <s v="Partner"/>
    <d v="2025-03-07T00:00:00"/>
    <s v="No"/>
    <s v="No"/>
    <s v="Shoulder"/>
    <x v="1"/>
    <n v="1"/>
    <s v="31–90 days"/>
  </r>
  <r>
    <s v="B001665"/>
    <s v="G00410"/>
    <s v="H005"/>
    <s v="CH04"/>
    <d v="2025-04-24T00:00:00"/>
    <d v="2025-09-21T00:00:00"/>
    <x v="1"/>
    <n v="6601"/>
    <x v="2"/>
    <b v="0"/>
    <x v="5"/>
    <x v="10"/>
    <n v="2025"/>
    <n v="6"/>
    <n v="4"/>
    <n v="2025"/>
    <n v="3"/>
    <s v="Yes"/>
    <x v="0"/>
    <s v="India"/>
    <x v="0"/>
    <s v="StayNest Heritage"/>
    <x v="11"/>
    <s v="Heritage"/>
    <n v="90"/>
    <x v="4"/>
    <s v="Partner"/>
    <d v="2025-09-21T00:00:00"/>
    <s v="Yes"/>
    <s v="No"/>
    <s v="Shoulder"/>
    <x v="1"/>
    <n v="0"/>
    <s v="91–180 days"/>
  </r>
  <r>
    <s v="B001666"/>
    <s v="G00363"/>
    <s v="H001"/>
    <s v="CH01"/>
    <d v="2026-08-10T00:00:00"/>
    <d v="2026-08-24T00:00:00"/>
    <x v="1"/>
    <n v="5369"/>
    <x v="0"/>
    <b v="0"/>
    <x v="3"/>
    <x v="7"/>
    <n v="2026"/>
    <n v="0"/>
    <n v="8"/>
    <n v="2026"/>
    <n v="0"/>
    <s v="No"/>
    <x v="3"/>
    <s v="India"/>
    <x v="0"/>
    <s v="StayNest Marina"/>
    <x v="1"/>
    <s v="Business"/>
    <n v="120"/>
    <x v="5"/>
    <s v="Direct"/>
    <d v="2026-08-24T00:00:00"/>
    <s v="No"/>
    <s v="No"/>
    <s v="Off-Peak"/>
    <x v="1"/>
    <n v="0"/>
    <s v="8–30 days"/>
  </r>
  <r>
    <s v="B001667"/>
    <s v="G00229"/>
    <s v="H011"/>
    <s v="CH01"/>
    <d v="2025-07-30T00:00:00"/>
    <d v="2026-03-07T00:00:00"/>
    <x v="0"/>
    <n v="3550"/>
    <x v="1"/>
    <b v="0"/>
    <x v="8"/>
    <x v="3"/>
    <n v="2026"/>
    <n v="5"/>
    <n v="7"/>
    <n v="2025"/>
    <n v="2"/>
    <s v="Yes"/>
    <x v="1"/>
    <s v="India"/>
    <x v="0"/>
    <s v="StayNest Grand"/>
    <x v="8"/>
    <s v="Business"/>
    <n v="110"/>
    <x v="5"/>
    <s v="Direct"/>
    <d v="2026-03-07T00:00:00"/>
    <s v="Yes"/>
    <s v="No"/>
    <s v="Shoulder"/>
    <x v="1"/>
    <n v="1"/>
    <s v="181+ days"/>
  </r>
  <r>
    <s v="B001668"/>
    <s v="G00096"/>
    <s v="H007"/>
    <s v="CH03"/>
    <d v="2025-05-21T00:00:00"/>
    <d v="2025-10-18T00:00:00"/>
    <x v="2"/>
    <n v="2914"/>
    <x v="1"/>
    <b v="0"/>
    <x v="5"/>
    <x v="11"/>
    <n v="2025"/>
    <n v="5"/>
    <n v="5"/>
    <n v="2025"/>
    <n v="2"/>
    <s v="Yes"/>
    <x v="2"/>
    <s v="Singapore"/>
    <x v="1"/>
    <s v="StayNest Tech Park"/>
    <x v="6"/>
    <s v="Business"/>
    <n v="140"/>
    <x v="1"/>
    <s v="OTA Promo"/>
    <d v="2025-10-18T00:00:00"/>
    <s v="Yes"/>
    <s v="No"/>
    <s v="Shoulder"/>
    <x v="1"/>
    <n v="1"/>
    <s v="91–180 days"/>
  </r>
  <r>
    <s v="B001669"/>
    <s v="G00183"/>
    <s v="H008"/>
    <s v="CH04"/>
    <d v="2026-11-06T00:00:00"/>
    <d v="2027-02-14T00:00:00"/>
    <x v="3"/>
    <n v="6759"/>
    <x v="1"/>
    <b v="0"/>
    <x v="0"/>
    <x v="0"/>
    <n v="2027"/>
    <n v="6"/>
    <n v="11"/>
    <n v="2026"/>
    <n v="4"/>
    <s v="Yes"/>
    <x v="2"/>
    <s v="India"/>
    <x v="0"/>
    <s v="StayNest Palace"/>
    <x v="7"/>
    <s v="Heritage"/>
    <n v="85"/>
    <x v="4"/>
    <s v="Partner"/>
    <m/>
    <s v="Unknown"/>
    <s v="Unknown"/>
    <s v="Unknown"/>
    <x v="0"/>
    <n v="1"/>
    <s v="91–180 days"/>
  </r>
  <r>
    <s v="B001670"/>
    <s v="G00258"/>
    <s v="H010"/>
    <s v="CH03"/>
    <d v="2025-07-04T00:00:00"/>
    <d v="2025-08-03T00:00:00"/>
    <x v="2"/>
    <n v="4002"/>
    <x v="0"/>
    <b v="0"/>
    <x v="2"/>
    <x v="7"/>
    <n v="2025"/>
    <n v="6"/>
    <n v="7"/>
    <n v="2025"/>
    <n v="4"/>
    <s v="Yes"/>
    <x v="1"/>
    <s v="India"/>
    <x v="0"/>
    <s v="StayNest Garden"/>
    <x v="10"/>
    <s v="Boutique"/>
    <n v="70"/>
    <x v="1"/>
    <s v="OTA Promo"/>
    <d v="2025-08-03T00:00:00"/>
    <s v="Yes"/>
    <s v="No"/>
    <s v="Off-Peak"/>
    <x v="1"/>
    <n v="0"/>
    <s v="8–30 days"/>
  </r>
  <r>
    <s v="B001671"/>
    <s v="G00452"/>
    <s v="H001"/>
    <s v="CH01"/>
    <d v="2026-05-22T00:00:00"/>
    <d v="2026-06-21T00:00:00"/>
    <x v="0"/>
    <n v="4248"/>
    <x v="0"/>
    <b v="0"/>
    <x v="2"/>
    <x v="1"/>
    <n v="2026"/>
    <n v="6"/>
    <n v="5"/>
    <n v="2026"/>
    <n v="4"/>
    <s v="Yes"/>
    <x v="0"/>
    <s v="United Kingdom"/>
    <x v="1"/>
    <s v="StayNest Marina"/>
    <x v="1"/>
    <s v="Business"/>
    <n v="120"/>
    <x v="5"/>
    <s v="Direct"/>
    <d v="2026-06-21T00:00:00"/>
    <s v="Yes"/>
    <s v="No"/>
    <s v="Shoulder"/>
    <x v="1"/>
    <n v="0"/>
    <s v="8–30 days"/>
  </r>
  <r>
    <s v="B001672"/>
    <s v="G00274"/>
    <s v="H005"/>
    <s v="CH01"/>
    <d v="2026-05-24T00:00:00"/>
    <d v="2026-05-27T00:00:00"/>
    <x v="3"/>
    <n v="8108"/>
    <x v="0"/>
    <b v="0"/>
    <x v="6"/>
    <x v="9"/>
    <n v="2026"/>
    <n v="2"/>
    <n v="5"/>
    <n v="2026"/>
    <n v="6"/>
    <s v="No"/>
    <x v="0"/>
    <s v="United Kingdom"/>
    <x v="0"/>
    <s v="StayNest Heritage"/>
    <x v="11"/>
    <s v="Heritage"/>
    <n v="90"/>
    <x v="5"/>
    <s v="Direct"/>
    <d v="2026-05-27T00:00:00"/>
    <s v="No"/>
    <s v="No"/>
    <s v="Peak"/>
    <x v="1"/>
    <n v="0"/>
    <s v="0–7 days"/>
  </r>
  <r>
    <s v="B001673"/>
    <s v="G00012"/>
    <s v="H003"/>
    <s v="CH03"/>
    <d v="2025-10-28T00:00:00"/>
    <d v="2025-12-27T00:00:00"/>
    <x v="3"/>
    <n v="9924"/>
    <x v="1"/>
    <b v="0"/>
    <x v="1"/>
    <x v="5"/>
    <n v="2025"/>
    <n v="5"/>
    <n v="10"/>
    <n v="2025"/>
    <n v="1"/>
    <s v="Yes"/>
    <x v="2"/>
    <s v="India"/>
    <x v="0"/>
    <s v="StayNest Hills"/>
    <x v="5"/>
    <s v="Resort"/>
    <n v="80"/>
    <x v="1"/>
    <s v="OTA Promo"/>
    <d v="2025-12-27T00:00:00"/>
    <s v="Yes"/>
    <s v="No"/>
    <s v="Peak"/>
    <x v="1"/>
    <n v="1"/>
    <s v="31–90 days"/>
  </r>
  <r>
    <s v="B001674"/>
    <s v="G00479"/>
    <s v="H003"/>
    <s v="CH02"/>
    <d v="2026-06-13T00:00:00"/>
    <d v="2026-06-27T00:00:00"/>
    <x v="3"/>
    <n v="6526"/>
    <x v="0"/>
    <b v="0"/>
    <x v="3"/>
    <x v="1"/>
    <n v="2026"/>
    <n v="5"/>
    <n v="6"/>
    <n v="2026"/>
    <n v="5"/>
    <s v="Yes"/>
    <x v="0"/>
    <s v="Unknown"/>
    <x v="0"/>
    <s v="StayNest Hills"/>
    <x v="5"/>
    <s v="Resort"/>
    <n v="80"/>
    <x v="3"/>
    <s v="App Push"/>
    <d v="2026-06-27T00:00:00"/>
    <s v="Yes"/>
    <s v="No"/>
    <s v="Shoulder"/>
    <x v="1"/>
    <n v="0"/>
    <s v="8–30 days"/>
  </r>
  <r>
    <s v="B001675"/>
    <s v="G00321"/>
    <s v="H008"/>
    <s v="CH06"/>
    <d v="2025-10-02T00:00:00"/>
    <d v="2025-10-05T00:00:00"/>
    <x v="1"/>
    <n v="7471"/>
    <x v="0"/>
    <b v="0"/>
    <x v="6"/>
    <x v="11"/>
    <n v="2025"/>
    <n v="6"/>
    <n v="10"/>
    <n v="2025"/>
    <n v="3"/>
    <s v="Yes"/>
    <x v="0"/>
    <s v="India"/>
    <x v="0"/>
    <s v="StayNest Palace"/>
    <x v="7"/>
    <s v="Heritage"/>
    <n v="85"/>
    <x v="0"/>
    <s v="Retention"/>
    <d v="2025-10-05T00:00:00"/>
    <s v="Yes"/>
    <s v="No"/>
    <s v="Shoulder"/>
    <x v="1"/>
    <n v="0"/>
    <s v="0–7 days"/>
  </r>
  <r>
    <s v="B001676"/>
    <s v="G00226"/>
    <s v="H008"/>
    <s v="CH05"/>
    <d v="2025-03-21T00:00:00"/>
    <d v="2025-03-28T00:00:00"/>
    <x v="1"/>
    <n v="7601"/>
    <x v="1"/>
    <b v="0"/>
    <x v="4"/>
    <x v="3"/>
    <n v="2025"/>
    <n v="4"/>
    <n v="3"/>
    <n v="2025"/>
    <n v="4"/>
    <s v="No"/>
    <x v="3"/>
    <s v="United States"/>
    <x v="0"/>
    <s v="StayNest Palace"/>
    <x v="7"/>
    <s v="Heritage"/>
    <n v="85"/>
    <x v="2"/>
    <s v="Corporate Rate"/>
    <d v="2025-03-28T00:00:00"/>
    <s v="No"/>
    <s v="No"/>
    <s v="Shoulder"/>
    <x v="1"/>
    <n v="1"/>
    <s v="0–7 days"/>
  </r>
  <r>
    <s v="B001677"/>
    <s v="G00228"/>
    <s v="H008"/>
    <s v="CH05"/>
    <d v="2026-06-20T00:00:00"/>
    <d v="2026-06-27T00:00:00"/>
    <x v="0"/>
    <n v="5122"/>
    <x v="2"/>
    <b v="0"/>
    <x v="4"/>
    <x v="1"/>
    <n v="2026"/>
    <n v="5"/>
    <n v="6"/>
    <n v="2026"/>
    <n v="5"/>
    <s v="Yes"/>
    <x v="1"/>
    <s v="India"/>
    <x v="1"/>
    <s v="StayNest Palace"/>
    <x v="7"/>
    <s v="Heritage"/>
    <n v="85"/>
    <x v="2"/>
    <s v="Corporate Rate"/>
    <d v="2026-06-27T00:00:00"/>
    <s v="Yes"/>
    <s v="No"/>
    <s v="Shoulder"/>
    <x v="1"/>
    <n v="0"/>
    <s v="0–7 days"/>
  </r>
  <r>
    <s v="B001678"/>
    <s v="G00360"/>
    <s v="H007"/>
    <s v="CH03"/>
    <d v="2026-03-01T00:00:00"/>
    <d v="2026-06-09T00:00:00"/>
    <x v="0"/>
    <n v="4457"/>
    <x v="2"/>
    <b v="0"/>
    <x v="0"/>
    <x v="1"/>
    <n v="2026"/>
    <n v="1"/>
    <n v="3"/>
    <n v="2026"/>
    <n v="6"/>
    <s v="No"/>
    <x v="0"/>
    <s v="United States"/>
    <x v="1"/>
    <s v="StayNest Tech Park"/>
    <x v="6"/>
    <s v="Business"/>
    <n v="140"/>
    <x v="1"/>
    <s v="OTA Promo"/>
    <d v="2026-06-09T00:00:00"/>
    <s v="No"/>
    <s v="No"/>
    <s v="Shoulder"/>
    <x v="1"/>
    <n v="0"/>
    <s v="91–180 days"/>
  </r>
  <r>
    <s v="B001679"/>
    <s v="G00377"/>
    <s v="H011"/>
    <s v="CH03"/>
    <d v="2025-03-31T00:00:00"/>
    <d v="2025-04-30T00:00:00"/>
    <x v="2"/>
    <n v="2505"/>
    <x v="0"/>
    <b v="0"/>
    <x v="2"/>
    <x v="2"/>
    <n v="2025"/>
    <n v="2"/>
    <n v="3"/>
    <n v="2025"/>
    <n v="0"/>
    <s v="No"/>
    <x v="1"/>
    <s v="India"/>
    <x v="0"/>
    <s v="StayNest Grand"/>
    <x v="8"/>
    <s v="Business"/>
    <n v="110"/>
    <x v="1"/>
    <s v="OTA Promo"/>
    <d v="2025-04-30T00:00:00"/>
    <s v="No"/>
    <s v="No"/>
    <s v="Peak"/>
    <x v="1"/>
    <n v="0"/>
    <s v="8–30 days"/>
  </r>
  <r>
    <s v="B001680"/>
    <s v="G00530"/>
    <s v="H005"/>
    <s v="CH03"/>
    <d v="2025-02-11T00:00:00"/>
    <d v="2025-04-12T00:00:00"/>
    <x v="1"/>
    <n v="6687"/>
    <x v="0"/>
    <b v="0"/>
    <x v="1"/>
    <x v="2"/>
    <n v="2025"/>
    <n v="5"/>
    <n v="2"/>
    <n v="2025"/>
    <n v="1"/>
    <s v="Yes"/>
    <x v="0"/>
    <s v="India"/>
    <x v="0"/>
    <s v="StayNest Heritage"/>
    <x v="11"/>
    <s v="Heritage"/>
    <n v="90"/>
    <x v="1"/>
    <s v="OTA Promo"/>
    <d v="2025-04-12T00:00:00"/>
    <s v="Yes"/>
    <s v="No"/>
    <s v="Peak"/>
    <x v="1"/>
    <n v="0"/>
    <s v="31–90 days"/>
  </r>
  <r>
    <s v="B001681"/>
    <s v="G00038"/>
    <s v="H004"/>
    <s v="CH06"/>
    <d v="2025-09-11T00:00:00"/>
    <d v="2025-09-25T00:00:00"/>
    <x v="1"/>
    <n v="5110"/>
    <x v="2"/>
    <b v="0"/>
    <x v="3"/>
    <x v="10"/>
    <n v="2025"/>
    <n v="3"/>
    <n v="9"/>
    <n v="2025"/>
    <n v="3"/>
    <s v="No"/>
    <x v="1"/>
    <s v="India"/>
    <x v="1"/>
    <s v="StayNest Lakeview"/>
    <x v="2"/>
    <s v="Resort"/>
    <n v="75"/>
    <x v="0"/>
    <s v="Retention"/>
    <d v="2025-09-25T00:00:00"/>
    <s v="No"/>
    <s v="No"/>
    <s v="Shoulder"/>
    <x v="1"/>
    <n v="0"/>
    <s v="8–30 days"/>
  </r>
  <r>
    <s v="B001682"/>
    <s v="G00023"/>
    <s v="H007"/>
    <s v="CH04"/>
    <d v="2025-05-04T00:00:00"/>
    <d v="2025-06-03T00:00:00"/>
    <x v="0"/>
    <n v="4251"/>
    <x v="0"/>
    <b v="0"/>
    <x v="2"/>
    <x v="1"/>
    <n v="2025"/>
    <n v="1"/>
    <n v="5"/>
    <n v="2025"/>
    <n v="6"/>
    <s v="No"/>
    <x v="1"/>
    <s v="India"/>
    <x v="0"/>
    <s v="StayNest Tech Park"/>
    <x v="6"/>
    <s v="Business"/>
    <n v="140"/>
    <x v="4"/>
    <s v="Partner"/>
    <d v="2025-06-03T00:00:00"/>
    <s v="No"/>
    <s v="No"/>
    <s v="Shoulder"/>
    <x v="1"/>
    <n v="0"/>
    <s v="8–30 days"/>
  </r>
  <r>
    <s v="B001683"/>
    <s v="G00288"/>
    <s v="H002"/>
    <s v="CH05"/>
    <d v="2025-01-17T00:00:00"/>
    <d v="2025-03-18T00:00:00"/>
    <x v="1"/>
    <n v="6347"/>
    <x v="2"/>
    <b v="0"/>
    <x v="1"/>
    <x v="3"/>
    <n v="2025"/>
    <n v="1"/>
    <n v="1"/>
    <n v="2025"/>
    <n v="4"/>
    <s v="No"/>
    <x v="3"/>
    <s v="United States"/>
    <x v="0"/>
    <s v="StayNest Central"/>
    <x v="0"/>
    <s v="Business"/>
    <n v="150"/>
    <x v="2"/>
    <s v="Corporate Rate"/>
    <d v="2025-03-18T00:00:00"/>
    <s v="No"/>
    <s v="No"/>
    <s v="Shoulder"/>
    <x v="1"/>
    <n v="0"/>
    <s v="31–90 days"/>
  </r>
  <r>
    <s v="B001684"/>
    <s v="G00048"/>
    <s v="H007"/>
    <s v="CH04"/>
    <d v="2025-07-30T00:00:00"/>
    <d v="2025-08-29T00:00:00"/>
    <x v="0"/>
    <n v="4192"/>
    <x v="2"/>
    <b v="0"/>
    <x v="2"/>
    <x v="7"/>
    <n v="2025"/>
    <n v="4"/>
    <n v="7"/>
    <n v="2025"/>
    <n v="2"/>
    <s v="No"/>
    <x v="3"/>
    <s v="India"/>
    <x v="0"/>
    <s v="StayNest Tech Park"/>
    <x v="6"/>
    <s v="Business"/>
    <n v="140"/>
    <x v="4"/>
    <s v="Partner"/>
    <d v="2025-08-29T00:00:00"/>
    <s v="No"/>
    <s v="No"/>
    <s v="Off-Peak"/>
    <x v="1"/>
    <n v="0"/>
    <s v="8–30 days"/>
  </r>
  <r>
    <s v="B001685"/>
    <s v="G00410"/>
    <s v="H001"/>
    <s v="CH06"/>
    <d v="2025-11-19T00:00:00"/>
    <d v="2026-01-18T00:00:00"/>
    <x v="3"/>
    <n v="11177"/>
    <x v="1"/>
    <b v="0"/>
    <x v="1"/>
    <x v="6"/>
    <n v="2026"/>
    <n v="6"/>
    <n v="11"/>
    <n v="2025"/>
    <n v="2"/>
    <s v="Yes"/>
    <x v="0"/>
    <s v="India"/>
    <x v="0"/>
    <s v="StayNest Marina"/>
    <x v="1"/>
    <s v="Business"/>
    <n v="120"/>
    <x v="0"/>
    <s v="Retention"/>
    <d v="2026-01-18T00:00:00"/>
    <s v="Yes"/>
    <s v="No"/>
    <s v="Off-Peak"/>
    <x v="1"/>
    <n v="1"/>
    <s v="31–90 days"/>
  </r>
  <r>
    <s v="B001686"/>
    <s v="G00467"/>
    <s v="H001"/>
    <s v="CH03"/>
    <d v="2026-10-26T00:00:00"/>
    <d v="2027-02-03T00:00:00"/>
    <x v="1"/>
    <n v="5121"/>
    <x v="1"/>
    <b v="0"/>
    <x v="0"/>
    <x v="0"/>
    <n v="2027"/>
    <n v="2"/>
    <n v="10"/>
    <n v="2026"/>
    <n v="0"/>
    <s v="No"/>
    <x v="1"/>
    <s v="India"/>
    <x v="0"/>
    <s v="StayNest Marina"/>
    <x v="1"/>
    <s v="Business"/>
    <n v="120"/>
    <x v="1"/>
    <s v="OTA Promo"/>
    <m/>
    <s v="Unknown"/>
    <s v="Unknown"/>
    <s v="Unknown"/>
    <x v="0"/>
    <n v="1"/>
    <s v="91–180 days"/>
  </r>
  <r>
    <s v="B001687"/>
    <s v="G00063"/>
    <s v="H002"/>
    <s v="CH04"/>
    <d v="2025-06-16T00:00:00"/>
    <d v="2025-07-16T00:00:00"/>
    <x v="2"/>
    <n v="2592"/>
    <x v="0"/>
    <b v="0"/>
    <x v="2"/>
    <x v="8"/>
    <n v="2025"/>
    <n v="2"/>
    <n v="6"/>
    <n v="2025"/>
    <n v="0"/>
    <s v="No"/>
    <x v="2"/>
    <s v="India"/>
    <x v="1"/>
    <s v="StayNest Central"/>
    <x v="0"/>
    <s v="Business"/>
    <n v="150"/>
    <x v="4"/>
    <s v="Partner"/>
    <d v="2025-07-16T00:00:00"/>
    <s v="No"/>
    <s v="No"/>
    <s v="Off-Peak"/>
    <x v="1"/>
    <n v="0"/>
    <s v="8–30 days"/>
  </r>
  <r>
    <s v="B001688"/>
    <s v="G00581"/>
    <s v="H009"/>
    <s v="CH02"/>
    <d v="2026-05-18T00:00:00"/>
    <d v="2026-05-21T00:00:00"/>
    <x v="0"/>
    <n v="4822"/>
    <x v="0"/>
    <b v="0"/>
    <x v="6"/>
    <x v="9"/>
    <n v="2026"/>
    <n v="3"/>
    <n v="5"/>
    <n v="2026"/>
    <n v="0"/>
    <s v="No"/>
    <x v="1"/>
    <s v="United States"/>
    <x v="0"/>
    <s v="StayNest Airport"/>
    <x v="9"/>
    <s v="Business"/>
    <n v="160"/>
    <x v="3"/>
    <s v="App Push"/>
    <d v="2026-05-21T00:00:00"/>
    <s v="No"/>
    <s v="No"/>
    <s v="Peak"/>
    <x v="1"/>
    <n v="0"/>
    <s v="0–7 days"/>
  </r>
  <r>
    <s v="B001689"/>
    <s v="G00007"/>
    <s v="H009"/>
    <s v="CH04"/>
    <d v="2025-11-12T00:00:00"/>
    <d v="2025-12-12T00:00:00"/>
    <x v="0"/>
    <n v="4695"/>
    <x v="0"/>
    <b v="0"/>
    <x v="2"/>
    <x v="5"/>
    <n v="2025"/>
    <n v="4"/>
    <n v="11"/>
    <n v="2025"/>
    <n v="2"/>
    <s v="No"/>
    <x v="0"/>
    <s v="India"/>
    <x v="0"/>
    <s v="StayNest Airport"/>
    <x v="9"/>
    <s v="Business"/>
    <n v="160"/>
    <x v="4"/>
    <s v="Partner"/>
    <d v="2025-12-12T00:00:00"/>
    <s v="No"/>
    <s v="No"/>
    <s v="Peak"/>
    <x v="1"/>
    <n v="0"/>
    <s v="8–30 days"/>
  </r>
  <r>
    <s v="B001690"/>
    <s v="G00241"/>
    <s v="H002"/>
    <s v="CH06"/>
    <d v="2025-09-01T00:00:00"/>
    <d v="2026-01-29T00:00:00"/>
    <x v="3"/>
    <n v="7425"/>
    <x v="3"/>
    <b v="0"/>
    <x v="5"/>
    <x v="6"/>
    <n v="2026"/>
    <n v="3"/>
    <n v="9"/>
    <n v="2025"/>
    <n v="0"/>
    <s v="No"/>
    <x v="1"/>
    <s v="Germany"/>
    <x v="0"/>
    <s v="StayNest Central"/>
    <x v="0"/>
    <s v="Business"/>
    <n v="150"/>
    <x v="0"/>
    <s v="Retention"/>
    <d v="2026-01-29T00:00:00"/>
    <s v="No"/>
    <s v="No"/>
    <s v="Off-Peak"/>
    <x v="1"/>
    <n v="0"/>
    <s v="91–180 days"/>
  </r>
  <r>
    <s v="B001691"/>
    <s v="G00461"/>
    <s v="H001"/>
    <s v="CH04"/>
    <d v="2026-09-06T00:00:00"/>
    <d v="2026-09-09T00:00:00"/>
    <x v="3"/>
    <n v="6516"/>
    <x v="0"/>
    <b v="0"/>
    <x v="6"/>
    <x v="10"/>
    <n v="2026"/>
    <n v="2"/>
    <n v="9"/>
    <n v="2026"/>
    <n v="6"/>
    <s v="No"/>
    <x v="2"/>
    <s v="Singapore"/>
    <x v="0"/>
    <s v="StayNest Marina"/>
    <x v="1"/>
    <s v="Business"/>
    <n v="120"/>
    <x v="4"/>
    <s v="Partner"/>
    <d v="2026-09-09T00:00:00"/>
    <s v="No"/>
    <s v="No"/>
    <s v="Shoulder"/>
    <x v="1"/>
    <n v="0"/>
    <s v="0–7 days"/>
  </r>
  <r>
    <s v="B001692"/>
    <s v="G00279"/>
    <s v="H004"/>
    <s v="CH05"/>
    <d v="2026-06-09T00:00:00"/>
    <d v="2026-08-08T00:00:00"/>
    <x v="3"/>
    <n v="7701"/>
    <x v="2"/>
    <b v="0"/>
    <x v="1"/>
    <x v="7"/>
    <n v="2026"/>
    <n v="5"/>
    <n v="6"/>
    <n v="2026"/>
    <n v="1"/>
    <s v="Yes"/>
    <x v="0"/>
    <s v="India"/>
    <x v="0"/>
    <s v="StayNest Lakeview"/>
    <x v="2"/>
    <s v="Resort"/>
    <n v="75"/>
    <x v="2"/>
    <s v="Corporate Rate"/>
    <d v="2026-08-08T00:00:00"/>
    <s v="Yes"/>
    <s v="No"/>
    <s v="Off-Peak"/>
    <x v="1"/>
    <n v="0"/>
    <s v="31–90 days"/>
  </r>
  <r>
    <s v="B001693"/>
    <s v="G00478"/>
    <s v="H012"/>
    <s v="CH05"/>
    <d v="2025-04-25T00:00:00"/>
    <d v="2025-05-09T00:00:00"/>
    <x v="2"/>
    <n v="3498"/>
    <x v="0"/>
    <b v="0"/>
    <x v="3"/>
    <x v="9"/>
    <n v="2025"/>
    <n v="4"/>
    <n v="4"/>
    <n v="2025"/>
    <n v="4"/>
    <s v="No"/>
    <x v="1"/>
    <s v="United States"/>
    <x v="0"/>
    <s v="StayNest Valley"/>
    <x v="4"/>
    <s v="Resort"/>
    <n v="65"/>
    <x v="2"/>
    <s v="Corporate Rate"/>
    <d v="2025-05-09T00:00:00"/>
    <s v="No"/>
    <s v="No"/>
    <s v="Peak"/>
    <x v="1"/>
    <n v="0"/>
    <s v="8–30 days"/>
  </r>
  <r>
    <s v="B001694"/>
    <s v="G00541"/>
    <s v="H010"/>
    <s v="CH01"/>
    <d v="2025-04-16T00:00:00"/>
    <d v="2025-04-30T00:00:00"/>
    <x v="3"/>
    <n v="11857"/>
    <x v="1"/>
    <b v="0"/>
    <x v="3"/>
    <x v="2"/>
    <n v="2025"/>
    <n v="2"/>
    <n v="4"/>
    <n v="2025"/>
    <n v="2"/>
    <s v="No"/>
    <x v="3"/>
    <s v="United Kingdom"/>
    <x v="0"/>
    <s v="StayNest Garden"/>
    <x v="10"/>
    <s v="Boutique"/>
    <n v="70"/>
    <x v="5"/>
    <s v="Direct"/>
    <d v="2025-04-30T00:00:00"/>
    <s v="No"/>
    <s v="No"/>
    <s v="Peak"/>
    <x v="1"/>
    <n v="1"/>
    <s v="8–30 days"/>
  </r>
  <r>
    <s v="B001695"/>
    <s v="G00460"/>
    <s v="H001"/>
    <s v="CH01"/>
    <d v="2026-05-03T00:00:00"/>
    <d v="2026-05-04T00:00:00"/>
    <x v="0"/>
    <n v="4722"/>
    <x v="0"/>
    <b v="0"/>
    <x v="7"/>
    <x v="9"/>
    <n v="2026"/>
    <n v="0"/>
    <n v="5"/>
    <n v="2026"/>
    <n v="6"/>
    <s v="No"/>
    <x v="2"/>
    <s v="India"/>
    <x v="1"/>
    <s v="StayNest Marina"/>
    <x v="1"/>
    <s v="Business"/>
    <n v="120"/>
    <x v="5"/>
    <s v="Direct"/>
    <d v="2026-05-04T00:00:00"/>
    <s v="No"/>
    <s v="No"/>
    <s v="Peak"/>
    <x v="1"/>
    <n v="0"/>
    <s v="0–7 days"/>
  </r>
  <r>
    <s v="B001696"/>
    <s v="G00553"/>
    <s v="H001"/>
    <s v="CH05"/>
    <d v="2026-10-18T00:00:00"/>
    <d v="2027-01-26T00:00:00"/>
    <x v="2"/>
    <n v="2526"/>
    <x v="0"/>
    <b v="0"/>
    <x v="0"/>
    <x v="6"/>
    <n v="2027"/>
    <n v="1"/>
    <n v="10"/>
    <n v="2026"/>
    <n v="6"/>
    <s v="No"/>
    <x v="1"/>
    <s v="India"/>
    <x v="0"/>
    <s v="StayNest Marina"/>
    <x v="1"/>
    <s v="Business"/>
    <n v="120"/>
    <x v="2"/>
    <s v="Corporate Rate"/>
    <m/>
    <s v="Unknown"/>
    <s v="Unknown"/>
    <s v="Unknown"/>
    <x v="0"/>
    <n v="0"/>
    <s v="91–180 days"/>
  </r>
  <r>
    <s v="B001697"/>
    <s v="G00304"/>
    <s v="H005"/>
    <s v="CH05"/>
    <d v="2025-12-01T00:00:00"/>
    <d v="2026-01-30T00:00:00"/>
    <x v="2"/>
    <n v="3137"/>
    <x v="3"/>
    <b v="0"/>
    <x v="1"/>
    <x v="6"/>
    <n v="2026"/>
    <n v="4"/>
    <n v="12"/>
    <n v="2025"/>
    <n v="0"/>
    <s v="No"/>
    <x v="3"/>
    <s v="India"/>
    <x v="0"/>
    <s v="StayNest Heritage"/>
    <x v="11"/>
    <s v="Heritage"/>
    <n v="90"/>
    <x v="2"/>
    <s v="Corporate Rate"/>
    <d v="2026-01-30T00:00:00"/>
    <s v="No"/>
    <s v="No"/>
    <s v="Off-Peak"/>
    <x v="1"/>
    <n v="0"/>
    <s v="31–90 days"/>
  </r>
  <r>
    <s v="B001698"/>
    <s v="G00189"/>
    <s v="H011"/>
    <s v="CH06"/>
    <d v="2026-04-24T00:00:00"/>
    <d v="2026-05-24T00:00:00"/>
    <x v="2"/>
    <n v="3058"/>
    <x v="2"/>
    <b v="0"/>
    <x v="2"/>
    <x v="9"/>
    <n v="2026"/>
    <n v="6"/>
    <n v="4"/>
    <n v="2026"/>
    <n v="4"/>
    <s v="Yes"/>
    <x v="0"/>
    <s v="United Kingdom"/>
    <x v="1"/>
    <s v="StayNest Grand"/>
    <x v="8"/>
    <s v="Business"/>
    <n v="110"/>
    <x v="0"/>
    <s v="Retention"/>
    <d v="2026-05-24T00:00:00"/>
    <s v="Yes"/>
    <s v="No"/>
    <s v="Peak"/>
    <x v="1"/>
    <n v="0"/>
    <s v="8–30 days"/>
  </r>
  <r>
    <s v="B001699"/>
    <s v="G00395"/>
    <s v="H002"/>
    <s v="CH02"/>
    <d v="2026-04-29T00:00:00"/>
    <d v="2026-05-13T00:00:00"/>
    <x v="0"/>
    <n v="3635"/>
    <x v="0"/>
    <b v="0"/>
    <x v="3"/>
    <x v="9"/>
    <n v="2026"/>
    <n v="2"/>
    <n v="4"/>
    <n v="2026"/>
    <n v="2"/>
    <s v="No"/>
    <x v="1"/>
    <s v="Singapore"/>
    <x v="1"/>
    <s v="StayNest Central"/>
    <x v="0"/>
    <s v="Business"/>
    <n v="150"/>
    <x v="3"/>
    <s v="App Push"/>
    <d v="2026-05-13T00:00:00"/>
    <s v="No"/>
    <s v="No"/>
    <s v="Peak"/>
    <x v="1"/>
    <n v="0"/>
    <s v="8–30 days"/>
  </r>
  <r>
    <s v="B001700"/>
    <s v="G00059"/>
    <s v="H011"/>
    <s v="CH02"/>
    <d v="2026-03-08T00:00:00"/>
    <d v="2026-03-15T00:00:00"/>
    <x v="3"/>
    <n v="9171"/>
    <x v="0"/>
    <b v="0"/>
    <x v="4"/>
    <x v="3"/>
    <n v="2026"/>
    <n v="6"/>
    <n v="3"/>
    <n v="2026"/>
    <n v="6"/>
    <s v="Yes"/>
    <x v="0"/>
    <s v="India"/>
    <x v="1"/>
    <s v="StayNest Grand"/>
    <x v="8"/>
    <s v="Business"/>
    <n v="110"/>
    <x v="3"/>
    <s v="App Push"/>
    <d v="2026-03-15T00:00:00"/>
    <s v="Yes"/>
    <s v="No"/>
    <s v="Shoulder"/>
    <x v="1"/>
    <n v="0"/>
    <s v="0–7 days"/>
  </r>
  <r>
    <s v="B001701"/>
    <s v="G00260"/>
    <s v="H006"/>
    <s v="CH05"/>
    <d v="2026-11-28T00:00:00"/>
    <d v="2027-03-08T00:00:00"/>
    <x v="1"/>
    <n v="8013"/>
    <x v="2"/>
    <b v="0"/>
    <x v="0"/>
    <x v="3"/>
    <n v="2027"/>
    <n v="0"/>
    <n v="11"/>
    <n v="2026"/>
    <n v="5"/>
    <s v="No"/>
    <x v="2"/>
    <s v="India"/>
    <x v="1"/>
    <s v="StayNest Beach"/>
    <x v="3"/>
    <s v="Resort"/>
    <n v="100"/>
    <x v="2"/>
    <s v="Corporate Rate"/>
    <m/>
    <s v="Unknown"/>
    <s v="Unknown"/>
    <s v="Unknown"/>
    <x v="0"/>
    <n v="0"/>
    <s v="91–180 days"/>
  </r>
  <r>
    <s v="B001702"/>
    <s v="G00147"/>
    <s v="H005"/>
    <s v="CH02"/>
    <d v="2026-11-05T00:00:00"/>
    <d v="2027-02-13T00:00:00"/>
    <x v="0"/>
    <n v="3576"/>
    <x v="1"/>
    <b v="0"/>
    <x v="0"/>
    <x v="0"/>
    <n v="2027"/>
    <n v="5"/>
    <n v="11"/>
    <n v="2026"/>
    <n v="3"/>
    <s v="Yes"/>
    <x v="3"/>
    <s v="United Kingdom"/>
    <x v="0"/>
    <s v="StayNest Heritage"/>
    <x v="11"/>
    <s v="Heritage"/>
    <n v="90"/>
    <x v="3"/>
    <s v="App Push"/>
    <m/>
    <s v="Unknown"/>
    <s v="Unknown"/>
    <s v="Unknown"/>
    <x v="0"/>
    <n v="1"/>
    <s v="91–180 days"/>
  </r>
  <r>
    <s v="B001703"/>
    <s v="G00229"/>
    <s v="H008"/>
    <s v="CH03"/>
    <d v="2025-09-12T00:00:00"/>
    <d v="2025-09-13T00:00:00"/>
    <x v="3"/>
    <n v="6981"/>
    <x v="0"/>
    <b v="0"/>
    <x v="7"/>
    <x v="10"/>
    <n v="2025"/>
    <n v="5"/>
    <n v="9"/>
    <n v="2025"/>
    <n v="4"/>
    <s v="Yes"/>
    <x v="1"/>
    <s v="India"/>
    <x v="0"/>
    <s v="StayNest Palace"/>
    <x v="7"/>
    <s v="Heritage"/>
    <n v="85"/>
    <x v="1"/>
    <s v="OTA Promo"/>
    <d v="2025-09-13T00:00:00"/>
    <s v="Yes"/>
    <s v="No"/>
    <s v="Shoulder"/>
    <x v="1"/>
    <n v="0"/>
    <s v="0–7 days"/>
  </r>
  <r>
    <s v="B001704"/>
    <s v="G00136"/>
    <s v="H005"/>
    <s v="CH02"/>
    <d v="2026-01-20T00:00:00"/>
    <d v="2026-01-27T00:00:00"/>
    <x v="3"/>
    <n v="8321"/>
    <x v="2"/>
    <b v="0"/>
    <x v="4"/>
    <x v="6"/>
    <n v="2026"/>
    <n v="1"/>
    <n v="1"/>
    <n v="2026"/>
    <n v="1"/>
    <s v="No"/>
    <x v="1"/>
    <s v="India"/>
    <x v="0"/>
    <s v="StayNest Heritage"/>
    <x v="11"/>
    <s v="Heritage"/>
    <n v="90"/>
    <x v="3"/>
    <s v="App Push"/>
    <d v="2026-01-27T00:00:00"/>
    <s v="No"/>
    <s v="No"/>
    <s v="Off-Peak"/>
    <x v="1"/>
    <n v="0"/>
    <s v="0–7 days"/>
  </r>
  <r>
    <s v="B001705"/>
    <s v="G00546"/>
    <s v="H008"/>
    <s v="CH03"/>
    <d v="2025-10-13T00:00:00"/>
    <d v="2025-12-12T00:00:00"/>
    <x v="0"/>
    <n v="4614"/>
    <x v="2"/>
    <b v="0"/>
    <x v="1"/>
    <x v="5"/>
    <n v="2025"/>
    <n v="4"/>
    <n v="10"/>
    <n v="2025"/>
    <n v="0"/>
    <s v="No"/>
    <x v="1"/>
    <s v="India"/>
    <x v="0"/>
    <s v="StayNest Palace"/>
    <x v="7"/>
    <s v="Heritage"/>
    <n v="85"/>
    <x v="1"/>
    <s v="OTA Promo"/>
    <d v="2025-12-12T00:00:00"/>
    <s v="No"/>
    <s v="No"/>
    <s v="Peak"/>
    <x v="1"/>
    <n v="0"/>
    <s v="31–90 days"/>
  </r>
  <r>
    <s v="B001706"/>
    <s v="G00463"/>
    <s v="H008"/>
    <s v="CH02"/>
    <d v="2026-06-15T00:00:00"/>
    <d v="2026-06-29T00:00:00"/>
    <x v="1"/>
    <n v="5945"/>
    <x v="2"/>
    <b v="0"/>
    <x v="3"/>
    <x v="1"/>
    <n v="2026"/>
    <n v="0"/>
    <n v="6"/>
    <n v="2026"/>
    <n v="0"/>
    <s v="No"/>
    <x v="0"/>
    <s v="United States"/>
    <x v="1"/>
    <s v="StayNest Palace"/>
    <x v="7"/>
    <s v="Heritage"/>
    <n v="85"/>
    <x v="3"/>
    <s v="App Push"/>
    <d v="2026-06-29T00:00:00"/>
    <s v="No"/>
    <s v="No"/>
    <s v="Shoulder"/>
    <x v="1"/>
    <n v="0"/>
    <s v="8–30 days"/>
  </r>
  <r>
    <s v="B001707"/>
    <s v="G00619"/>
    <s v="H010"/>
    <s v="CH05"/>
    <d v="2026-02-22T00:00:00"/>
    <d v="2026-03-01T00:00:00"/>
    <x v="2"/>
    <n v="2963"/>
    <x v="2"/>
    <b v="0"/>
    <x v="4"/>
    <x v="3"/>
    <n v="2026"/>
    <n v="6"/>
    <n v="2"/>
    <n v="2026"/>
    <n v="6"/>
    <s v="Yes"/>
    <x v="0"/>
    <s v="India"/>
    <x v="0"/>
    <s v="StayNest Garden"/>
    <x v="10"/>
    <s v="Boutique"/>
    <n v="70"/>
    <x v="2"/>
    <s v="Corporate Rate"/>
    <d v="2026-03-01T00:00:00"/>
    <s v="Yes"/>
    <s v="No"/>
    <s v="Shoulder"/>
    <x v="1"/>
    <n v="0"/>
    <s v="0–7 days"/>
  </r>
  <r>
    <s v="B001709"/>
    <s v="G00394"/>
    <s v="H007"/>
    <s v="CH04"/>
    <d v="2025-03-16T00:00:00"/>
    <d v="2025-08-13T00:00:00"/>
    <x v="1"/>
    <n v="7499"/>
    <x v="3"/>
    <b v="0"/>
    <x v="5"/>
    <x v="7"/>
    <n v="2025"/>
    <n v="2"/>
    <n v="3"/>
    <n v="2025"/>
    <n v="6"/>
    <s v="No"/>
    <x v="3"/>
    <s v="Singapore"/>
    <x v="0"/>
    <s v="StayNest Tech Park"/>
    <x v="6"/>
    <s v="Business"/>
    <n v="140"/>
    <x v="4"/>
    <s v="Partner"/>
    <d v="2025-08-13T00:00:00"/>
    <s v="No"/>
    <s v="No"/>
    <s v="Off-Peak"/>
    <x v="1"/>
    <n v="0"/>
    <s v="91–180 days"/>
  </r>
  <r>
    <s v="B001710"/>
    <s v="G00159"/>
    <s v="H010"/>
    <s v="CH06"/>
    <d v="2026-09-10T00:00:00"/>
    <d v="2026-11-09T00:00:00"/>
    <x v="0"/>
    <n v="5764"/>
    <x v="0"/>
    <b v="0"/>
    <x v="1"/>
    <x v="4"/>
    <n v="2026"/>
    <n v="0"/>
    <n v="9"/>
    <n v="2026"/>
    <n v="3"/>
    <s v="No"/>
    <x v="3"/>
    <s v="UAE"/>
    <x v="0"/>
    <s v="StayNest Garden"/>
    <x v="10"/>
    <s v="Boutique"/>
    <n v="70"/>
    <x v="0"/>
    <s v="Retention"/>
    <d v="2026-11-09T00:00:00"/>
    <s v="No"/>
    <s v="No"/>
    <s v="Off-Peak"/>
    <x v="1"/>
    <n v="0"/>
    <s v="31–90 days"/>
  </r>
  <r>
    <s v="B001711"/>
    <s v="G00508"/>
    <s v="H008"/>
    <s v="CH05"/>
    <d v="2025-07-11T00:00:00"/>
    <d v="2025-07-25T00:00:00"/>
    <x v="1"/>
    <n v="6043"/>
    <x v="1"/>
    <b v="0"/>
    <x v="3"/>
    <x v="8"/>
    <n v="2025"/>
    <n v="4"/>
    <n v="7"/>
    <n v="2025"/>
    <n v="4"/>
    <s v="No"/>
    <x v="1"/>
    <s v="United States"/>
    <x v="0"/>
    <s v="StayNest Palace"/>
    <x v="7"/>
    <s v="Heritage"/>
    <n v="85"/>
    <x v="2"/>
    <s v="Corporate Rate"/>
    <d v="2025-07-25T00:00:00"/>
    <s v="No"/>
    <s v="No"/>
    <s v="Off-Peak"/>
    <x v="1"/>
    <n v="1"/>
    <s v="8–30 days"/>
  </r>
  <r>
    <s v="B001712"/>
    <s v="G00258"/>
    <s v="H010"/>
    <s v="CH02"/>
    <d v="2025-04-08T00:00:00"/>
    <d v="2025-04-22T00:00:00"/>
    <x v="0"/>
    <n v="20665"/>
    <x v="0"/>
    <b v="0"/>
    <x v="3"/>
    <x v="2"/>
    <n v="2025"/>
    <n v="1"/>
    <n v="4"/>
    <n v="2025"/>
    <n v="1"/>
    <s v="No"/>
    <x v="1"/>
    <s v="India"/>
    <x v="0"/>
    <s v="StayNest Garden"/>
    <x v="10"/>
    <s v="Boutique"/>
    <n v="70"/>
    <x v="3"/>
    <s v="App Push"/>
    <d v="2025-04-22T00:00:00"/>
    <s v="No"/>
    <s v="No"/>
    <s v="Peak"/>
    <x v="1"/>
    <n v="0"/>
    <s v="8–30 days"/>
  </r>
  <r>
    <s v="B001713"/>
    <s v="G00051"/>
    <s v="H011"/>
    <s v="CH06"/>
    <d v="2026-04-23T00:00:00"/>
    <d v="2026-09-20T00:00:00"/>
    <x v="0"/>
    <n v="3775"/>
    <x v="1"/>
    <b v="0"/>
    <x v="5"/>
    <x v="10"/>
    <n v="2026"/>
    <n v="6"/>
    <n v="4"/>
    <n v="2026"/>
    <n v="3"/>
    <s v="Yes"/>
    <x v="2"/>
    <s v="India"/>
    <x v="0"/>
    <s v="StayNest Grand"/>
    <x v="8"/>
    <s v="Business"/>
    <n v="110"/>
    <x v="0"/>
    <s v="Retention"/>
    <d v="2026-09-20T00:00:00"/>
    <s v="Yes"/>
    <s v="No"/>
    <s v="Shoulder"/>
    <x v="1"/>
    <n v="1"/>
    <s v="91–180 days"/>
  </r>
  <r>
    <s v="B001714"/>
    <s v="G00035"/>
    <s v="H005"/>
    <s v="CH06"/>
    <d v="2026-08-01T00:00:00"/>
    <d v="2026-08-02T00:00:00"/>
    <x v="3"/>
    <n v="10731"/>
    <x v="2"/>
    <b v="0"/>
    <x v="7"/>
    <x v="7"/>
    <n v="2026"/>
    <n v="6"/>
    <n v="8"/>
    <n v="2026"/>
    <n v="5"/>
    <s v="Yes"/>
    <x v="0"/>
    <s v="India"/>
    <x v="1"/>
    <s v="StayNest Heritage"/>
    <x v="11"/>
    <s v="Heritage"/>
    <n v="90"/>
    <x v="0"/>
    <s v="Retention"/>
    <d v="2026-08-02T00:00:00"/>
    <s v="Yes"/>
    <s v="No"/>
    <s v="Off-Peak"/>
    <x v="1"/>
    <n v="0"/>
    <s v="0–7 days"/>
  </r>
  <r>
    <s v="B001715"/>
    <s v="G00557"/>
    <s v="H008"/>
    <s v="CH02"/>
    <d v="2025-02-03T00:00:00"/>
    <d v="2025-03-05T00:00:00"/>
    <x v="1"/>
    <n v="5654"/>
    <x v="2"/>
    <b v="0"/>
    <x v="2"/>
    <x v="3"/>
    <n v="2025"/>
    <n v="2"/>
    <n v="2"/>
    <n v="2025"/>
    <n v="0"/>
    <s v="No"/>
    <x v="3"/>
    <s v="Singapore"/>
    <x v="0"/>
    <s v="StayNest Palace"/>
    <x v="7"/>
    <s v="Heritage"/>
    <n v="85"/>
    <x v="3"/>
    <s v="App Push"/>
    <d v="2025-03-05T00:00:00"/>
    <s v="No"/>
    <s v="No"/>
    <s v="Shoulder"/>
    <x v="1"/>
    <n v="0"/>
    <s v="8–30 days"/>
  </r>
  <r>
    <s v="B001716"/>
    <s v="G00304"/>
    <s v="H001"/>
    <s v="CH03"/>
    <d v="2026-09-28T00:00:00"/>
    <d v="2027-02-25T00:00:00"/>
    <x v="0"/>
    <n v="4248"/>
    <x v="1"/>
    <b v="0"/>
    <x v="5"/>
    <x v="0"/>
    <n v="2027"/>
    <n v="3"/>
    <n v="9"/>
    <n v="2026"/>
    <n v="0"/>
    <s v="No"/>
    <x v="3"/>
    <s v="India"/>
    <x v="0"/>
    <s v="StayNest Marina"/>
    <x v="1"/>
    <s v="Business"/>
    <n v="120"/>
    <x v="1"/>
    <s v="OTA Promo"/>
    <m/>
    <s v="Unknown"/>
    <s v="Unknown"/>
    <s v="Unknown"/>
    <x v="0"/>
    <n v="1"/>
    <s v="91–180 days"/>
  </r>
  <r>
    <s v="B001718"/>
    <s v="G00583"/>
    <s v="H009"/>
    <s v="CH01"/>
    <d v="2026-10-27T00:00:00"/>
    <d v="2027-06-04T00:00:00"/>
    <x v="3"/>
    <n v="6535"/>
    <x v="0"/>
    <b v="0"/>
    <x v="8"/>
    <x v="1"/>
    <n v="2027"/>
    <n v="4"/>
    <n v="10"/>
    <n v="2026"/>
    <n v="1"/>
    <s v="No"/>
    <x v="0"/>
    <s v="India"/>
    <x v="1"/>
    <s v="StayNest Airport"/>
    <x v="9"/>
    <s v="Business"/>
    <n v="160"/>
    <x v="5"/>
    <s v="Direct"/>
    <m/>
    <s v="Unknown"/>
    <s v="Unknown"/>
    <s v="Unknown"/>
    <x v="0"/>
    <n v="0"/>
    <s v="181+ days"/>
  </r>
  <r>
    <s v="B001719"/>
    <s v="G00003"/>
    <s v="H008"/>
    <s v="CH05"/>
    <d v="2026-02-23T00:00:00"/>
    <d v="2026-03-09T00:00:00"/>
    <x v="1"/>
    <n v="8103"/>
    <x v="0"/>
    <b v="0"/>
    <x v="3"/>
    <x v="3"/>
    <n v="2026"/>
    <n v="0"/>
    <n v="2"/>
    <n v="2026"/>
    <n v="0"/>
    <s v="No"/>
    <x v="2"/>
    <s v="India"/>
    <x v="0"/>
    <s v="StayNest Palace"/>
    <x v="7"/>
    <s v="Heritage"/>
    <n v="85"/>
    <x v="2"/>
    <s v="Corporate Rate"/>
    <d v="2026-03-09T00:00:00"/>
    <s v="No"/>
    <s v="No"/>
    <s v="Shoulder"/>
    <x v="1"/>
    <n v="0"/>
    <s v="8–30 days"/>
  </r>
  <r>
    <s v="B001720"/>
    <s v="G00298"/>
    <s v="H001"/>
    <s v="CH03"/>
    <d v="2025-09-11T00:00:00"/>
    <d v="2025-11-10T00:00:00"/>
    <x v="3"/>
    <n v="7838"/>
    <x v="1"/>
    <b v="0"/>
    <x v="1"/>
    <x v="4"/>
    <n v="2025"/>
    <n v="0"/>
    <n v="9"/>
    <n v="2025"/>
    <n v="3"/>
    <s v="No"/>
    <x v="3"/>
    <s v="India"/>
    <x v="0"/>
    <s v="StayNest Marina"/>
    <x v="1"/>
    <s v="Business"/>
    <n v="120"/>
    <x v="1"/>
    <s v="OTA Promo"/>
    <d v="2025-11-10T00:00:00"/>
    <s v="No"/>
    <s v="No"/>
    <s v="Off-Peak"/>
    <x v="1"/>
    <n v="1"/>
    <s v="31–90 days"/>
  </r>
  <r>
    <s v="B001721"/>
    <s v="G00199"/>
    <s v="H008"/>
    <s v="CH06"/>
    <d v="2026-09-26T00:00:00"/>
    <d v="2026-10-03T00:00:00"/>
    <x v="1"/>
    <n v="7007"/>
    <x v="0"/>
    <b v="0"/>
    <x v="4"/>
    <x v="11"/>
    <n v="2026"/>
    <n v="5"/>
    <n v="9"/>
    <n v="2026"/>
    <n v="5"/>
    <s v="Yes"/>
    <x v="1"/>
    <s v="UAE"/>
    <x v="0"/>
    <s v="StayNest Palace"/>
    <x v="7"/>
    <s v="Heritage"/>
    <n v="85"/>
    <x v="0"/>
    <s v="Retention"/>
    <d v="2026-10-03T00:00:00"/>
    <s v="Yes"/>
    <s v="No"/>
    <s v="Shoulder"/>
    <x v="1"/>
    <n v="0"/>
    <s v="0–7 days"/>
  </r>
  <r>
    <s v="B001722"/>
    <s v="G00359"/>
    <s v="H001"/>
    <s v="CH02"/>
    <d v="2026-03-06T00:00:00"/>
    <d v="2026-03-09T00:00:00"/>
    <x v="0"/>
    <n v="4866"/>
    <x v="0"/>
    <b v="0"/>
    <x v="6"/>
    <x v="3"/>
    <n v="2026"/>
    <n v="0"/>
    <n v="3"/>
    <n v="2026"/>
    <n v="4"/>
    <s v="No"/>
    <x v="0"/>
    <s v="Singapore"/>
    <x v="0"/>
    <s v="StayNest Marina"/>
    <x v="1"/>
    <s v="Business"/>
    <n v="120"/>
    <x v="3"/>
    <s v="App Push"/>
    <d v="2026-03-09T00:00:00"/>
    <s v="No"/>
    <s v="No"/>
    <s v="Shoulder"/>
    <x v="1"/>
    <n v="0"/>
    <s v="0–7 days"/>
  </r>
  <r>
    <s v="B001723"/>
    <s v="G00204"/>
    <s v="H009"/>
    <s v="CH04"/>
    <d v="2025-07-18T00:00:00"/>
    <d v="2025-07-25T00:00:00"/>
    <x v="2"/>
    <n v="2810"/>
    <x v="0"/>
    <b v="0"/>
    <x v="4"/>
    <x v="8"/>
    <n v="2025"/>
    <n v="4"/>
    <n v="7"/>
    <n v="2025"/>
    <n v="4"/>
    <s v="No"/>
    <x v="1"/>
    <s v="United States"/>
    <x v="0"/>
    <s v="StayNest Airport"/>
    <x v="9"/>
    <s v="Business"/>
    <n v="160"/>
    <x v="4"/>
    <s v="Partner"/>
    <d v="2025-07-25T00:00:00"/>
    <s v="No"/>
    <s v="No"/>
    <s v="Off-Peak"/>
    <x v="1"/>
    <n v="0"/>
    <s v="0–7 days"/>
  </r>
  <r>
    <s v="B001724"/>
    <s v="G00564"/>
    <s v="H010"/>
    <s v="CH01"/>
    <d v="2025-10-05T00:00:00"/>
    <d v="2025-11-04T00:00:00"/>
    <x v="2"/>
    <n v="3735"/>
    <x v="3"/>
    <b v="0"/>
    <x v="2"/>
    <x v="4"/>
    <n v="2025"/>
    <n v="1"/>
    <n v="10"/>
    <n v="2025"/>
    <n v="6"/>
    <s v="No"/>
    <x v="1"/>
    <s v="Germany"/>
    <x v="0"/>
    <s v="StayNest Garden"/>
    <x v="10"/>
    <s v="Boutique"/>
    <n v="70"/>
    <x v="5"/>
    <s v="Direct"/>
    <d v="2025-11-04T00:00:00"/>
    <s v="No"/>
    <s v="No"/>
    <s v="Off-Peak"/>
    <x v="1"/>
    <n v="0"/>
    <s v="8–30 days"/>
  </r>
  <r>
    <s v="B001725"/>
    <s v="G00006"/>
    <s v="H012"/>
    <s v="CH04"/>
    <d v="2026-02-28T00:00:00"/>
    <d v="2026-03-14T00:00:00"/>
    <x v="2"/>
    <n v="3489"/>
    <x v="0"/>
    <b v="0"/>
    <x v="3"/>
    <x v="3"/>
    <n v="2026"/>
    <n v="5"/>
    <n v="2"/>
    <n v="2026"/>
    <n v="5"/>
    <s v="Yes"/>
    <x v="3"/>
    <s v="India"/>
    <x v="0"/>
    <s v="StayNest Valley"/>
    <x v="4"/>
    <s v="Resort"/>
    <n v="65"/>
    <x v="4"/>
    <s v="Partner"/>
    <d v="2026-03-14T00:00:00"/>
    <s v="Yes"/>
    <s v="No"/>
    <s v="Shoulder"/>
    <x v="1"/>
    <n v="0"/>
    <s v="8–30 days"/>
  </r>
  <r>
    <s v="B001726"/>
    <s v="G00245"/>
    <s v="H011"/>
    <s v="CH02"/>
    <d v="2026-07-06T00:00:00"/>
    <d v="2026-08-05T00:00:00"/>
    <x v="2"/>
    <n v="2920"/>
    <x v="0"/>
    <b v="0"/>
    <x v="2"/>
    <x v="7"/>
    <n v="2026"/>
    <n v="2"/>
    <n v="7"/>
    <n v="2026"/>
    <n v="0"/>
    <s v="No"/>
    <x v="2"/>
    <s v="India"/>
    <x v="0"/>
    <s v="StayNest Grand"/>
    <x v="8"/>
    <s v="Business"/>
    <n v="110"/>
    <x v="3"/>
    <s v="App Push"/>
    <d v="2026-08-05T00:00:00"/>
    <s v="No"/>
    <s v="No"/>
    <s v="Off-Peak"/>
    <x v="1"/>
    <n v="0"/>
    <s v="8–30 days"/>
  </r>
  <r>
    <s v="B001727"/>
    <s v="G00363"/>
    <s v="H009"/>
    <s v="CH01"/>
    <d v="2025-12-19T00:00:00"/>
    <d v="2026-01-02T00:00:00"/>
    <x v="2"/>
    <n v="2857"/>
    <x v="2"/>
    <b v="0"/>
    <x v="3"/>
    <x v="6"/>
    <n v="2026"/>
    <n v="4"/>
    <n v="12"/>
    <n v="2025"/>
    <n v="4"/>
    <s v="No"/>
    <x v="3"/>
    <s v="India"/>
    <x v="0"/>
    <s v="StayNest Airport"/>
    <x v="9"/>
    <s v="Business"/>
    <n v="160"/>
    <x v="5"/>
    <s v="Direct"/>
    <d v="2026-01-02T00:00:00"/>
    <s v="No"/>
    <s v="No"/>
    <s v="Off-Peak"/>
    <x v="1"/>
    <n v="0"/>
    <s v="8–30 days"/>
  </r>
  <r>
    <s v="B001728"/>
    <s v="G00255"/>
    <s v="H010"/>
    <s v="CH06"/>
    <d v="2025-04-30T00:00:00"/>
    <d v="2025-09-27T00:00:00"/>
    <x v="2"/>
    <n v="3881"/>
    <x v="2"/>
    <b v="0"/>
    <x v="5"/>
    <x v="10"/>
    <n v="2025"/>
    <n v="5"/>
    <n v="4"/>
    <n v="2025"/>
    <n v="2"/>
    <s v="Yes"/>
    <x v="0"/>
    <s v="India"/>
    <x v="0"/>
    <s v="StayNest Garden"/>
    <x v="10"/>
    <s v="Boutique"/>
    <n v="70"/>
    <x v="0"/>
    <s v="Retention"/>
    <d v="2025-09-27T00:00:00"/>
    <s v="Yes"/>
    <s v="No"/>
    <s v="Shoulder"/>
    <x v="1"/>
    <n v="0"/>
    <s v="91–180 days"/>
  </r>
  <r>
    <s v="B001729"/>
    <s v="G00013"/>
    <s v="H012"/>
    <s v="CH03"/>
    <d v="2025-11-23T00:00:00"/>
    <d v="2026-03-03T00:00:00"/>
    <x v="2"/>
    <n v="2765"/>
    <x v="0"/>
    <b v="0"/>
    <x v="0"/>
    <x v="3"/>
    <n v="2026"/>
    <n v="1"/>
    <n v="11"/>
    <n v="2025"/>
    <n v="6"/>
    <s v="No"/>
    <x v="0"/>
    <s v="India"/>
    <x v="0"/>
    <s v="StayNest Valley"/>
    <x v="4"/>
    <s v="Resort"/>
    <n v="65"/>
    <x v="1"/>
    <s v="OTA Promo"/>
    <d v="2026-03-03T00:00:00"/>
    <s v="No"/>
    <s v="No"/>
    <s v="Shoulder"/>
    <x v="1"/>
    <n v="0"/>
    <s v="91–180 days"/>
  </r>
  <r>
    <s v="B001730"/>
    <s v="G00084"/>
    <s v="H009"/>
    <s v="CH01"/>
    <d v="2026-11-29T00:00:00"/>
    <d v="2026-12-06T00:00:00"/>
    <x v="1"/>
    <n v="5977"/>
    <x v="0"/>
    <b v="0"/>
    <x v="4"/>
    <x v="5"/>
    <n v="2026"/>
    <n v="6"/>
    <n v="11"/>
    <n v="2026"/>
    <n v="6"/>
    <s v="Yes"/>
    <x v="1"/>
    <s v="India"/>
    <x v="0"/>
    <s v="StayNest Airport"/>
    <x v="9"/>
    <s v="Business"/>
    <n v="160"/>
    <x v="5"/>
    <s v="Direct"/>
    <d v="2026-12-06T00:00:00"/>
    <s v="Yes"/>
    <s v="No"/>
    <s v="Peak"/>
    <x v="1"/>
    <n v="0"/>
    <s v="0–7 days"/>
  </r>
  <r>
    <s v="B001731"/>
    <s v="G00409"/>
    <s v="H011"/>
    <s v="CH03"/>
    <d v="2026-10-06T00:00:00"/>
    <d v="2027-05-14T00:00:00"/>
    <x v="2"/>
    <n v="3293"/>
    <x v="1"/>
    <b v="0"/>
    <x v="8"/>
    <x v="9"/>
    <n v="2027"/>
    <n v="4"/>
    <n v="10"/>
    <n v="2026"/>
    <n v="1"/>
    <s v="No"/>
    <x v="0"/>
    <s v="India"/>
    <x v="0"/>
    <s v="StayNest Grand"/>
    <x v="8"/>
    <s v="Business"/>
    <n v="110"/>
    <x v="1"/>
    <s v="OTA Promo"/>
    <m/>
    <s v="Unknown"/>
    <s v="Unknown"/>
    <s v="Unknown"/>
    <x v="0"/>
    <n v="1"/>
    <s v="181+ days"/>
  </r>
  <r>
    <s v="B001732"/>
    <s v="G00347"/>
    <s v="H002"/>
    <s v="CH04"/>
    <d v="2025-10-17T00:00:00"/>
    <d v="2025-12-16T00:00:00"/>
    <x v="0"/>
    <n v="4469"/>
    <x v="2"/>
    <b v="0"/>
    <x v="1"/>
    <x v="5"/>
    <n v="2025"/>
    <n v="1"/>
    <n v="10"/>
    <n v="2025"/>
    <n v="4"/>
    <s v="No"/>
    <x v="1"/>
    <s v="Unknown"/>
    <x v="0"/>
    <s v="StayNest Central"/>
    <x v="0"/>
    <s v="Business"/>
    <n v="150"/>
    <x v="4"/>
    <s v="Partner"/>
    <d v="2025-12-16T00:00:00"/>
    <s v="No"/>
    <s v="No"/>
    <s v="Peak"/>
    <x v="1"/>
    <n v="0"/>
    <s v="31–90 days"/>
  </r>
  <r>
    <s v="B001733"/>
    <s v="G00620"/>
    <s v="H008"/>
    <s v="CH03"/>
    <d v="2025-09-27T00:00:00"/>
    <d v="2026-01-05T00:00:00"/>
    <x v="2"/>
    <n v="3198"/>
    <x v="3"/>
    <b v="0"/>
    <x v="0"/>
    <x v="6"/>
    <n v="2026"/>
    <n v="0"/>
    <n v="9"/>
    <n v="2025"/>
    <n v="5"/>
    <s v="No"/>
    <x v="1"/>
    <s v="Singapore"/>
    <x v="0"/>
    <s v="StayNest Palace"/>
    <x v="7"/>
    <s v="Heritage"/>
    <n v="85"/>
    <x v="1"/>
    <s v="OTA Promo"/>
    <d v="2026-01-05T00:00:00"/>
    <s v="No"/>
    <s v="No"/>
    <s v="Off-Peak"/>
    <x v="1"/>
    <n v="0"/>
    <s v="91–180 days"/>
  </r>
  <r>
    <s v="B001734"/>
    <s v="G00044"/>
    <s v="H010"/>
    <s v="CH02"/>
    <d v="2025-02-12T00:00:00"/>
    <d v="2025-09-20T00:00:00"/>
    <x v="2"/>
    <n v="3632"/>
    <x v="2"/>
    <b v="0"/>
    <x v="8"/>
    <x v="10"/>
    <n v="2025"/>
    <n v="5"/>
    <n v="2"/>
    <n v="2025"/>
    <n v="2"/>
    <s v="Yes"/>
    <x v="0"/>
    <s v="India"/>
    <x v="1"/>
    <s v="StayNest Garden"/>
    <x v="10"/>
    <s v="Boutique"/>
    <n v="70"/>
    <x v="3"/>
    <s v="App Push"/>
    <d v="2025-09-20T00:00:00"/>
    <s v="Yes"/>
    <s v="No"/>
    <s v="Shoulder"/>
    <x v="1"/>
    <n v="0"/>
    <s v="181+ days"/>
  </r>
  <r>
    <s v="B001735"/>
    <s v="G00289"/>
    <s v="H004"/>
    <s v="CH01"/>
    <d v="2025-04-05T00:00:00"/>
    <d v="2025-04-12T00:00:00"/>
    <x v="0"/>
    <n v="3910"/>
    <x v="0"/>
    <b v="0"/>
    <x v="4"/>
    <x v="2"/>
    <n v="2025"/>
    <n v="5"/>
    <n v="4"/>
    <n v="2025"/>
    <n v="5"/>
    <s v="Yes"/>
    <x v="1"/>
    <s v="United Kingdom"/>
    <x v="0"/>
    <s v="StayNest Lakeview"/>
    <x v="2"/>
    <s v="Resort"/>
    <n v="75"/>
    <x v="5"/>
    <s v="Direct"/>
    <d v="2025-04-12T00:00:00"/>
    <s v="Yes"/>
    <s v="No"/>
    <s v="Peak"/>
    <x v="1"/>
    <n v="0"/>
    <s v="0–7 days"/>
  </r>
  <r>
    <s v="B001736"/>
    <s v="G00352"/>
    <s v="H003"/>
    <s v="CH04"/>
    <d v="2025-09-04T00:00:00"/>
    <d v="2025-09-11T00:00:00"/>
    <x v="2"/>
    <n v="3416"/>
    <x v="2"/>
    <b v="0"/>
    <x v="4"/>
    <x v="10"/>
    <n v="2025"/>
    <n v="3"/>
    <n v="9"/>
    <n v="2025"/>
    <n v="3"/>
    <s v="No"/>
    <x v="3"/>
    <s v="Germany"/>
    <x v="1"/>
    <s v="StayNest Hills"/>
    <x v="5"/>
    <s v="Resort"/>
    <n v="80"/>
    <x v="4"/>
    <s v="Partner"/>
    <d v="2025-09-11T00:00:00"/>
    <s v="No"/>
    <s v="No"/>
    <s v="Shoulder"/>
    <x v="1"/>
    <n v="0"/>
    <s v="0–7 days"/>
  </r>
  <r>
    <s v="B001737"/>
    <s v="G00163"/>
    <s v="H003"/>
    <s v="CH01"/>
    <d v="2025-11-18T00:00:00"/>
    <d v="2025-11-25T00:00:00"/>
    <x v="1"/>
    <n v="6488"/>
    <x v="2"/>
    <b v="0"/>
    <x v="4"/>
    <x v="4"/>
    <n v="2025"/>
    <n v="1"/>
    <n v="11"/>
    <n v="2025"/>
    <n v="1"/>
    <s v="No"/>
    <x v="3"/>
    <s v="United States"/>
    <x v="0"/>
    <s v="StayNest Hills"/>
    <x v="5"/>
    <s v="Resort"/>
    <n v="80"/>
    <x v="5"/>
    <s v="Direct"/>
    <d v="2025-11-25T00:00:00"/>
    <s v="No"/>
    <s v="No"/>
    <s v="Off-Peak"/>
    <x v="1"/>
    <n v="0"/>
    <s v="0–7 days"/>
  </r>
  <r>
    <s v="B001738"/>
    <s v="G00059"/>
    <s v="H009"/>
    <s v="CH06"/>
    <d v="2026-11-27T00:00:00"/>
    <d v="2027-01-26T00:00:00"/>
    <x v="0"/>
    <n v="3760"/>
    <x v="0"/>
    <b v="0"/>
    <x v="1"/>
    <x v="6"/>
    <n v="2027"/>
    <n v="1"/>
    <n v="11"/>
    <n v="2026"/>
    <n v="4"/>
    <s v="No"/>
    <x v="0"/>
    <s v="India"/>
    <x v="1"/>
    <s v="StayNest Airport"/>
    <x v="9"/>
    <s v="Business"/>
    <n v="160"/>
    <x v="0"/>
    <s v="Retention"/>
    <m/>
    <s v="Unknown"/>
    <s v="Unknown"/>
    <s v="Unknown"/>
    <x v="0"/>
    <n v="0"/>
    <s v="31–90 days"/>
  </r>
  <r>
    <s v="B001739"/>
    <s v="G00250"/>
    <s v="H010"/>
    <s v="CH03"/>
    <d v="2026-03-08T00:00:00"/>
    <d v="2026-06-16T00:00:00"/>
    <x v="1"/>
    <n v="5736"/>
    <x v="0"/>
    <b v="0"/>
    <x v="0"/>
    <x v="1"/>
    <n v="2026"/>
    <n v="1"/>
    <n v="3"/>
    <n v="2026"/>
    <n v="6"/>
    <s v="No"/>
    <x v="3"/>
    <s v="India"/>
    <x v="0"/>
    <s v="StayNest Garden"/>
    <x v="10"/>
    <s v="Boutique"/>
    <n v="70"/>
    <x v="1"/>
    <s v="OTA Promo"/>
    <d v="2026-06-16T00:00:00"/>
    <s v="No"/>
    <s v="No"/>
    <s v="Shoulder"/>
    <x v="1"/>
    <n v="0"/>
    <s v="91–180 days"/>
  </r>
  <r>
    <s v="B001740"/>
    <s v="G00003"/>
    <s v="H006"/>
    <s v="CH02"/>
    <d v="2025-01-14T00:00:00"/>
    <d v="2025-01-17T00:00:00"/>
    <x v="1"/>
    <n v="5067"/>
    <x v="0"/>
    <b v="0"/>
    <x v="6"/>
    <x v="6"/>
    <n v="2025"/>
    <n v="4"/>
    <n v="1"/>
    <n v="2025"/>
    <n v="1"/>
    <s v="No"/>
    <x v="2"/>
    <s v="India"/>
    <x v="0"/>
    <s v="StayNest Beach"/>
    <x v="3"/>
    <s v="Resort"/>
    <n v="100"/>
    <x v="3"/>
    <s v="App Push"/>
    <d v="2025-01-17T00:00:00"/>
    <s v="No"/>
    <s v="No"/>
    <s v="Off-Peak"/>
    <x v="1"/>
    <n v="0"/>
    <s v="0–7 days"/>
  </r>
  <r>
    <s v="B001741"/>
    <s v="G00460"/>
    <s v="H001"/>
    <s v="CH02"/>
    <d v="2026-02-02T00:00:00"/>
    <d v="2026-03-04T00:00:00"/>
    <x v="2"/>
    <n v="4100"/>
    <x v="0"/>
    <b v="0"/>
    <x v="2"/>
    <x v="3"/>
    <n v="2026"/>
    <n v="2"/>
    <n v="2"/>
    <n v="2026"/>
    <n v="0"/>
    <s v="No"/>
    <x v="2"/>
    <s v="India"/>
    <x v="1"/>
    <s v="StayNest Marina"/>
    <x v="1"/>
    <s v="Business"/>
    <n v="120"/>
    <x v="3"/>
    <s v="App Push"/>
    <d v="2026-03-04T00:00:00"/>
    <s v="No"/>
    <s v="No"/>
    <s v="Shoulder"/>
    <x v="1"/>
    <n v="0"/>
    <s v="8–30 days"/>
  </r>
  <r>
    <s v="B001742"/>
    <s v="G00009"/>
    <s v="H006"/>
    <s v="CH01"/>
    <d v="2025-05-13T00:00:00"/>
    <d v="2025-07-12T00:00:00"/>
    <x v="2"/>
    <n v="2744"/>
    <x v="1"/>
    <b v="0"/>
    <x v="1"/>
    <x v="8"/>
    <n v="2025"/>
    <n v="5"/>
    <n v="5"/>
    <n v="2025"/>
    <n v="1"/>
    <s v="Yes"/>
    <x v="2"/>
    <s v="India"/>
    <x v="1"/>
    <s v="StayNest Beach"/>
    <x v="3"/>
    <s v="Resort"/>
    <n v="100"/>
    <x v="5"/>
    <s v="Direct"/>
    <d v="2025-07-12T00:00:00"/>
    <s v="Yes"/>
    <s v="No"/>
    <s v="Off-Peak"/>
    <x v="1"/>
    <n v="1"/>
    <s v="31–90 days"/>
  </r>
  <r>
    <s v="B001743"/>
    <s v="G00222"/>
    <s v="H010"/>
    <s v="CH01"/>
    <d v="2026-08-30T00:00:00"/>
    <d v="2026-09-02T00:00:00"/>
    <x v="0"/>
    <n v="4471"/>
    <x v="0"/>
    <b v="0"/>
    <x v="6"/>
    <x v="10"/>
    <n v="2026"/>
    <n v="2"/>
    <n v="8"/>
    <n v="2026"/>
    <n v="6"/>
    <s v="No"/>
    <x v="1"/>
    <s v="United Kingdom"/>
    <x v="0"/>
    <s v="StayNest Garden"/>
    <x v="10"/>
    <s v="Boutique"/>
    <n v="70"/>
    <x v="5"/>
    <s v="Direct"/>
    <d v="2026-09-02T00:00:00"/>
    <s v="No"/>
    <s v="No"/>
    <s v="Shoulder"/>
    <x v="1"/>
    <n v="0"/>
    <s v="0–7 days"/>
  </r>
  <r>
    <s v="B001744"/>
    <s v="G00348"/>
    <s v="H003"/>
    <s v="CH06"/>
    <d v="2025-07-24T00:00:00"/>
    <d v="2025-09-22T00:00:00"/>
    <x v="1"/>
    <n v="6501"/>
    <x v="1"/>
    <b v="0"/>
    <x v="1"/>
    <x v="10"/>
    <n v="2025"/>
    <n v="0"/>
    <n v="7"/>
    <n v="2025"/>
    <n v="3"/>
    <s v="No"/>
    <x v="3"/>
    <s v="United States"/>
    <x v="0"/>
    <s v="StayNest Hills"/>
    <x v="5"/>
    <s v="Resort"/>
    <n v="80"/>
    <x v="0"/>
    <s v="Retention"/>
    <d v="2025-09-22T00:00:00"/>
    <s v="No"/>
    <s v="No"/>
    <s v="Shoulder"/>
    <x v="1"/>
    <n v="1"/>
    <s v="31–90 days"/>
  </r>
  <r>
    <s v="B001745"/>
    <s v="G00192"/>
    <s v="H007"/>
    <s v="CH01"/>
    <d v="2025-02-20T00:00:00"/>
    <d v="2025-03-22T00:00:00"/>
    <x v="1"/>
    <n v="8756"/>
    <x v="0"/>
    <b v="0"/>
    <x v="2"/>
    <x v="3"/>
    <n v="2025"/>
    <n v="5"/>
    <n v="2"/>
    <n v="2025"/>
    <n v="3"/>
    <s v="Yes"/>
    <x v="2"/>
    <s v="India"/>
    <x v="0"/>
    <s v="StayNest Tech Park"/>
    <x v="6"/>
    <s v="Business"/>
    <n v="140"/>
    <x v="5"/>
    <s v="Direct"/>
    <d v="2025-03-22T00:00:00"/>
    <s v="Yes"/>
    <s v="No"/>
    <s v="Shoulder"/>
    <x v="1"/>
    <n v="0"/>
    <s v="8–30 days"/>
  </r>
  <r>
    <s v="B001746"/>
    <s v="G00330"/>
    <s v="H005"/>
    <s v="CH03"/>
    <d v="2026-10-08T00:00:00"/>
    <d v="2026-11-07T00:00:00"/>
    <x v="0"/>
    <n v="4670"/>
    <x v="2"/>
    <b v="0"/>
    <x v="2"/>
    <x v="4"/>
    <n v="2026"/>
    <n v="5"/>
    <n v="10"/>
    <n v="2026"/>
    <n v="3"/>
    <s v="Yes"/>
    <x v="3"/>
    <s v="United States"/>
    <x v="1"/>
    <s v="StayNest Heritage"/>
    <x v="11"/>
    <s v="Heritage"/>
    <n v="90"/>
    <x v="1"/>
    <s v="OTA Promo"/>
    <d v="2026-11-07T00:00:00"/>
    <s v="Yes"/>
    <s v="No"/>
    <s v="Off-Peak"/>
    <x v="1"/>
    <n v="0"/>
    <s v="8–30 days"/>
  </r>
  <r>
    <s v="B001747"/>
    <s v="G00231"/>
    <s v="H009"/>
    <s v="CH01"/>
    <d v="2025-05-08T00:00:00"/>
    <d v="2025-06-07T00:00:00"/>
    <x v="2"/>
    <n v="3419"/>
    <x v="2"/>
    <b v="0"/>
    <x v="2"/>
    <x v="1"/>
    <n v="2025"/>
    <n v="5"/>
    <n v="5"/>
    <n v="2025"/>
    <n v="3"/>
    <s v="Yes"/>
    <x v="0"/>
    <s v="India"/>
    <x v="0"/>
    <s v="StayNest Airport"/>
    <x v="9"/>
    <s v="Business"/>
    <n v="160"/>
    <x v="5"/>
    <s v="Direct"/>
    <d v="2025-06-07T00:00:00"/>
    <s v="Yes"/>
    <s v="No"/>
    <s v="Shoulder"/>
    <x v="1"/>
    <n v="0"/>
    <s v="8–30 days"/>
  </r>
  <r>
    <s v="B001748"/>
    <s v="G00290"/>
    <s v="H006"/>
    <s v="CH04"/>
    <d v="2026-02-20T00:00:00"/>
    <d v="2026-02-23T00:00:00"/>
    <x v="0"/>
    <n v="5019"/>
    <x v="0"/>
    <b v="0"/>
    <x v="6"/>
    <x v="0"/>
    <n v="2026"/>
    <n v="0"/>
    <n v="2"/>
    <n v="2026"/>
    <n v="4"/>
    <s v="No"/>
    <x v="1"/>
    <s v="India"/>
    <x v="0"/>
    <s v="StayNest Beach"/>
    <x v="3"/>
    <s v="Resort"/>
    <n v="100"/>
    <x v="4"/>
    <s v="Partner"/>
    <d v="2026-02-23T00:00:00"/>
    <s v="No"/>
    <s v="No"/>
    <s v="Shoulder"/>
    <x v="1"/>
    <n v="0"/>
    <s v="0–7 days"/>
  </r>
  <r>
    <s v="B001749"/>
    <s v="G00418"/>
    <s v="H007"/>
    <s v="CH01"/>
    <d v="2025-08-29T00:00:00"/>
    <d v="2026-01-26T00:00:00"/>
    <x v="1"/>
    <n v="6268"/>
    <x v="1"/>
    <b v="0"/>
    <x v="5"/>
    <x v="6"/>
    <n v="2026"/>
    <n v="0"/>
    <n v="8"/>
    <n v="2025"/>
    <n v="4"/>
    <s v="No"/>
    <x v="3"/>
    <s v="India"/>
    <x v="0"/>
    <s v="StayNest Tech Park"/>
    <x v="6"/>
    <s v="Business"/>
    <n v="140"/>
    <x v="5"/>
    <s v="Direct"/>
    <d v="2026-01-26T00:00:00"/>
    <s v="No"/>
    <s v="Yes"/>
    <s v="Off-Peak"/>
    <x v="1"/>
    <n v="1"/>
    <s v="91–180 days"/>
  </r>
  <r>
    <s v="B001750"/>
    <s v="G00011"/>
    <s v="H005"/>
    <s v="CH04"/>
    <d v="2026-10-18T00:00:00"/>
    <d v="2026-10-21T00:00:00"/>
    <x v="1"/>
    <n v="6447"/>
    <x v="1"/>
    <b v="0"/>
    <x v="6"/>
    <x v="11"/>
    <n v="2026"/>
    <n v="2"/>
    <n v="10"/>
    <n v="2026"/>
    <n v="6"/>
    <s v="No"/>
    <x v="0"/>
    <s v="United States"/>
    <x v="0"/>
    <s v="StayNest Heritage"/>
    <x v="11"/>
    <s v="Heritage"/>
    <n v="90"/>
    <x v="4"/>
    <s v="Partner"/>
    <d v="2026-10-21T00:00:00"/>
    <s v="No"/>
    <s v="No"/>
    <s v="Shoulder"/>
    <x v="1"/>
    <n v="1"/>
    <s v="0–7 days"/>
  </r>
  <r>
    <s v="B001751"/>
    <s v="G00517"/>
    <s v="H006"/>
    <s v="CH01"/>
    <d v="2025-03-14T00:00:00"/>
    <d v="2025-03-28T00:00:00"/>
    <x v="0"/>
    <n v="5307"/>
    <x v="0"/>
    <b v="0"/>
    <x v="3"/>
    <x v="3"/>
    <n v="2025"/>
    <n v="4"/>
    <n v="3"/>
    <n v="2025"/>
    <n v="4"/>
    <s v="No"/>
    <x v="2"/>
    <s v="India"/>
    <x v="0"/>
    <s v="StayNest Beach"/>
    <x v="3"/>
    <s v="Resort"/>
    <n v="100"/>
    <x v="5"/>
    <s v="Direct"/>
    <d v="2025-03-28T00:00:00"/>
    <s v="No"/>
    <s v="No"/>
    <s v="Shoulder"/>
    <x v="1"/>
    <n v="0"/>
    <s v="8–30 days"/>
  </r>
  <r>
    <s v="B001752"/>
    <s v="G00097"/>
    <s v="H006"/>
    <s v="CH04"/>
    <d v="2025-02-25T00:00:00"/>
    <d v="2025-03-11T00:00:00"/>
    <x v="1"/>
    <n v="5734"/>
    <x v="0"/>
    <b v="0"/>
    <x v="3"/>
    <x v="3"/>
    <n v="2025"/>
    <n v="1"/>
    <n v="2"/>
    <n v="2025"/>
    <n v="1"/>
    <s v="No"/>
    <x v="3"/>
    <s v="India"/>
    <x v="1"/>
    <s v="StayNest Beach"/>
    <x v="3"/>
    <s v="Resort"/>
    <n v="100"/>
    <x v="4"/>
    <s v="Partner"/>
    <d v="2025-03-11T00:00:00"/>
    <s v="No"/>
    <s v="No"/>
    <s v="Shoulder"/>
    <x v="1"/>
    <n v="0"/>
    <s v="8–30 days"/>
  </r>
  <r>
    <s v="B001753"/>
    <s v="G00335"/>
    <s v="H005"/>
    <s v="CH04"/>
    <d v="2026-08-04T00:00:00"/>
    <d v="2026-08-11T00:00:00"/>
    <x v="1"/>
    <n v="5397"/>
    <x v="2"/>
    <b v="0"/>
    <x v="4"/>
    <x v="7"/>
    <n v="2026"/>
    <n v="1"/>
    <n v="8"/>
    <n v="2026"/>
    <n v="1"/>
    <s v="No"/>
    <x v="3"/>
    <s v="Unknown"/>
    <x v="0"/>
    <s v="StayNest Heritage"/>
    <x v="11"/>
    <s v="Heritage"/>
    <n v="90"/>
    <x v="4"/>
    <s v="Partner"/>
    <d v="2026-08-11T00:00:00"/>
    <s v="No"/>
    <s v="No"/>
    <s v="Off-Peak"/>
    <x v="1"/>
    <n v="0"/>
    <s v="0–7 days"/>
  </r>
  <r>
    <s v="B001754"/>
    <s v="G00479"/>
    <s v="H010"/>
    <s v="CH01"/>
    <d v="2025-11-23T00:00:00"/>
    <d v="2026-01-22T00:00:00"/>
    <x v="2"/>
    <n v="4111"/>
    <x v="0"/>
    <b v="0"/>
    <x v="1"/>
    <x v="6"/>
    <n v="2026"/>
    <n v="3"/>
    <n v="11"/>
    <n v="2025"/>
    <n v="6"/>
    <s v="No"/>
    <x v="0"/>
    <s v="Unknown"/>
    <x v="0"/>
    <s v="StayNest Garden"/>
    <x v="10"/>
    <s v="Boutique"/>
    <n v="70"/>
    <x v="5"/>
    <s v="Direct"/>
    <d v="2026-01-22T00:00:00"/>
    <s v="No"/>
    <s v="No"/>
    <s v="Off-Peak"/>
    <x v="1"/>
    <n v="0"/>
    <s v="31–90 days"/>
  </r>
  <r>
    <s v="B001755"/>
    <s v="G00308"/>
    <s v="H012"/>
    <s v="CH04"/>
    <d v="2026-08-18T00:00:00"/>
    <d v="2026-08-25T00:00:00"/>
    <x v="3"/>
    <n v="11036"/>
    <x v="0"/>
    <b v="0"/>
    <x v="4"/>
    <x v="7"/>
    <n v="2026"/>
    <n v="1"/>
    <n v="8"/>
    <n v="2026"/>
    <n v="1"/>
    <s v="No"/>
    <x v="0"/>
    <s v="India"/>
    <x v="0"/>
    <s v="StayNest Valley"/>
    <x v="4"/>
    <s v="Resort"/>
    <n v="65"/>
    <x v="4"/>
    <s v="Partner"/>
    <d v="2026-08-25T00:00:00"/>
    <s v="No"/>
    <s v="No"/>
    <s v="Off-Peak"/>
    <x v="1"/>
    <n v="0"/>
    <s v="0–7 days"/>
  </r>
  <r>
    <s v="B001756"/>
    <s v="G00271"/>
    <s v="H011"/>
    <s v="CH06"/>
    <d v="2026-07-27T00:00:00"/>
    <d v="2026-08-10T00:00:00"/>
    <x v="2"/>
    <n v="3606"/>
    <x v="2"/>
    <b v="0"/>
    <x v="3"/>
    <x v="7"/>
    <n v="2026"/>
    <n v="0"/>
    <n v="7"/>
    <n v="2026"/>
    <n v="0"/>
    <s v="No"/>
    <x v="3"/>
    <s v="India"/>
    <x v="1"/>
    <s v="StayNest Grand"/>
    <x v="8"/>
    <s v="Business"/>
    <n v="110"/>
    <x v="0"/>
    <s v="Retention"/>
    <d v="2026-08-10T00:00:00"/>
    <s v="No"/>
    <s v="No"/>
    <s v="Off-Peak"/>
    <x v="1"/>
    <n v="0"/>
    <s v="8–30 days"/>
  </r>
  <r>
    <s v="B001757"/>
    <s v="G00490"/>
    <s v="H008"/>
    <s v="CH06"/>
    <d v="2025-04-01T00:00:00"/>
    <d v="2025-05-01T00:00:00"/>
    <x v="0"/>
    <n v="3910"/>
    <x v="0"/>
    <b v="0"/>
    <x v="2"/>
    <x v="9"/>
    <n v="2025"/>
    <n v="3"/>
    <n v="4"/>
    <n v="2025"/>
    <n v="1"/>
    <s v="No"/>
    <x v="0"/>
    <s v="UAE"/>
    <x v="0"/>
    <s v="StayNest Palace"/>
    <x v="7"/>
    <s v="Heritage"/>
    <n v="85"/>
    <x v="0"/>
    <s v="Retention"/>
    <d v="2025-05-01T00:00:00"/>
    <s v="No"/>
    <s v="No"/>
    <s v="Peak"/>
    <x v="1"/>
    <n v="0"/>
    <s v="8–30 days"/>
  </r>
  <r>
    <s v="B001758"/>
    <s v="G00248"/>
    <s v="H004"/>
    <s v="CH02"/>
    <d v="2025-05-28T00:00:00"/>
    <d v="2025-07-27T00:00:00"/>
    <x v="1"/>
    <n v="7316"/>
    <x v="0"/>
    <b v="0"/>
    <x v="1"/>
    <x v="8"/>
    <n v="2025"/>
    <n v="6"/>
    <n v="5"/>
    <n v="2025"/>
    <n v="2"/>
    <s v="Yes"/>
    <x v="2"/>
    <s v="India"/>
    <x v="0"/>
    <s v="StayNest Lakeview"/>
    <x v="2"/>
    <s v="Resort"/>
    <n v="75"/>
    <x v="3"/>
    <s v="App Push"/>
    <d v="2025-07-27T00:00:00"/>
    <s v="Yes"/>
    <s v="No"/>
    <s v="Off-Peak"/>
    <x v="1"/>
    <n v="0"/>
    <s v="31–90 days"/>
  </r>
  <r>
    <s v="B001759"/>
    <s v="G00191"/>
    <s v="H009"/>
    <s v="CH02"/>
    <d v="2025-11-26T00:00:00"/>
    <d v="2025-12-03T00:00:00"/>
    <x v="0"/>
    <n v="5384"/>
    <x v="0"/>
    <b v="0"/>
    <x v="4"/>
    <x v="5"/>
    <n v="2025"/>
    <n v="2"/>
    <n v="11"/>
    <n v="2025"/>
    <n v="2"/>
    <s v="No"/>
    <x v="0"/>
    <s v="India"/>
    <x v="0"/>
    <s v="StayNest Airport"/>
    <x v="9"/>
    <s v="Business"/>
    <n v="160"/>
    <x v="3"/>
    <s v="App Push"/>
    <d v="2025-12-03T00:00:00"/>
    <s v="No"/>
    <s v="No"/>
    <s v="Peak"/>
    <x v="1"/>
    <n v="0"/>
    <s v="0–7 days"/>
  </r>
  <r>
    <s v="B001760"/>
    <s v="G00450"/>
    <s v="H008"/>
    <s v="CH02"/>
    <d v="2026-09-29T00:00:00"/>
    <d v="2027-02-26T00:00:00"/>
    <x v="0"/>
    <n v="5691"/>
    <x v="1"/>
    <b v="0"/>
    <x v="5"/>
    <x v="0"/>
    <n v="2027"/>
    <n v="4"/>
    <n v="9"/>
    <n v="2026"/>
    <n v="1"/>
    <s v="No"/>
    <x v="2"/>
    <s v="India"/>
    <x v="0"/>
    <s v="StayNest Palace"/>
    <x v="7"/>
    <s v="Heritage"/>
    <n v="85"/>
    <x v="3"/>
    <s v="App Push"/>
    <m/>
    <s v="Unknown"/>
    <s v="Unknown"/>
    <s v="Unknown"/>
    <x v="0"/>
    <n v="1"/>
    <s v="91–180 days"/>
  </r>
  <r>
    <s v="B001761"/>
    <s v="G00187"/>
    <s v="H001"/>
    <s v="CH05"/>
    <d v="2025-04-07T00:00:00"/>
    <d v="2025-04-14T00:00:00"/>
    <x v="2"/>
    <n v="3066"/>
    <x v="0"/>
    <b v="0"/>
    <x v="4"/>
    <x v="2"/>
    <n v="2025"/>
    <n v="0"/>
    <n v="4"/>
    <n v="2025"/>
    <n v="0"/>
    <s v="No"/>
    <x v="0"/>
    <s v="India"/>
    <x v="0"/>
    <s v="StayNest Marina"/>
    <x v="1"/>
    <s v="Business"/>
    <n v="120"/>
    <x v="2"/>
    <s v="Corporate Rate"/>
    <d v="2025-04-14T00:00:00"/>
    <s v="No"/>
    <s v="No"/>
    <s v="Peak"/>
    <x v="2"/>
    <n v="0"/>
    <s v="0–7 days"/>
  </r>
  <r>
    <s v="B001762"/>
    <s v="G00218"/>
    <s v="H005"/>
    <s v="CH04"/>
    <d v="2026-11-07T00:00:00"/>
    <d v="2026-11-08T00:00:00"/>
    <x v="0"/>
    <n v="5479"/>
    <x v="1"/>
    <b v="0"/>
    <x v="7"/>
    <x v="4"/>
    <n v="2026"/>
    <n v="6"/>
    <n v="11"/>
    <n v="2026"/>
    <n v="5"/>
    <s v="Yes"/>
    <x v="1"/>
    <s v="Germany"/>
    <x v="0"/>
    <s v="StayNest Heritage"/>
    <x v="11"/>
    <s v="Heritage"/>
    <n v="90"/>
    <x v="4"/>
    <s v="Partner"/>
    <d v="2026-11-08T00:00:00"/>
    <s v="Yes"/>
    <s v="No"/>
    <s v="Off-Peak"/>
    <x v="1"/>
    <n v="1"/>
    <s v="0–7 days"/>
  </r>
  <r>
    <s v="B001763"/>
    <s v="G00276"/>
    <s v="H012"/>
    <s v="CH03"/>
    <d v="2025-05-10T00:00:00"/>
    <d v="2025-08-18T00:00:00"/>
    <x v="2"/>
    <n v="2862"/>
    <x v="1"/>
    <b v="0"/>
    <x v="0"/>
    <x v="7"/>
    <n v="2025"/>
    <n v="0"/>
    <n v="5"/>
    <n v="2025"/>
    <n v="5"/>
    <s v="No"/>
    <x v="3"/>
    <s v="India"/>
    <x v="0"/>
    <s v="StayNest Valley"/>
    <x v="4"/>
    <s v="Resort"/>
    <n v="65"/>
    <x v="1"/>
    <s v="OTA Promo"/>
    <d v="2025-08-18T00:00:00"/>
    <s v="No"/>
    <s v="No"/>
    <s v="Off-Peak"/>
    <x v="1"/>
    <n v="1"/>
    <s v="91–180 days"/>
  </r>
  <r>
    <s v="B001764"/>
    <s v="G00565"/>
    <s v="H004"/>
    <s v="CH01"/>
    <d v="2025-01-31T00:00:00"/>
    <d v="2025-02-01T00:00:00"/>
    <x v="1"/>
    <n v="5754"/>
    <x v="0"/>
    <b v="0"/>
    <x v="7"/>
    <x v="0"/>
    <n v="2025"/>
    <n v="5"/>
    <n v="1"/>
    <n v="2025"/>
    <n v="4"/>
    <s v="Yes"/>
    <x v="1"/>
    <s v="India"/>
    <x v="0"/>
    <s v="StayNest Lakeview"/>
    <x v="2"/>
    <s v="Resort"/>
    <n v="75"/>
    <x v="5"/>
    <s v="Direct"/>
    <d v="2025-02-01T00:00:00"/>
    <s v="Yes"/>
    <s v="No"/>
    <s v="Shoulder"/>
    <x v="1"/>
    <n v="0"/>
    <s v="0–7 days"/>
  </r>
  <r>
    <s v="B001765"/>
    <s v="G00155"/>
    <s v="H003"/>
    <s v="CH04"/>
    <d v="2026-04-06T00:00:00"/>
    <d v="2026-04-20T00:00:00"/>
    <x v="0"/>
    <n v="3808"/>
    <x v="0"/>
    <b v="0"/>
    <x v="3"/>
    <x v="2"/>
    <n v="2026"/>
    <n v="0"/>
    <n v="4"/>
    <n v="2026"/>
    <n v="0"/>
    <s v="No"/>
    <x v="1"/>
    <s v="India"/>
    <x v="0"/>
    <s v="StayNest Hills"/>
    <x v="5"/>
    <s v="Resort"/>
    <n v="80"/>
    <x v="4"/>
    <s v="Partner"/>
    <d v="2026-04-20T00:00:00"/>
    <s v="No"/>
    <s v="No"/>
    <s v="Peak"/>
    <x v="1"/>
    <n v="0"/>
    <s v="8–30 days"/>
  </r>
  <r>
    <s v="B001766"/>
    <s v="G00408"/>
    <s v="H007"/>
    <s v="CH03"/>
    <d v="2026-05-05T00:00:00"/>
    <d v="2026-05-06T00:00:00"/>
    <x v="1"/>
    <n v="5214"/>
    <x v="0"/>
    <b v="0"/>
    <x v="7"/>
    <x v="9"/>
    <n v="2026"/>
    <n v="2"/>
    <n v="5"/>
    <n v="2026"/>
    <n v="1"/>
    <s v="No"/>
    <x v="0"/>
    <s v="India"/>
    <x v="1"/>
    <s v="StayNest Tech Park"/>
    <x v="6"/>
    <s v="Business"/>
    <n v="140"/>
    <x v="1"/>
    <s v="OTA Promo"/>
    <d v="2026-05-06T00:00:00"/>
    <s v="No"/>
    <s v="No"/>
    <s v="Peak"/>
    <x v="1"/>
    <n v="0"/>
    <s v="0–7 days"/>
  </r>
  <r>
    <s v="B001767"/>
    <s v="G00321"/>
    <s v="H003"/>
    <s v="CH05"/>
    <d v="2026-05-31T00:00:00"/>
    <d v="2026-07-30T00:00:00"/>
    <x v="0"/>
    <n v="3653"/>
    <x v="0"/>
    <b v="0"/>
    <x v="1"/>
    <x v="8"/>
    <n v="2026"/>
    <n v="3"/>
    <n v="5"/>
    <n v="2026"/>
    <n v="6"/>
    <s v="No"/>
    <x v="0"/>
    <s v="India"/>
    <x v="0"/>
    <s v="StayNest Hills"/>
    <x v="5"/>
    <s v="Resort"/>
    <n v="80"/>
    <x v="2"/>
    <s v="Corporate Rate"/>
    <d v="2026-07-30T00:00:00"/>
    <s v="No"/>
    <s v="No"/>
    <s v="Off-Peak"/>
    <x v="1"/>
    <n v="0"/>
    <s v="31–90 days"/>
  </r>
  <r>
    <s v="B001768"/>
    <s v="G00508"/>
    <s v="H005"/>
    <s v="CH01"/>
    <d v="2026-11-23T00:00:00"/>
    <d v="2026-12-23T00:00:00"/>
    <x v="1"/>
    <n v="5684"/>
    <x v="0"/>
    <b v="0"/>
    <x v="2"/>
    <x v="5"/>
    <n v="2026"/>
    <n v="2"/>
    <n v="11"/>
    <n v="2026"/>
    <n v="0"/>
    <s v="No"/>
    <x v="1"/>
    <s v="United States"/>
    <x v="0"/>
    <s v="StayNest Heritage"/>
    <x v="11"/>
    <s v="Heritage"/>
    <n v="90"/>
    <x v="5"/>
    <s v="Direct"/>
    <d v="2026-12-23T00:00:00"/>
    <s v="No"/>
    <s v="No"/>
    <s v="Peak"/>
    <x v="1"/>
    <n v="0"/>
    <s v="8–30 days"/>
  </r>
  <r>
    <s v="B001769"/>
    <s v="G00003"/>
    <s v="H007"/>
    <s v="CH02"/>
    <d v="2025-01-15T00:00:00"/>
    <d v="2025-04-25T00:00:00"/>
    <x v="0"/>
    <n v="5582"/>
    <x v="3"/>
    <b v="0"/>
    <x v="0"/>
    <x v="2"/>
    <n v="2025"/>
    <n v="4"/>
    <n v="1"/>
    <n v="2025"/>
    <n v="2"/>
    <s v="No"/>
    <x v="2"/>
    <s v="India"/>
    <x v="0"/>
    <s v="StayNest Tech Park"/>
    <x v="6"/>
    <s v="Business"/>
    <n v="140"/>
    <x v="3"/>
    <s v="App Push"/>
    <d v="2025-04-25T00:00:00"/>
    <s v="No"/>
    <s v="No"/>
    <s v="Peak"/>
    <x v="1"/>
    <n v="0"/>
    <s v="91–180 days"/>
  </r>
  <r>
    <s v="B001770"/>
    <s v="G00269"/>
    <s v="H007"/>
    <s v="CH06"/>
    <d v="2025-03-14T00:00:00"/>
    <d v="2025-03-21T00:00:00"/>
    <x v="1"/>
    <n v="7644"/>
    <x v="1"/>
    <b v="0"/>
    <x v="4"/>
    <x v="3"/>
    <n v="2025"/>
    <n v="4"/>
    <n v="3"/>
    <n v="2025"/>
    <n v="4"/>
    <s v="No"/>
    <x v="3"/>
    <s v="India"/>
    <x v="0"/>
    <s v="StayNest Tech Park"/>
    <x v="6"/>
    <s v="Business"/>
    <n v="140"/>
    <x v="0"/>
    <s v="Retention"/>
    <d v="2025-03-21T00:00:00"/>
    <s v="No"/>
    <s v="No"/>
    <s v="Shoulder"/>
    <x v="1"/>
    <n v="1"/>
    <s v="0–7 days"/>
  </r>
  <r>
    <s v="B001771"/>
    <s v="G00223"/>
    <s v="H010"/>
    <s v="CH06"/>
    <d v="2026-08-08T00:00:00"/>
    <d v="2026-10-07T00:00:00"/>
    <x v="3"/>
    <n v="8610"/>
    <x v="0"/>
    <b v="0"/>
    <x v="1"/>
    <x v="11"/>
    <n v="2026"/>
    <n v="2"/>
    <n v="8"/>
    <n v="2026"/>
    <n v="5"/>
    <s v="No"/>
    <x v="0"/>
    <s v="India"/>
    <x v="0"/>
    <s v="StayNest Garden"/>
    <x v="10"/>
    <s v="Boutique"/>
    <n v="70"/>
    <x v="0"/>
    <s v="Retention"/>
    <d v="2026-10-07T00:00:00"/>
    <s v="No"/>
    <s v="No"/>
    <s v="Shoulder"/>
    <x v="1"/>
    <n v="0"/>
    <s v="31–90 days"/>
  </r>
  <r>
    <s v="B001772"/>
    <s v="G00636"/>
    <s v="H006"/>
    <s v="CH03"/>
    <d v="2025-01-15T00:00:00"/>
    <d v="2025-04-25T00:00:00"/>
    <x v="0"/>
    <n v="5207"/>
    <x v="1"/>
    <b v="0"/>
    <x v="0"/>
    <x v="2"/>
    <n v="2025"/>
    <n v="4"/>
    <n v="1"/>
    <n v="2025"/>
    <n v="2"/>
    <s v="No"/>
    <x v="0"/>
    <s v="India"/>
    <x v="0"/>
    <s v="StayNest Beach"/>
    <x v="3"/>
    <s v="Resort"/>
    <n v="100"/>
    <x v="1"/>
    <s v="OTA Promo"/>
    <d v="2025-04-25T00:00:00"/>
    <s v="No"/>
    <s v="No"/>
    <s v="Peak"/>
    <x v="1"/>
    <n v="1"/>
    <s v="91–180 days"/>
  </r>
  <r>
    <s v="B001773"/>
    <s v="G00228"/>
    <s v="H010"/>
    <s v="CH03"/>
    <d v="2026-01-26T00:00:00"/>
    <d v="2026-01-29T00:00:00"/>
    <x v="2"/>
    <n v="3671"/>
    <x v="2"/>
    <b v="0"/>
    <x v="6"/>
    <x v="6"/>
    <n v="2026"/>
    <n v="3"/>
    <n v="1"/>
    <n v="2026"/>
    <n v="0"/>
    <s v="No"/>
    <x v="1"/>
    <s v="India"/>
    <x v="1"/>
    <s v="StayNest Garden"/>
    <x v="10"/>
    <s v="Boutique"/>
    <n v="70"/>
    <x v="1"/>
    <s v="OTA Promo"/>
    <d v="2026-01-29T00:00:00"/>
    <s v="No"/>
    <s v="No"/>
    <s v="Off-Peak"/>
    <x v="1"/>
    <n v="0"/>
    <s v="0–7 days"/>
  </r>
  <r>
    <s v="B001774"/>
    <s v="G00107"/>
    <s v="H006"/>
    <s v="CH05"/>
    <d v="2025-10-23T00:00:00"/>
    <d v="2025-11-22T00:00:00"/>
    <x v="3"/>
    <n v="6533"/>
    <x v="0"/>
    <b v="0"/>
    <x v="2"/>
    <x v="4"/>
    <n v="2025"/>
    <n v="5"/>
    <n v="10"/>
    <n v="2025"/>
    <n v="3"/>
    <s v="Yes"/>
    <x v="1"/>
    <s v="UAE"/>
    <x v="0"/>
    <s v="StayNest Beach"/>
    <x v="3"/>
    <s v="Resort"/>
    <n v="100"/>
    <x v="2"/>
    <s v="Corporate Rate"/>
    <d v="2025-11-22T00:00:00"/>
    <s v="Yes"/>
    <s v="No"/>
    <s v="Off-Peak"/>
    <x v="1"/>
    <n v="0"/>
    <s v="8–30 days"/>
  </r>
  <r>
    <s v="B001775"/>
    <s v="G00168"/>
    <s v="H003"/>
    <s v="CH02"/>
    <d v="2026-08-29T00:00:00"/>
    <d v="2027-04-06T00:00:00"/>
    <x v="3"/>
    <n v="11718"/>
    <x v="2"/>
    <b v="0"/>
    <x v="8"/>
    <x v="2"/>
    <n v="2027"/>
    <n v="1"/>
    <n v="8"/>
    <n v="2026"/>
    <n v="5"/>
    <s v="No"/>
    <x v="1"/>
    <s v="India"/>
    <x v="0"/>
    <s v="StayNest Hills"/>
    <x v="5"/>
    <s v="Resort"/>
    <n v="80"/>
    <x v="3"/>
    <s v="App Push"/>
    <m/>
    <s v="Unknown"/>
    <s v="Unknown"/>
    <s v="Unknown"/>
    <x v="0"/>
    <n v="0"/>
    <s v="181+ days"/>
  </r>
  <r>
    <s v="B001776"/>
    <s v="G00504"/>
    <s v="H002"/>
    <s v="CH05"/>
    <d v="2026-05-29T00:00:00"/>
    <d v="2026-06-28T00:00:00"/>
    <x v="0"/>
    <n v="5653"/>
    <x v="1"/>
    <b v="0"/>
    <x v="2"/>
    <x v="1"/>
    <n v="2026"/>
    <n v="6"/>
    <n v="5"/>
    <n v="2026"/>
    <n v="4"/>
    <s v="Yes"/>
    <x v="3"/>
    <s v="India"/>
    <x v="0"/>
    <s v="StayNest Central"/>
    <x v="0"/>
    <s v="Business"/>
    <n v="150"/>
    <x v="2"/>
    <s v="Corporate Rate"/>
    <d v="2026-06-28T00:00:00"/>
    <s v="Yes"/>
    <s v="No"/>
    <s v="Shoulder"/>
    <x v="1"/>
    <n v="1"/>
    <s v="8–30 days"/>
  </r>
  <r>
    <s v="B001777"/>
    <s v="G00560"/>
    <s v="H005"/>
    <s v="CH01"/>
    <d v="2026-02-02T00:00:00"/>
    <d v="2026-03-04T00:00:00"/>
    <x v="1"/>
    <n v="7357"/>
    <x v="0"/>
    <b v="0"/>
    <x v="2"/>
    <x v="3"/>
    <n v="2026"/>
    <n v="2"/>
    <n v="2"/>
    <n v="2026"/>
    <n v="0"/>
    <s v="No"/>
    <x v="1"/>
    <s v="India"/>
    <x v="1"/>
    <s v="StayNest Heritage"/>
    <x v="11"/>
    <s v="Heritage"/>
    <n v="90"/>
    <x v="5"/>
    <s v="Direct"/>
    <d v="2026-03-04T00:00:00"/>
    <s v="No"/>
    <s v="No"/>
    <s v="Shoulder"/>
    <x v="1"/>
    <n v="0"/>
    <s v="8–30 days"/>
  </r>
  <r>
    <s v="B001778"/>
    <s v="G00589"/>
    <s v="H010"/>
    <s v="CH05"/>
    <d v="2025-10-05T00:00:00"/>
    <d v="2025-10-19T00:00:00"/>
    <x v="3"/>
    <n v="11607"/>
    <x v="0"/>
    <b v="0"/>
    <x v="3"/>
    <x v="11"/>
    <n v="2025"/>
    <n v="6"/>
    <n v="10"/>
    <n v="2025"/>
    <n v="6"/>
    <s v="Yes"/>
    <x v="1"/>
    <s v="India"/>
    <x v="1"/>
    <s v="StayNest Garden"/>
    <x v="10"/>
    <s v="Boutique"/>
    <n v="70"/>
    <x v="2"/>
    <s v="Corporate Rate"/>
    <d v="2025-10-19T00:00:00"/>
    <s v="Yes"/>
    <s v="No"/>
    <s v="Shoulder"/>
    <x v="1"/>
    <n v="0"/>
    <s v="8–30 days"/>
  </r>
  <r>
    <s v="B001779"/>
    <s v="G00555"/>
    <s v="H004"/>
    <s v="CH01"/>
    <d v="2026-09-28T00:00:00"/>
    <d v="2027-01-06T00:00:00"/>
    <x v="1"/>
    <n v="5207"/>
    <x v="1"/>
    <b v="0"/>
    <x v="0"/>
    <x v="6"/>
    <n v="2027"/>
    <n v="2"/>
    <n v="9"/>
    <n v="2026"/>
    <n v="0"/>
    <s v="No"/>
    <x v="1"/>
    <s v="India"/>
    <x v="0"/>
    <s v="StayNest Lakeview"/>
    <x v="2"/>
    <s v="Resort"/>
    <n v="75"/>
    <x v="5"/>
    <s v="Direct"/>
    <m/>
    <s v="Unknown"/>
    <s v="Unknown"/>
    <s v="Unknown"/>
    <x v="0"/>
    <n v="1"/>
    <s v="91–180 days"/>
  </r>
  <r>
    <s v="B001780"/>
    <s v="G00145"/>
    <s v="H007"/>
    <s v="CH01"/>
    <d v="2026-01-29T00:00:00"/>
    <d v="2026-02-12T00:00:00"/>
    <x v="2"/>
    <n v="3057"/>
    <x v="0"/>
    <b v="0"/>
    <x v="3"/>
    <x v="0"/>
    <n v="2026"/>
    <n v="3"/>
    <n v="1"/>
    <n v="2026"/>
    <n v="3"/>
    <s v="No"/>
    <x v="1"/>
    <s v="Germany"/>
    <x v="0"/>
    <s v="StayNest Tech Park"/>
    <x v="6"/>
    <s v="Business"/>
    <n v="140"/>
    <x v="5"/>
    <s v="Direct"/>
    <d v="2026-02-12T00:00:00"/>
    <s v="No"/>
    <s v="No"/>
    <s v="Shoulder"/>
    <x v="1"/>
    <n v="0"/>
    <s v="8–30 days"/>
  </r>
  <r>
    <s v="B001781"/>
    <s v="G00285"/>
    <s v="H006"/>
    <s v="CH04"/>
    <d v="2026-11-13T00:00:00"/>
    <d v="2027-04-12T00:00:00"/>
    <x v="1"/>
    <n v="6442"/>
    <x v="0"/>
    <b v="0"/>
    <x v="5"/>
    <x v="2"/>
    <n v="2027"/>
    <n v="0"/>
    <n v="11"/>
    <n v="2026"/>
    <n v="4"/>
    <s v="No"/>
    <x v="1"/>
    <s v="India"/>
    <x v="0"/>
    <s v="StayNest Beach"/>
    <x v="3"/>
    <s v="Resort"/>
    <n v="100"/>
    <x v="4"/>
    <s v="Partner"/>
    <m/>
    <s v="Unknown"/>
    <s v="Unknown"/>
    <s v="Unknown"/>
    <x v="0"/>
    <n v="0"/>
    <s v="91–180 days"/>
  </r>
  <r>
    <s v="B001782"/>
    <s v="G00442"/>
    <s v="H005"/>
    <s v="CH01"/>
    <d v="2025-01-08T00:00:00"/>
    <d v="2025-01-09T00:00:00"/>
    <x v="1"/>
    <n v="8505"/>
    <x v="0"/>
    <b v="0"/>
    <x v="7"/>
    <x v="6"/>
    <n v="2025"/>
    <n v="3"/>
    <n v="1"/>
    <n v="2025"/>
    <n v="2"/>
    <s v="No"/>
    <x v="1"/>
    <s v="United Kingdom"/>
    <x v="1"/>
    <s v="StayNest Heritage"/>
    <x v="11"/>
    <s v="Heritage"/>
    <n v="90"/>
    <x v="5"/>
    <s v="Direct"/>
    <d v="2025-01-09T00:00:00"/>
    <s v="No"/>
    <s v="No"/>
    <s v="Off-Peak"/>
    <x v="1"/>
    <n v="0"/>
    <s v="0–7 days"/>
  </r>
  <r>
    <s v="B001783"/>
    <s v="G00425"/>
    <s v="H007"/>
    <s v="CH03"/>
    <d v="2025-09-19T00:00:00"/>
    <d v="2025-10-03T00:00:00"/>
    <x v="0"/>
    <n v="4551"/>
    <x v="0"/>
    <b v="0"/>
    <x v="3"/>
    <x v="11"/>
    <n v="2025"/>
    <n v="4"/>
    <n v="9"/>
    <n v="2025"/>
    <n v="4"/>
    <s v="No"/>
    <x v="1"/>
    <s v="India"/>
    <x v="0"/>
    <s v="StayNest Tech Park"/>
    <x v="6"/>
    <s v="Business"/>
    <n v="140"/>
    <x v="1"/>
    <s v="OTA Promo"/>
    <d v="2025-10-03T00:00:00"/>
    <s v="No"/>
    <s v="No"/>
    <s v="Shoulder"/>
    <x v="1"/>
    <n v="0"/>
    <s v="8–30 days"/>
  </r>
  <r>
    <s v="B001784"/>
    <s v="G00304"/>
    <s v="H001"/>
    <s v="CH02"/>
    <d v="2025-07-26T00:00:00"/>
    <d v="2025-08-02T00:00:00"/>
    <x v="1"/>
    <n v="8176"/>
    <x v="0"/>
    <b v="0"/>
    <x v="4"/>
    <x v="7"/>
    <n v="2025"/>
    <n v="5"/>
    <n v="7"/>
    <n v="2025"/>
    <n v="5"/>
    <s v="Yes"/>
    <x v="3"/>
    <s v="India"/>
    <x v="0"/>
    <s v="StayNest Marina"/>
    <x v="1"/>
    <s v="Business"/>
    <n v="120"/>
    <x v="3"/>
    <s v="App Push"/>
    <d v="2025-08-02T00:00:00"/>
    <s v="Yes"/>
    <s v="No"/>
    <s v="Off-Peak"/>
    <x v="1"/>
    <n v="0"/>
    <s v="0–7 days"/>
  </r>
  <r>
    <s v="B001785"/>
    <s v="G00043"/>
    <s v="H012"/>
    <s v="CH01"/>
    <d v="2026-04-09T00:00:00"/>
    <d v="2026-04-10T00:00:00"/>
    <x v="0"/>
    <n v="3686"/>
    <x v="2"/>
    <b v="0"/>
    <x v="7"/>
    <x v="2"/>
    <n v="2026"/>
    <n v="4"/>
    <n v="4"/>
    <n v="2026"/>
    <n v="3"/>
    <s v="No"/>
    <x v="1"/>
    <s v="UAE"/>
    <x v="0"/>
    <s v="StayNest Valley"/>
    <x v="4"/>
    <s v="Resort"/>
    <n v="65"/>
    <x v="5"/>
    <s v="Direct"/>
    <d v="2026-04-10T00:00:00"/>
    <s v="No"/>
    <s v="No"/>
    <s v="Peak"/>
    <x v="1"/>
    <n v="0"/>
    <s v="0–7 days"/>
  </r>
  <r>
    <s v="B001786"/>
    <s v="G00525"/>
    <s v="H011"/>
    <s v="CH04"/>
    <d v="2025-03-04T00:00:00"/>
    <d v="2025-03-07T00:00:00"/>
    <x v="3"/>
    <n v="8329"/>
    <x v="0"/>
    <b v="0"/>
    <x v="6"/>
    <x v="3"/>
    <n v="2025"/>
    <n v="4"/>
    <n v="3"/>
    <n v="2025"/>
    <n v="1"/>
    <s v="No"/>
    <x v="3"/>
    <s v="United States"/>
    <x v="0"/>
    <s v="StayNest Grand"/>
    <x v="8"/>
    <s v="Business"/>
    <n v="110"/>
    <x v="4"/>
    <s v="Partner"/>
    <d v="2025-03-07T00:00:00"/>
    <s v="No"/>
    <s v="No"/>
    <s v="Shoulder"/>
    <x v="1"/>
    <n v="0"/>
    <s v="0–7 days"/>
  </r>
  <r>
    <s v="B001787"/>
    <s v="G00071"/>
    <s v="H004"/>
    <s v="CH03"/>
    <d v="2026-11-16T00:00:00"/>
    <d v="2026-12-16T00:00:00"/>
    <x v="1"/>
    <n v="7442"/>
    <x v="2"/>
    <b v="0"/>
    <x v="2"/>
    <x v="5"/>
    <n v="2026"/>
    <n v="2"/>
    <n v="11"/>
    <n v="2026"/>
    <n v="0"/>
    <s v="No"/>
    <x v="1"/>
    <s v="United Kingdom"/>
    <x v="0"/>
    <s v="StayNest Lakeview"/>
    <x v="2"/>
    <s v="Resort"/>
    <n v="75"/>
    <x v="1"/>
    <s v="OTA Promo"/>
    <d v="2026-12-16T00:00:00"/>
    <s v="No"/>
    <s v="No"/>
    <s v="Peak"/>
    <x v="1"/>
    <n v="0"/>
    <s v="8–30 days"/>
  </r>
  <r>
    <s v="B001788"/>
    <s v="G00590"/>
    <s v="H008"/>
    <s v="CH02"/>
    <d v="2025-10-07T00:00:00"/>
    <d v="2025-10-21T00:00:00"/>
    <x v="0"/>
    <n v="3948"/>
    <x v="0"/>
    <b v="0"/>
    <x v="3"/>
    <x v="11"/>
    <n v="2025"/>
    <n v="1"/>
    <n v="10"/>
    <n v="2025"/>
    <n v="1"/>
    <s v="No"/>
    <x v="2"/>
    <s v="India"/>
    <x v="0"/>
    <s v="StayNest Palace"/>
    <x v="7"/>
    <s v="Heritage"/>
    <n v="85"/>
    <x v="3"/>
    <s v="App Push"/>
    <d v="2025-10-21T00:00:00"/>
    <s v="No"/>
    <s v="No"/>
    <s v="Shoulder"/>
    <x v="1"/>
    <n v="0"/>
    <s v="8–30 days"/>
  </r>
  <r>
    <s v="B001789"/>
    <s v="G00326"/>
    <s v="H001"/>
    <s v="CH04"/>
    <d v="2025-07-29T00:00:00"/>
    <d v="2025-08-12T00:00:00"/>
    <x v="1"/>
    <n v="7347"/>
    <x v="3"/>
    <b v="0"/>
    <x v="3"/>
    <x v="7"/>
    <n v="2025"/>
    <n v="1"/>
    <n v="7"/>
    <n v="2025"/>
    <n v="1"/>
    <s v="No"/>
    <x v="3"/>
    <s v="India"/>
    <x v="0"/>
    <s v="StayNest Marina"/>
    <x v="1"/>
    <s v="Business"/>
    <n v="120"/>
    <x v="4"/>
    <s v="Partner"/>
    <d v="2025-08-12T00:00:00"/>
    <s v="No"/>
    <s v="No"/>
    <s v="Off-Peak"/>
    <x v="1"/>
    <n v="0"/>
    <s v="8–30 days"/>
  </r>
  <r>
    <s v="B001790"/>
    <s v="G00587"/>
    <s v="H005"/>
    <s v="CH06"/>
    <d v="2025-01-20T00:00:00"/>
    <d v="2025-04-30T00:00:00"/>
    <x v="2"/>
    <n v="3547"/>
    <x v="1"/>
    <b v="0"/>
    <x v="0"/>
    <x v="2"/>
    <n v="2025"/>
    <n v="2"/>
    <n v="1"/>
    <n v="2025"/>
    <n v="0"/>
    <s v="No"/>
    <x v="0"/>
    <s v="United States"/>
    <x v="0"/>
    <s v="StayNest Heritage"/>
    <x v="11"/>
    <s v="Heritage"/>
    <n v="90"/>
    <x v="0"/>
    <s v="Retention"/>
    <d v="2025-04-30T00:00:00"/>
    <s v="No"/>
    <s v="No"/>
    <s v="Peak"/>
    <x v="1"/>
    <n v="1"/>
    <s v="91–180 days"/>
  </r>
  <r>
    <s v="B001791"/>
    <s v="G00151"/>
    <s v="H011"/>
    <s v="CH01"/>
    <d v="2025-08-27T00:00:00"/>
    <d v="2026-01-24T00:00:00"/>
    <x v="3"/>
    <n v="9220"/>
    <x v="0"/>
    <b v="0"/>
    <x v="5"/>
    <x v="6"/>
    <n v="2026"/>
    <n v="5"/>
    <n v="8"/>
    <n v="2025"/>
    <n v="2"/>
    <s v="Yes"/>
    <x v="2"/>
    <s v="United States"/>
    <x v="0"/>
    <s v="StayNest Grand"/>
    <x v="8"/>
    <s v="Business"/>
    <n v="110"/>
    <x v="5"/>
    <s v="Direct"/>
    <d v="2026-01-24T00:00:00"/>
    <s v="Yes"/>
    <s v="No"/>
    <s v="Off-Peak"/>
    <x v="1"/>
    <n v="0"/>
    <s v="91–180 days"/>
  </r>
  <r>
    <s v="B001792"/>
    <s v="G00196"/>
    <s v="H005"/>
    <s v="CH02"/>
    <d v="2025-02-11T00:00:00"/>
    <d v="2025-02-18T00:00:00"/>
    <x v="1"/>
    <n v="6789"/>
    <x v="3"/>
    <b v="0"/>
    <x v="4"/>
    <x v="0"/>
    <n v="2025"/>
    <n v="1"/>
    <n v="2"/>
    <n v="2025"/>
    <n v="1"/>
    <s v="No"/>
    <x v="1"/>
    <s v="India"/>
    <x v="0"/>
    <s v="StayNest Heritage"/>
    <x v="11"/>
    <s v="Heritage"/>
    <n v="90"/>
    <x v="3"/>
    <s v="App Push"/>
    <d v="2025-02-18T00:00:00"/>
    <s v="No"/>
    <s v="No"/>
    <s v="Shoulder"/>
    <x v="1"/>
    <n v="0"/>
    <s v="0–7 days"/>
  </r>
  <r>
    <s v="B001793"/>
    <s v="G00117"/>
    <s v="H011"/>
    <s v="CH03"/>
    <d v="2025-03-10T00:00:00"/>
    <d v="2025-04-09T00:00:00"/>
    <x v="1"/>
    <n v="39475"/>
    <x v="0"/>
    <b v="1"/>
    <x v="2"/>
    <x v="2"/>
    <n v="2025"/>
    <n v="2"/>
    <n v="3"/>
    <n v="2025"/>
    <n v="0"/>
    <s v="No"/>
    <x v="0"/>
    <s v="India"/>
    <x v="0"/>
    <s v="StayNest Grand"/>
    <x v="8"/>
    <s v="Business"/>
    <n v="110"/>
    <x v="1"/>
    <s v="OTA Promo"/>
    <d v="2025-04-09T00:00:00"/>
    <s v="No"/>
    <s v="No"/>
    <s v="Peak"/>
    <x v="1"/>
    <n v="0"/>
    <s v="8–30 days"/>
  </r>
  <r>
    <s v="B001794"/>
    <s v="G00621"/>
    <s v="H006"/>
    <s v="CH06"/>
    <d v="2026-06-17T00:00:00"/>
    <d v="2026-09-25T00:00:00"/>
    <x v="3"/>
    <n v="7803"/>
    <x v="1"/>
    <b v="0"/>
    <x v="0"/>
    <x v="10"/>
    <n v="2026"/>
    <n v="4"/>
    <n v="6"/>
    <n v="2026"/>
    <n v="2"/>
    <s v="No"/>
    <x v="0"/>
    <s v="India"/>
    <x v="1"/>
    <s v="StayNest Beach"/>
    <x v="3"/>
    <s v="Resort"/>
    <n v="100"/>
    <x v="0"/>
    <s v="Retention"/>
    <d v="2026-09-25T00:00:00"/>
    <s v="No"/>
    <s v="No"/>
    <s v="Shoulder"/>
    <x v="1"/>
    <n v="1"/>
    <s v="91–180 days"/>
  </r>
  <r>
    <s v="B001795"/>
    <s v="G00440"/>
    <s v="H001"/>
    <s v="CH06"/>
    <d v="2026-10-21T00:00:00"/>
    <d v="2026-11-04T00:00:00"/>
    <x v="1"/>
    <n v="6881"/>
    <x v="2"/>
    <b v="0"/>
    <x v="3"/>
    <x v="4"/>
    <n v="2026"/>
    <n v="2"/>
    <n v="10"/>
    <n v="2026"/>
    <n v="2"/>
    <s v="No"/>
    <x v="0"/>
    <s v="India"/>
    <x v="0"/>
    <s v="StayNest Marina"/>
    <x v="1"/>
    <s v="Business"/>
    <n v="120"/>
    <x v="0"/>
    <s v="Retention"/>
    <d v="2026-11-04T00:00:00"/>
    <s v="No"/>
    <s v="No"/>
    <s v="Off-Peak"/>
    <x v="1"/>
    <n v="0"/>
    <s v="8–30 days"/>
  </r>
  <r>
    <s v="B001796"/>
    <s v="G00215"/>
    <s v="H002"/>
    <s v="CH04"/>
    <d v="2025-07-17T00:00:00"/>
    <d v="2025-09-15T00:00:00"/>
    <x v="1"/>
    <n v="7691"/>
    <x v="0"/>
    <b v="0"/>
    <x v="1"/>
    <x v="10"/>
    <n v="2025"/>
    <n v="0"/>
    <n v="7"/>
    <n v="2025"/>
    <n v="3"/>
    <s v="No"/>
    <x v="0"/>
    <s v="India"/>
    <x v="0"/>
    <s v="StayNest Central"/>
    <x v="0"/>
    <s v="Business"/>
    <n v="150"/>
    <x v="4"/>
    <s v="Partner"/>
    <d v="2025-09-15T00:00:00"/>
    <s v="No"/>
    <s v="No"/>
    <s v="Shoulder"/>
    <x v="1"/>
    <n v="0"/>
    <s v="31–90 days"/>
  </r>
  <r>
    <s v="B001797"/>
    <s v="G00095"/>
    <s v="H009"/>
    <s v="CH01"/>
    <d v="2026-04-25T00:00:00"/>
    <d v="2026-05-25T00:00:00"/>
    <x v="0"/>
    <n v="4100"/>
    <x v="0"/>
    <b v="0"/>
    <x v="2"/>
    <x v="9"/>
    <n v="2026"/>
    <n v="0"/>
    <n v="4"/>
    <n v="2026"/>
    <n v="5"/>
    <s v="No"/>
    <x v="0"/>
    <s v="India"/>
    <x v="0"/>
    <s v="StayNest Airport"/>
    <x v="9"/>
    <s v="Business"/>
    <n v="160"/>
    <x v="5"/>
    <s v="Direct"/>
    <d v="2026-05-25T00:00:00"/>
    <s v="No"/>
    <s v="No"/>
    <s v="Peak"/>
    <x v="1"/>
    <n v="0"/>
    <s v="8–30 days"/>
  </r>
  <r>
    <s v="B001798"/>
    <s v="G00638"/>
    <s v="H009"/>
    <s v="CH05"/>
    <d v="2025-01-24T00:00:00"/>
    <d v="2025-06-23T00:00:00"/>
    <x v="0"/>
    <n v="5384"/>
    <x v="1"/>
    <b v="0"/>
    <x v="5"/>
    <x v="1"/>
    <n v="2025"/>
    <n v="0"/>
    <n v="1"/>
    <n v="2025"/>
    <n v="4"/>
    <s v="No"/>
    <x v="3"/>
    <s v="India"/>
    <x v="0"/>
    <s v="StayNest Airport"/>
    <x v="9"/>
    <s v="Business"/>
    <n v="160"/>
    <x v="2"/>
    <s v="Corporate Rate"/>
    <d v="2025-06-23T00:00:00"/>
    <s v="No"/>
    <s v="No"/>
    <s v="Shoulder"/>
    <x v="1"/>
    <n v="1"/>
    <s v="91–180 days"/>
  </r>
  <r>
    <s v="B001799"/>
    <s v="G00640"/>
    <s v="H009"/>
    <s v="CH05"/>
    <d v="2025-01-28T00:00:00"/>
    <d v="2025-09-05T00:00:00"/>
    <x v="0"/>
    <n v="5847"/>
    <x v="3"/>
    <b v="0"/>
    <x v="8"/>
    <x v="10"/>
    <n v="2025"/>
    <n v="4"/>
    <n v="1"/>
    <n v="2025"/>
    <n v="1"/>
    <s v="No"/>
    <x v="3"/>
    <s v="India"/>
    <x v="0"/>
    <s v="StayNest Airport"/>
    <x v="9"/>
    <s v="Business"/>
    <n v="160"/>
    <x v="2"/>
    <s v="Corporate Rate"/>
    <d v="2025-09-05T00:00:00"/>
    <s v="No"/>
    <s v="No"/>
    <s v="Shoulder"/>
    <x v="1"/>
    <n v="0"/>
    <s v="181+ days"/>
  </r>
  <r>
    <s v="B001800"/>
    <s v="G00324"/>
    <s v="H005"/>
    <s v="CH06"/>
    <d v="2026-07-10T00:00:00"/>
    <d v="2026-08-09T00:00:00"/>
    <x v="1"/>
    <n v="8317"/>
    <x v="0"/>
    <b v="0"/>
    <x v="2"/>
    <x v="7"/>
    <n v="2026"/>
    <n v="6"/>
    <n v="7"/>
    <n v="2026"/>
    <n v="4"/>
    <s v="Yes"/>
    <x v="2"/>
    <s v="India"/>
    <x v="1"/>
    <s v="StayNest Heritage"/>
    <x v="11"/>
    <s v="Heritage"/>
    <n v="90"/>
    <x v="0"/>
    <s v="Retention"/>
    <d v="2026-08-09T00:00:00"/>
    <s v="Yes"/>
    <s v="No"/>
    <s v="Off-Peak"/>
    <x v="1"/>
    <n v="0"/>
    <s v="8–30 day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F44BBB-A909-468A-94EE-C444CAD4B1A2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F11" firstHeaderRow="1" firstDataRow="2" firstDataCol="1"/>
  <pivotFields count="34">
    <pivotField dataField="1" showAll="0"/>
    <pivotField showAll="0"/>
    <pivotField showAll="0"/>
    <pivotField showAll="0"/>
    <pivotField numFmtId="14" showAll="0"/>
    <pivotField numFmtId="14" showAll="0"/>
    <pivotField showAll="0"/>
    <pivotField showAll="0"/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>
      <items count="13">
        <item x="0"/>
        <item x="1"/>
        <item x="8"/>
        <item x="6"/>
        <item x="10"/>
        <item x="2"/>
        <item x="11"/>
        <item x="9"/>
        <item x="7"/>
        <item x="5"/>
        <item x="3"/>
        <item x="4"/>
        <item t="default"/>
      </items>
    </pivotField>
    <pivotField showAll="0"/>
    <pivotField showAll="0"/>
    <pivotField axis="axisRow" showAll="0">
      <items count="7">
        <item x="0"/>
        <item x="2"/>
        <item x="3"/>
        <item x="1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5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booking_id" fld="0" subtotal="count" showDataAs="percentOfRow" baseField="25" baseItem="0" numFmtId="1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1AA6887-3F39-4FE6-B137-11D2C39F46E0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F14" firstHeaderRow="1" firstDataRow="2" firstDataCol="1"/>
  <pivotFields count="34">
    <pivotField dataField="1" showAll="0"/>
    <pivotField showAll="0"/>
    <pivotField showAll="0"/>
    <pivotField showAll="0"/>
    <pivotField numFmtId="14" showAll="0"/>
    <pivotField numFmtId="14" showAll="0"/>
    <pivotField showAll="0"/>
    <pivotField showAll="0"/>
    <pivotField axis="axisCol" showAll="0">
      <items count="5">
        <item x="1"/>
        <item x="0"/>
        <item x="2"/>
        <item x="3"/>
        <item t="default"/>
      </items>
    </pivotField>
    <pivotField showAll="0"/>
    <pivotField axis="axisRow" showAll="0">
      <items count="10">
        <item x="7"/>
        <item x="6"/>
        <item x="4"/>
        <item x="3"/>
        <item x="2"/>
        <item x="1"/>
        <item x="0"/>
        <item x="5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0"/>
  </rowFields>
  <rowItems count="10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booking_id" fld="0" subtotal="count" showDataAs="percentOfRow" baseField="10" baseItem="0" numFmtId="1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4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4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4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4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DC73E-B94B-482C-8512-71FE27DA7CA0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F17" firstHeaderRow="1" firstDataRow="2" firstDataCol="1"/>
  <pivotFields count="34">
    <pivotField dataField="1" showAll="0"/>
    <pivotField showAll="0"/>
    <pivotField showAll="0"/>
    <pivotField showAll="0"/>
    <pivotField numFmtId="14" showAll="0"/>
    <pivotField numFmtId="14" showAll="0"/>
    <pivotField showAll="0"/>
    <pivotField showAll="0"/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axis="axisRow" showAll="0">
      <items count="13">
        <item x="6"/>
        <item x="0"/>
        <item x="3"/>
        <item x="2"/>
        <item x="9"/>
        <item x="1"/>
        <item x="8"/>
        <item x="7"/>
        <item x="10"/>
        <item x="11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1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8"/>
  </colFields>
  <colItems count="5">
    <i>
      <x/>
    </i>
    <i>
      <x v="1"/>
    </i>
    <i>
      <x v="2"/>
    </i>
    <i>
      <x v="3"/>
    </i>
    <i t="grand">
      <x/>
    </i>
  </colItems>
  <dataFields count="1">
    <dataField name="Count of booking_id" fld="0" subtotal="count" showDataAs="percentOfRow" baseField="11" baseItem="0" numFmtId="10"/>
  </dataFields>
  <chartFormats count="8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6" format="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6" format="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6" format="1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6" format="1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A730F1E-9B1F-44D4-95A0-6CE45420778E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D9" firstHeaderRow="1" firstDataRow="2" firstDataCol="1" rowPageCount="1" colPageCount="1"/>
  <pivotFields count="34">
    <pivotField dataField="1" showAll="0"/>
    <pivotField showAll="0"/>
    <pivotField showAll="0"/>
    <pivotField showAll="0"/>
    <pivotField numFmtId="14" showAll="0"/>
    <pivotField numFmtId="14" showAll="0"/>
    <pivotField showAll="0"/>
    <pivotField showAll="0"/>
    <pivotField axis="axisPage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3"/>
        <item x="2"/>
        <item x="0"/>
        <item x="1"/>
        <item t="default"/>
      </items>
    </pivotField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18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pageFields count="1">
    <pageField fld="8" item="0" hier="-1"/>
  </pageFields>
  <dataFields count="1">
    <dataField name="Count of booking_id" fld="0" subtotal="count" showDataAs="percentOfRow" baseField="18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4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D7C6D5-E2FD-4212-9B47-CE4D596F047A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8" firstHeaderRow="0" firstDataRow="1" firstDataCol="1"/>
  <pivotFields count="34">
    <pivotField dataField="1" showAll="0"/>
    <pivotField showAll="0"/>
    <pivotField showAll="0"/>
    <pivotField showAll="0"/>
    <pivotField numFmtId="14" showAll="0"/>
    <pivotField numFmtId="14" showAll="0"/>
    <pivotField axis="axisRow" showAll="0">
      <items count="5">
        <item x="0"/>
        <item x="1"/>
        <item x="2"/>
        <item x="3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6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booking_id" fld="0" subtotal="count" baseField="0" baseItem="0"/>
    <dataField name="Average of room_rate" fld="7" subtotal="average" baseField="6" baseItem="0" numFmtId="2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DC69228-1E15-44F7-B0B8-9E027BD25064}" name="PivotTable4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C7" firstHeaderRow="0" firstDataRow="1" firstDataCol="1"/>
  <pivotFields count="34">
    <pivotField dataField="1" showAll="0"/>
    <pivotField showAll="0"/>
    <pivotField showAll="0"/>
    <pivotField showAll="0"/>
    <pivotField numFmtId="14" showAll="0"/>
    <pivotField numFmtId="14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</pivotFields>
  <rowFields count="1">
    <field x="31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Count of booking_id" fld="0" subtotal="count" baseField="0" baseItem="0"/>
    <dataField name="Average of room_rate" fld="7" subtotal="average" baseField="31" baseItem="0" numFmtId="2"/>
  </dataField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450F0423-F8FD-4EC6-861A-DB3321699589}" autoFormatId="16" applyNumberFormats="0" applyBorderFormats="0" applyFontFormats="0" applyPatternFormats="0" applyAlignmentFormats="0" applyWidthHeightFormats="0">
  <queryTableRefresh nextId="35">
    <queryTableFields count="34">
      <queryTableField id="1" name="booking_id" tableColumnId="1"/>
      <queryTableField id="2" name="guest_id" tableColumnId="2"/>
      <queryTableField id="3" name="hotel_id" tableColumnId="3"/>
      <queryTableField id="4" name="channel_id" tableColumnId="4"/>
      <queryTableField id="5" name="booking_date" tableColumnId="5"/>
      <queryTableField id="6" name="stay_date" tableColumnId="6"/>
      <queryTableField id="7" name="room_type" tableColumnId="7"/>
      <queryTableField id="8" name="room_rate" tableColumnId="8"/>
      <queryTableField id="9" name="booking_status" tableColumnId="9"/>
      <queryTableField id="10" name="rate_outlier_flag" tableColumnId="10"/>
      <queryTableField id="11" name="lead_time_days" tableColumnId="11"/>
      <queryTableField id="12" name="stay_month" tableColumnId="12"/>
      <queryTableField id="13" name="stay_year" tableColumnId="13"/>
      <queryTableField id="14" name="stay_day_of_week" tableColumnId="14"/>
      <queryTableField id="15" name="booking_month" tableColumnId="15"/>
      <queryTableField id="16" name="booking_year" tableColumnId="16"/>
      <queryTableField id="17" name="booking_day_of_week" tableColumnId="17"/>
      <queryTableField id="18" name="weekend_stay" tableColumnId="18"/>
      <queryTableField id="19" name="guest_type" tableColumnId="19"/>
      <queryTableField id="20" name="origin" tableColumnId="20"/>
      <queryTableField id="21" name="repeat_guest" tableColumnId="21"/>
      <queryTableField id="22" name="hotel_name" tableColumnId="22"/>
      <queryTableField id="23" name="city" tableColumnId="23"/>
      <queryTableField id="24" name="property_type" tableColumnId="24"/>
      <queryTableField id="25" name="capacity" tableColumnId="25"/>
      <queryTableField id="26" name="booking_channel" tableColumnId="26"/>
      <queryTableField id="27" name="campaign" tableColumnId="27"/>
      <queryTableField id="28" name="calendar_date" tableColumnId="28"/>
      <queryTableField id="29" name="weekend" tableColumnId="29"/>
      <queryTableField id="30" name="holiday" tableColumnId="30"/>
      <queryTableField id="31" name="season" tableColumnId="31"/>
      <queryTableField id="32" name="local_event" tableColumnId="32"/>
      <queryTableField id="33" name="is_cancelled" tableColumnId="33"/>
      <queryTableField id="34" name="lead_time_group" tableColumnId="3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CF3B5C-1305-487D-A1FF-3A82A0F148A1}" name="cleaned_bookings" displayName="cleaned_bookings" ref="A1:AH1779" tableType="queryTable" totalsRowShown="0">
  <autoFilter ref="A1:AH1779" xr:uid="{E9CF3B5C-1305-487D-A1FF-3A82A0F148A1}"/>
  <tableColumns count="34">
    <tableColumn id="1" xr3:uid="{F439DD13-B7B5-4BC9-896D-4964B2DA8EA1}" uniqueName="1" name="booking_id" queryTableFieldId="1" dataDxfId="22"/>
    <tableColumn id="2" xr3:uid="{0EB39743-7710-40B1-803C-8B252B97E20C}" uniqueName="2" name="guest_id" queryTableFieldId="2" dataDxfId="21"/>
    <tableColumn id="3" xr3:uid="{0883A094-D53A-46B9-9990-5EB33AD8BBDA}" uniqueName="3" name="hotel_id" queryTableFieldId="3" dataDxfId="20"/>
    <tableColumn id="4" xr3:uid="{44682264-6123-4D69-92FB-0CA07A3688A1}" uniqueName="4" name="channel_id" queryTableFieldId="4" dataDxfId="19"/>
    <tableColumn id="5" xr3:uid="{7F471860-477A-4F6E-A04B-D240E5D7AA68}" uniqueName="5" name="booking_date" queryTableFieldId="5" dataDxfId="18"/>
    <tableColumn id="6" xr3:uid="{ACE76CED-F1A9-447E-87FC-2518F02A326E}" uniqueName="6" name="stay_date" queryTableFieldId="6" dataDxfId="17"/>
    <tableColumn id="7" xr3:uid="{665B5C24-9910-4F8D-B6A1-50FF1EC2CA8A}" uniqueName="7" name="room_type" queryTableFieldId="7" dataDxfId="16"/>
    <tableColumn id="8" xr3:uid="{68806DE7-B654-4128-B3EF-F3F99677C81F}" uniqueName="8" name="room_rate" queryTableFieldId="8"/>
    <tableColumn id="9" xr3:uid="{13F4F1DD-B7B7-429A-8018-7718E8E878FF}" uniqueName="9" name="booking_status" queryTableFieldId="9" dataDxfId="15"/>
    <tableColumn id="10" xr3:uid="{8C9FDF3C-E6D2-491F-A158-AFC0D2D6ECBA}" uniqueName="10" name="rate_outlier_flag" queryTableFieldId="10"/>
    <tableColumn id="11" xr3:uid="{3C286FA1-7CA5-450A-AEF5-CFAD6C6DE32B}" uniqueName="11" name="lead_time_days" queryTableFieldId="11"/>
    <tableColumn id="12" xr3:uid="{CA1E66CF-4841-4A37-9893-4C023B3D8B7B}" uniqueName="12" name="stay_month" queryTableFieldId="12"/>
    <tableColumn id="13" xr3:uid="{33047001-3624-4508-A41D-E0ECEFEBBE37}" uniqueName="13" name="stay_year" queryTableFieldId="13"/>
    <tableColumn id="14" xr3:uid="{1A7CE304-F577-4F4A-BD5D-F81CE8D65C72}" uniqueName="14" name="stay_day_of_week" queryTableFieldId="14"/>
    <tableColumn id="15" xr3:uid="{4497E272-9FB9-4412-BB7B-A53932312387}" uniqueName="15" name="booking_month" queryTableFieldId="15"/>
    <tableColumn id="16" xr3:uid="{063A1D4E-4B91-41E9-BE49-04D856104B45}" uniqueName="16" name="booking_year" queryTableFieldId="16"/>
    <tableColumn id="17" xr3:uid="{A4CEE843-230B-4978-A92B-6CC41803C910}" uniqueName="17" name="booking_day_of_week" queryTableFieldId="17"/>
    <tableColumn id="18" xr3:uid="{A48727CE-C036-4D08-87B8-AEE2D49BFFD3}" uniqueName="18" name="weekend_stay" queryTableFieldId="18" dataDxfId="14"/>
    <tableColumn id="19" xr3:uid="{7A46C927-2B53-4157-8F94-BCB4200C73DC}" uniqueName="19" name="guest_type" queryTableFieldId="19" dataDxfId="13"/>
    <tableColumn id="20" xr3:uid="{59AF7205-9E6D-4810-BAA8-6E21380DD6EB}" uniqueName="20" name="origin" queryTableFieldId="20" dataDxfId="12"/>
    <tableColumn id="21" xr3:uid="{F775D678-4FF5-40A6-9C98-D12B0AFDCEF2}" uniqueName="21" name="repeat_guest" queryTableFieldId="21" dataDxfId="11"/>
    <tableColumn id="22" xr3:uid="{73E54468-02E2-40D6-85F1-CE3BC2111E97}" uniqueName="22" name="hotel_name" queryTableFieldId="22" dataDxfId="10"/>
    <tableColumn id="23" xr3:uid="{4564213C-7560-4BA4-828D-961759F86823}" uniqueName="23" name="city" queryTableFieldId="23" dataDxfId="9"/>
    <tableColumn id="24" xr3:uid="{C7CE9691-9AAC-45AE-8050-7D07D9B829AB}" uniqueName="24" name="property_type" queryTableFieldId="24" dataDxfId="8"/>
    <tableColumn id="25" xr3:uid="{90FF45BC-F29F-4759-AB61-845444EA77AF}" uniqueName="25" name="capacity" queryTableFieldId="25"/>
    <tableColumn id="26" xr3:uid="{E19B668B-3796-4681-AA9B-150719BADE30}" uniqueName="26" name="booking_channel" queryTableFieldId="26" dataDxfId="7"/>
    <tableColumn id="27" xr3:uid="{34FE0CDB-B315-403D-95E3-69D692EBB2E9}" uniqueName="27" name="campaign" queryTableFieldId="27" dataDxfId="6"/>
    <tableColumn id="28" xr3:uid="{A46B6208-D9DB-493A-B392-EA7C410A6165}" uniqueName="28" name="calendar_date" queryTableFieldId="28" dataDxfId="5"/>
    <tableColumn id="29" xr3:uid="{3703FE7E-4FC4-456C-ACE2-5189A78A18BF}" uniqueName="29" name="weekend" queryTableFieldId="29" dataDxfId="4"/>
    <tableColumn id="30" xr3:uid="{AB7E76C8-7801-4485-B0D1-12F1F491097F}" uniqueName="30" name="holiday" queryTableFieldId="30" dataDxfId="3"/>
    <tableColumn id="31" xr3:uid="{3590E1E1-8D32-4482-90C1-55E409B6DBB2}" uniqueName="31" name="season" queryTableFieldId="31" dataDxfId="2"/>
    <tableColumn id="32" xr3:uid="{5167BCAC-4448-4991-A755-EC79B5B7B61F}" uniqueName="32" name="local_event" queryTableFieldId="32" dataDxfId="1"/>
    <tableColumn id="33" xr3:uid="{5758BA91-4376-4D54-892B-7AABFAA07350}" uniqueName="33" name="is_cancelled" queryTableFieldId="33"/>
    <tableColumn id="34" xr3:uid="{8C42E254-D714-48DD-B59B-C0DC72B44BC1}" uniqueName="34" name="lead_time_group" queryTableFieldId="3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2026D-C041-4359-AB56-FBD47A02CCB5}">
  <dimension ref="A3:F11"/>
  <sheetViews>
    <sheetView workbookViewId="0">
      <selection activeCell="O8" sqref="O8"/>
    </sheetView>
  </sheetViews>
  <sheetFormatPr defaultRowHeight="14.4" x14ac:dyDescent="0.3"/>
  <cols>
    <col min="1" max="1" width="17.33203125" bestFit="1" customWidth="1"/>
    <col min="2" max="2" width="15.5546875" bestFit="1" customWidth="1"/>
    <col min="3" max="3" width="11.6640625" bestFit="1" customWidth="1"/>
    <col min="4" max="4" width="9.77734375" bestFit="1" customWidth="1"/>
    <col min="5" max="5" width="8.21875" bestFit="1" customWidth="1"/>
    <col min="6" max="6" width="10.5546875" bestFit="1" customWidth="1"/>
  </cols>
  <sheetData>
    <row r="3" spans="1:6" x14ac:dyDescent="0.3">
      <c r="A3" s="2" t="s">
        <v>2500</v>
      </c>
      <c r="B3" s="2" t="s">
        <v>2499</v>
      </c>
    </row>
    <row r="4" spans="1:6" x14ac:dyDescent="0.3">
      <c r="A4" s="2" t="s">
        <v>2497</v>
      </c>
      <c r="B4" t="s">
        <v>54</v>
      </c>
      <c r="C4" t="s">
        <v>39</v>
      </c>
      <c r="D4" t="s">
        <v>65</v>
      </c>
      <c r="E4" t="s">
        <v>212</v>
      </c>
      <c r="F4" t="s">
        <v>2498</v>
      </c>
    </row>
    <row r="5" spans="1:6" x14ac:dyDescent="0.3">
      <c r="A5" s="3" t="s">
        <v>46</v>
      </c>
      <c r="B5" s="4">
        <v>0.13402061855670103</v>
      </c>
      <c r="C5" s="4">
        <v>0.55670103092783507</v>
      </c>
      <c r="D5" s="4">
        <v>0.2611683848797251</v>
      </c>
      <c r="E5" s="4">
        <v>4.8109965635738834E-2</v>
      </c>
      <c r="F5" s="4">
        <v>1</v>
      </c>
    </row>
    <row r="6" spans="1:6" x14ac:dyDescent="0.3">
      <c r="A6" s="3" t="s">
        <v>84</v>
      </c>
      <c r="B6" s="4">
        <v>0.1357142857142857</v>
      </c>
      <c r="C6" s="4">
        <v>0.57857142857142863</v>
      </c>
      <c r="D6" s="4">
        <v>0.23214285714285715</v>
      </c>
      <c r="E6" s="4">
        <v>5.3571428571428568E-2</v>
      </c>
      <c r="F6" s="4">
        <v>1</v>
      </c>
    </row>
    <row r="7" spans="1:6" x14ac:dyDescent="0.3">
      <c r="A7" s="3" t="s">
        <v>93</v>
      </c>
      <c r="B7" s="4">
        <v>0.13836477987421383</v>
      </c>
      <c r="C7" s="4">
        <v>0.53144654088050314</v>
      </c>
      <c r="D7" s="4">
        <v>0.27044025157232704</v>
      </c>
      <c r="E7" s="4">
        <v>5.9748427672955975E-2</v>
      </c>
      <c r="F7" s="4">
        <v>1</v>
      </c>
    </row>
    <row r="8" spans="1:6" x14ac:dyDescent="0.3">
      <c r="A8" s="3" t="s">
        <v>58</v>
      </c>
      <c r="B8" s="4">
        <v>0.33333333333333331</v>
      </c>
      <c r="C8" s="4">
        <v>0.4375</v>
      </c>
      <c r="D8" s="4">
        <v>0.19791666666666666</v>
      </c>
      <c r="E8" s="4">
        <v>3.125E-2</v>
      </c>
      <c r="F8" s="4">
        <v>1</v>
      </c>
    </row>
    <row r="9" spans="1:6" x14ac:dyDescent="0.3">
      <c r="A9" s="3" t="s">
        <v>107</v>
      </c>
      <c r="B9" s="4">
        <v>0.15333333333333332</v>
      </c>
      <c r="C9" s="4">
        <v>0.56000000000000005</v>
      </c>
      <c r="D9" s="4">
        <v>0.22666666666666666</v>
      </c>
      <c r="E9" s="4">
        <v>0.06</v>
      </c>
      <c r="F9" s="4">
        <v>1</v>
      </c>
    </row>
    <row r="10" spans="1:6" x14ac:dyDescent="0.3">
      <c r="A10" s="3" t="s">
        <v>133</v>
      </c>
      <c r="B10" s="4">
        <v>0.12292358803986711</v>
      </c>
      <c r="C10" s="4">
        <v>0.60465116279069764</v>
      </c>
      <c r="D10" s="4">
        <v>0.21926910299003322</v>
      </c>
      <c r="E10" s="4">
        <v>5.3156146179401995E-2</v>
      </c>
      <c r="F10" s="4">
        <v>1</v>
      </c>
    </row>
    <row r="11" spans="1:6" x14ac:dyDescent="0.3">
      <c r="A11" s="3" t="s">
        <v>2498</v>
      </c>
      <c r="B11" s="4">
        <v>0.1687289088863892</v>
      </c>
      <c r="C11" s="4">
        <v>0.5449943757030371</v>
      </c>
      <c r="D11" s="4">
        <v>0.23509561304836896</v>
      </c>
      <c r="E11" s="4">
        <v>5.1181102362204724E-2</v>
      </c>
      <c r="F11" s="4">
        <v>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2E3451-5281-4719-99AD-011D429821C9}">
  <dimension ref="A3:F14"/>
  <sheetViews>
    <sheetView workbookViewId="0">
      <selection activeCell="N10" sqref="N10"/>
    </sheetView>
  </sheetViews>
  <sheetFormatPr defaultRowHeight="14.4" x14ac:dyDescent="0.3"/>
  <cols>
    <col min="1" max="1" width="17.33203125" bestFit="1" customWidth="1"/>
    <col min="2" max="2" width="15.5546875" bestFit="1" customWidth="1"/>
    <col min="3" max="3" width="11.6640625" bestFit="1" customWidth="1"/>
    <col min="4" max="4" width="9.77734375" bestFit="1" customWidth="1"/>
    <col min="5" max="5" width="8.21875" bestFit="1" customWidth="1"/>
    <col min="6" max="6" width="10.5546875" bestFit="1" customWidth="1"/>
  </cols>
  <sheetData>
    <row r="3" spans="1:6" x14ac:dyDescent="0.3">
      <c r="A3" s="2" t="s">
        <v>2500</v>
      </c>
      <c r="B3" s="2" t="s">
        <v>2499</v>
      </c>
    </row>
    <row r="4" spans="1:6" x14ac:dyDescent="0.3">
      <c r="A4" s="2" t="s">
        <v>2497</v>
      </c>
      <c r="B4" t="s">
        <v>54</v>
      </c>
      <c r="C4" t="s">
        <v>39</v>
      </c>
      <c r="D4" t="s">
        <v>65</v>
      </c>
      <c r="E4" t="s">
        <v>212</v>
      </c>
      <c r="F4" t="s">
        <v>2498</v>
      </c>
    </row>
    <row r="5" spans="1:6" x14ac:dyDescent="0.3">
      <c r="A5" s="3">
        <v>1</v>
      </c>
      <c r="B5" s="4">
        <v>0.13698630136986301</v>
      </c>
      <c r="C5" s="4">
        <v>0.5547945205479452</v>
      </c>
      <c r="D5" s="4">
        <v>0.23287671232876711</v>
      </c>
      <c r="E5" s="4">
        <v>7.5342465753424653E-2</v>
      </c>
      <c r="F5" s="4">
        <v>1</v>
      </c>
    </row>
    <row r="6" spans="1:6" x14ac:dyDescent="0.3">
      <c r="A6" s="3">
        <v>3</v>
      </c>
      <c r="B6" s="4">
        <v>0.14906832298136646</v>
      </c>
      <c r="C6" s="4">
        <v>0.56521739130434778</v>
      </c>
      <c r="D6" s="4">
        <v>0.2236024844720497</v>
      </c>
      <c r="E6" s="4">
        <v>6.2111801242236024E-2</v>
      </c>
      <c r="F6" s="4">
        <v>1</v>
      </c>
    </row>
    <row r="7" spans="1:6" x14ac:dyDescent="0.3">
      <c r="A7" s="3">
        <v>7</v>
      </c>
      <c r="B7" s="4">
        <v>0.13207547169811321</v>
      </c>
      <c r="C7" s="4">
        <v>0.58867924528301885</v>
      </c>
      <c r="D7" s="4">
        <v>0.22264150943396227</v>
      </c>
      <c r="E7" s="4">
        <v>5.6603773584905662E-2</v>
      </c>
      <c r="F7" s="4">
        <v>1</v>
      </c>
    </row>
    <row r="8" spans="1:6" x14ac:dyDescent="0.3">
      <c r="A8" s="3">
        <v>14</v>
      </c>
      <c r="B8" s="4">
        <v>0.12837837837837837</v>
      </c>
      <c r="C8" s="4">
        <v>0.59797297297297303</v>
      </c>
      <c r="D8" s="4">
        <v>0.2195945945945946</v>
      </c>
      <c r="E8" s="4">
        <v>5.4054054054054057E-2</v>
      </c>
      <c r="F8" s="4">
        <v>1</v>
      </c>
    </row>
    <row r="9" spans="1:6" x14ac:dyDescent="0.3">
      <c r="A9" s="3">
        <v>30</v>
      </c>
      <c r="B9" s="4">
        <v>0.10793650793650794</v>
      </c>
      <c r="C9" s="4">
        <v>0.58730158730158732</v>
      </c>
      <c r="D9" s="4">
        <v>0.26984126984126983</v>
      </c>
      <c r="E9" s="4">
        <v>3.4920634920634921E-2</v>
      </c>
      <c r="F9" s="4">
        <v>1</v>
      </c>
    </row>
    <row r="10" spans="1:6" x14ac:dyDescent="0.3">
      <c r="A10" s="3">
        <v>60</v>
      </c>
      <c r="B10" s="4">
        <v>0.12267657992565056</v>
      </c>
      <c r="C10" s="4">
        <v>0.57620817843866168</v>
      </c>
      <c r="D10" s="4">
        <v>0.26394052044609667</v>
      </c>
      <c r="E10" s="4">
        <v>3.717472118959108E-2</v>
      </c>
      <c r="F10" s="4">
        <v>1</v>
      </c>
    </row>
    <row r="11" spans="1:6" x14ac:dyDescent="0.3">
      <c r="A11" s="3">
        <v>100</v>
      </c>
      <c r="B11" s="4">
        <v>0.36746987951807231</v>
      </c>
      <c r="C11" s="4">
        <v>0.34337349397590361</v>
      </c>
      <c r="D11" s="4">
        <v>0.22289156626506024</v>
      </c>
      <c r="E11" s="4">
        <v>6.6265060240963861E-2</v>
      </c>
      <c r="F11" s="4">
        <v>1</v>
      </c>
    </row>
    <row r="12" spans="1:6" x14ac:dyDescent="0.3">
      <c r="A12" s="3">
        <v>150</v>
      </c>
      <c r="B12" s="4">
        <v>0.35849056603773582</v>
      </c>
      <c r="C12" s="4">
        <v>0.42452830188679247</v>
      </c>
      <c r="D12" s="4">
        <v>0.18867924528301888</v>
      </c>
      <c r="E12" s="4">
        <v>2.8301886792452831E-2</v>
      </c>
      <c r="F12" s="4">
        <v>1</v>
      </c>
    </row>
    <row r="13" spans="1:6" x14ac:dyDescent="0.3">
      <c r="A13" s="3">
        <v>220</v>
      </c>
      <c r="B13" s="4">
        <v>0.31481481481481483</v>
      </c>
      <c r="C13" s="4">
        <v>0.40740740740740738</v>
      </c>
      <c r="D13" s="4">
        <v>0.20370370370370369</v>
      </c>
      <c r="E13" s="4">
        <v>7.407407407407407E-2</v>
      </c>
      <c r="F13" s="4">
        <v>1</v>
      </c>
    </row>
    <row r="14" spans="1:6" x14ac:dyDescent="0.3">
      <c r="A14" s="3" t="s">
        <v>2498</v>
      </c>
      <c r="B14" s="4">
        <v>0.1687289088863892</v>
      </c>
      <c r="C14" s="4">
        <v>0.5449943757030371</v>
      </c>
      <c r="D14" s="4">
        <v>0.23509561304836896</v>
      </c>
      <c r="E14" s="4">
        <v>5.1181102362204724E-2</v>
      </c>
      <c r="F14" s="4">
        <v>1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C2AAA1-E51F-49D1-A989-54E2EBED04B8}">
  <dimension ref="A3:F17"/>
  <sheetViews>
    <sheetView workbookViewId="0">
      <selection activeCell="O7" sqref="O7"/>
    </sheetView>
  </sheetViews>
  <sheetFormatPr defaultRowHeight="14.4" x14ac:dyDescent="0.3"/>
  <cols>
    <col min="1" max="1" width="17.33203125" bestFit="1" customWidth="1"/>
    <col min="2" max="2" width="15.5546875" bestFit="1" customWidth="1"/>
    <col min="3" max="3" width="11.6640625" bestFit="1" customWidth="1"/>
    <col min="4" max="4" width="9.77734375" bestFit="1" customWidth="1"/>
    <col min="5" max="5" width="8.21875" bestFit="1" customWidth="1"/>
    <col min="6" max="6" width="10.5546875" bestFit="1" customWidth="1"/>
  </cols>
  <sheetData>
    <row r="3" spans="1:6" x14ac:dyDescent="0.3">
      <c r="A3" s="2" t="s">
        <v>2500</v>
      </c>
      <c r="B3" s="2" t="s">
        <v>2499</v>
      </c>
    </row>
    <row r="4" spans="1:6" x14ac:dyDescent="0.3">
      <c r="A4" s="2" t="s">
        <v>2497</v>
      </c>
      <c r="B4" t="s">
        <v>54</v>
      </c>
      <c r="C4" t="s">
        <v>39</v>
      </c>
      <c r="D4" t="s">
        <v>65</v>
      </c>
      <c r="E4" t="s">
        <v>212</v>
      </c>
      <c r="F4" t="s">
        <v>2498</v>
      </c>
    </row>
    <row r="5" spans="1:6" x14ac:dyDescent="0.3">
      <c r="A5" s="3">
        <v>1</v>
      </c>
      <c r="B5" s="4">
        <v>0.1440677966101695</v>
      </c>
      <c r="C5" s="4">
        <v>0.5423728813559322</v>
      </c>
      <c r="D5" s="4">
        <v>0.25423728813559321</v>
      </c>
      <c r="E5" s="4">
        <v>5.9322033898305086E-2</v>
      </c>
      <c r="F5" s="4">
        <v>1</v>
      </c>
    </row>
    <row r="6" spans="1:6" x14ac:dyDescent="0.3">
      <c r="A6" s="3">
        <v>2</v>
      </c>
      <c r="B6" s="4">
        <v>0.19607843137254902</v>
      </c>
      <c r="C6" s="4">
        <v>0.52287581699346408</v>
      </c>
      <c r="D6" s="4">
        <v>0.22222222222222221</v>
      </c>
      <c r="E6" s="4">
        <v>5.8823529411764705E-2</v>
      </c>
      <c r="F6" s="4">
        <v>1</v>
      </c>
    </row>
    <row r="7" spans="1:6" x14ac:dyDescent="0.3">
      <c r="A7" s="3">
        <v>3</v>
      </c>
      <c r="B7" s="4">
        <v>0.19108280254777071</v>
      </c>
      <c r="C7" s="4">
        <v>0.52229299363057324</v>
      </c>
      <c r="D7" s="4">
        <v>0.24203821656050956</v>
      </c>
      <c r="E7" s="4">
        <v>4.4585987261146494E-2</v>
      </c>
      <c r="F7" s="4">
        <v>1</v>
      </c>
    </row>
    <row r="8" spans="1:6" x14ac:dyDescent="0.3">
      <c r="A8" s="3">
        <v>4</v>
      </c>
      <c r="B8" s="4">
        <v>0.1761006289308176</v>
      </c>
      <c r="C8" s="4">
        <v>0.55345911949685533</v>
      </c>
      <c r="D8" s="4">
        <v>0.23270440251572327</v>
      </c>
      <c r="E8" s="4">
        <v>3.7735849056603772E-2</v>
      </c>
      <c r="F8" s="4">
        <v>1</v>
      </c>
    </row>
    <row r="9" spans="1:6" x14ac:dyDescent="0.3">
      <c r="A9" s="3">
        <v>5</v>
      </c>
      <c r="B9" s="4">
        <v>0.19767441860465115</v>
      </c>
      <c r="C9" s="4">
        <v>0.54069767441860461</v>
      </c>
      <c r="D9" s="4">
        <v>0.25</v>
      </c>
      <c r="E9" s="4">
        <v>1.1627906976744186E-2</v>
      </c>
      <c r="F9" s="4">
        <v>1</v>
      </c>
    </row>
    <row r="10" spans="1:6" x14ac:dyDescent="0.3">
      <c r="A10" s="3">
        <v>6</v>
      </c>
      <c r="B10" s="4">
        <v>0.17322834645669291</v>
      </c>
      <c r="C10" s="4">
        <v>0.51181102362204722</v>
      </c>
      <c r="D10" s="4">
        <v>0.28346456692913385</v>
      </c>
      <c r="E10" s="4">
        <v>3.1496062992125984E-2</v>
      </c>
      <c r="F10" s="4">
        <v>1</v>
      </c>
    </row>
    <row r="11" spans="1:6" x14ac:dyDescent="0.3">
      <c r="A11" s="3">
        <v>7</v>
      </c>
      <c r="B11" s="4">
        <v>0.13157894736842105</v>
      </c>
      <c r="C11" s="4">
        <v>0.58552631578947367</v>
      </c>
      <c r="D11" s="4">
        <v>0.20394736842105263</v>
      </c>
      <c r="E11" s="4">
        <v>7.8947368421052627E-2</v>
      </c>
      <c r="F11" s="4">
        <v>1</v>
      </c>
    </row>
    <row r="12" spans="1:6" x14ac:dyDescent="0.3">
      <c r="A12" s="3">
        <v>8</v>
      </c>
      <c r="B12" s="4">
        <v>9.8765432098765427E-2</v>
      </c>
      <c r="C12" s="4">
        <v>0.59876543209876543</v>
      </c>
      <c r="D12" s="4">
        <v>0.24074074074074073</v>
      </c>
      <c r="E12" s="4">
        <v>6.1728395061728392E-2</v>
      </c>
      <c r="F12" s="4">
        <v>1</v>
      </c>
    </row>
    <row r="13" spans="1:6" x14ac:dyDescent="0.3">
      <c r="A13" s="3">
        <v>9</v>
      </c>
      <c r="B13" s="4">
        <v>0.22857142857142856</v>
      </c>
      <c r="C13" s="4">
        <v>0.44285714285714284</v>
      </c>
      <c r="D13" s="4">
        <v>0.27857142857142858</v>
      </c>
      <c r="E13" s="4">
        <v>0.05</v>
      </c>
      <c r="F13" s="4">
        <v>1</v>
      </c>
    </row>
    <row r="14" spans="1:6" x14ac:dyDescent="0.3">
      <c r="A14" s="3">
        <v>10</v>
      </c>
      <c r="B14" s="4">
        <v>0.16455696202531644</v>
      </c>
      <c r="C14" s="4">
        <v>0.59493670886075944</v>
      </c>
      <c r="D14" s="4">
        <v>0.19620253164556961</v>
      </c>
      <c r="E14" s="4">
        <v>4.4303797468354431E-2</v>
      </c>
      <c r="F14" s="4">
        <v>1</v>
      </c>
    </row>
    <row r="15" spans="1:6" x14ac:dyDescent="0.3">
      <c r="A15" s="3">
        <v>11</v>
      </c>
      <c r="B15" s="4">
        <v>0.14743589743589744</v>
      </c>
      <c r="C15" s="4">
        <v>0.55128205128205132</v>
      </c>
      <c r="D15" s="4">
        <v>0.20512820512820512</v>
      </c>
      <c r="E15" s="4">
        <v>9.6153846153846159E-2</v>
      </c>
      <c r="F15" s="4">
        <v>1</v>
      </c>
    </row>
    <row r="16" spans="1:6" x14ac:dyDescent="0.3">
      <c r="A16" s="3">
        <v>12</v>
      </c>
      <c r="B16" s="4">
        <v>0.17741935483870969</v>
      </c>
      <c r="C16" s="4">
        <v>0.55645161290322576</v>
      </c>
      <c r="D16" s="4">
        <v>0.22580645161290322</v>
      </c>
      <c r="E16" s="4">
        <v>4.0322580645161289E-2</v>
      </c>
      <c r="F16" s="4">
        <v>1</v>
      </c>
    </row>
    <row r="17" spans="1:6" x14ac:dyDescent="0.3">
      <c r="A17" s="3" t="s">
        <v>2498</v>
      </c>
      <c r="B17" s="4">
        <v>0.1687289088863892</v>
      </c>
      <c r="C17" s="4">
        <v>0.5449943757030371</v>
      </c>
      <c r="D17" s="4">
        <v>0.23509561304836896</v>
      </c>
      <c r="E17" s="4">
        <v>5.1181102362204724E-2</v>
      </c>
      <c r="F17" s="4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86B7A-0B9A-40D2-80C6-F802508C5356}">
  <dimension ref="A1:D9"/>
  <sheetViews>
    <sheetView workbookViewId="0">
      <selection activeCell="Q11" sqref="Q11"/>
    </sheetView>
  </sheetViews>
  <sheetFormatPr defaultRowHeight="14.4" x14ac:dyDescent="0.3"/>
  <cols>
    <col min="1" max="1" width="17.33203125" bestFit="1" customWidth="1"/>
    <col min="2" max="2" width="15.5546875" bestFit="1" customWidth="1"/>
    <col min="3" max="3" width="7.109375" bestFit="1" customWidth="1"/>
    <col min="4" max="4" width="10.5546875" bestFit="1" customWidth="1"/>
  </cols>
  <sheetData>
    <row r="1" spans="1:4" x14ac:dyDescent="0.3">
      <c r="A1" s="2" t="s">
        <v>8</v>
      </c>
      <c r="B1" t="s">
        <v>54</v>
      </c>
    </row>
    <row r="3" spans="1:4" x14ac:dyDescent="0.3">
      <c r="A3" s="2" t="s">
        <v>2500</v>
      </c>
      <c r="B3" s="2" t="s">
        <v>2499</v>
      </c>
    </row>
    <row r="4" spans="1:4" x14ac:dyDescent="0.3">
      <c r="A4" s="2" t="s">
        <v>2497</v>
      </c>
      <c r="B4" t="s">
        <v>40</v>
      </c>
      <c r="C4" t="s">
        <v>66</v>
      </c>
      <c r="D4" t="s">
        <v>2498</v>
      </c>
    </row>
    <row r="5" spans="1:4" x14ac:dyDescent="0.3">
      <c r="A5" s="3" t="s">
        <v>45</v>
      </c>
      <c r="B5" s="4">
        <v>0.810126582278481</v>
      </c>
      <c r="C5" s="4">
        <v>0.189873417721519</v>
      </c>
      <c r="D5" s="4">
        <v>1</v>
      </c>
    </row>
    <row r="6" spans="1:4" x14ac:dyDescent="0.3">
      <c r="A6" s="3" t="s">
        <v>67</v>
      </c>
      <c r="B6" s="4">
        <v>0.85185185185185186</v>
      </c>
      <c r="C6" s="4">
        <v>0.14814814814814814</v>
      </c>
      <c r="D6" s="4">
        <v>1</v>
      </c>
    </row>
    <row r="7" spans="1:4" x14ac:dyDescent="0.3">
      <c r="A7" s="3" t="s">
        <v>41</v>
      </c>
      <c r="B7" s="4">
        <v>0.875</v>
      </c>
      <c r="C7" s="4">
        <v>0.125</v>
      </c>
      <c r="D7" s="4">
        <v>1</v>
      </c>
    </row>
    <row r="8" spans="1:4" x14ac:dyDescent="0.3">
      <c r="A8" s="3" t="s">
        <v>55</v>
      </c>
      <c r="B8" s="4">
        <v>0.82524271844660191</v>
      </c>
      <c r="C8" s="4">
        <v>0.17475728155339806</v>
      </c>
      <c r="D8" s="4">
        <v>1</v>
      </c>
    </row>
    <row r="9" spans="1:4" x14ac:dyDescent="0.3">
      <c r="A9" s="3" t="s">
        <v>2498</v>
      </c>
      <c r="B9" s="4">
        <v>0.83666666666666667</v>
      </c>
      <c r="C9" s="4">
        <v>0.16333333333333333</v>
      </c>
      <c r="D9" s="4">
        <v>1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F2DEE-84A4-4561-9A74-A5E2BCF3559F}">
  <dimension ref="A3:C8"/>
  <sheetViews>
    <sheetView workbookViewId="0">
      <selection activeCell="N19" sqref="N19"/>
    </sheetView>
  </sheetViews>
  <sheetFormatPr defaultRowHeight="14.4" x14ac:dyDescent="0.3"/>
  <cols>
    <col min="1" max="1" width="12.44140625" bestFit="1" customWidth="1"/>
    <col min="2" max="2" width="17.33203125" bestFit="1" customWidth="1"/>
    <col min="3" max="3" width="18.44140625" bestFit="1" customWidth="1"/>
  </cols>
  <sheetData>
    <row r="3" spans="1:3" x14ac:dyDescent="0.3">
      <c r="A3" s="2" t="s">
        <v>2497</v>
      </c>
      <c r="B3" t="s">
        <v>2500</v>
      </c>
      <c r="C3" t="s">
        <v>2501</v>
      </c>
    </row>
    <row r="4" spans="1:3" x14ac:dyDescent="0.3">
      <c r="A4" s="3" t="s">
        <v>38</v>
      </c>
      <c r="B4" s="5">
        <v>445</v>
      </c>
      <c r="C4" s="6">
        <v>5111.5011235955053</v>
      </c>
    </row>
    <row r="5" spans="1:3" x14ac:dyDescent="0.3">
      <c r="A5" s="3" t="s">
        <v>41</v>
      </c>
      <c r="B5" s="5">
        <v>469</v>
      </c>
      <c r="C5" s="6">
        <v>7548.963752665245</v>
      </c>
    </row>
    <row r="6" spans="1:3" x14ac:dyDescent="0.3">
      <c r="A6" s="3" t="s">
        <v>64</v>
      </c>
      <c r="B6" s="5">
        <v>437</v>
      </c>
      <c r="C6" s="6">
        <v>3453.1967963386728</v>
      </c>
    </row>
    <row r="7" spans="1:3" x14ac:dyDescent="0.3">
      <c r="A7" s="3" t="s">
        <v>81</v>
      </c>
      <c r="B7" s="5">
        <v>427</v>
      </c>
      <c r="C7" s="6">
        <v>9685.8829039812645</v>
      </c>
    </row>
    <row r="8" spans="1:3" x14ac:dyDescent="0.3">
      <c r="A8" s="3" t="s">
        <v>2498</v>
      </c>
      <c r="B8" s="5">
        <v>1778</v>
      </c>
      <c r="C8" s="6">
        <v>6445.4448818897636</v>
      </c>
    </row>
  </sheetData>
  <pageMargins left="0.7" right="0.7" top="0.75" bottom="0.75" header="0.3" footer="0.3"/>
  <pageSetup orientation="portrait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3B79D6-D010-4CC0-8784-5BD5472F9A9C}">
  <dimension ref="A3:C7"/>
  <sheetViews>
    <sheetView workbookViewId="0">
      <selection activeCell="N23" sqref="N23"/>
    </sheetView>
  </sheetViews>
  <sheetFormatPr defaultRowHeight="14.4" x14ac:dyDescent="0.3"/>
  <cols>
    <col min="1" max="1" width="12.44140625" bestFit="1" customWidth="1"/>
    <col min="2" max="2" width="17.33203125" bestFit="1" customWidth="1"/>
    <col min="3" max="3" width="18.44140625" bestFit="1" customWidth="1"/>
  </cols>
  <sheetData>
    <row r="3" spans="1:3" x14ac:dyDescent="0.3">
      <c r="A3" s="2" t="s">
        <v>2497</v>
      </c>
      <c r="B3" t="s">
        <v>2500</v>
      </c>
      <c r="C3" t="s">
        <v>2501</v>
      </c>
    </row>
    <row r="4" spans="1:3" x14ac:dyDescent="0.3">
      <c r="A4" s="3" t="s">
        <v>40</v>
      </c>
      <c r="B4" s="5">
        <v>1694</v>
      </c>
      <c r="C4" s="6">
        <v>6491.4533648170009</v>
      </c>
    </row>
    <row r="5" spans="1:3" x14ac:dyDescent="0.3">
      <c r="A5" s="3" t="s">
        <v>48</v>
      </c>
      <c r="B5" s="5">
        <v>69</v>
      </c>
      <c r="C5" s="6">
        <v>5609.159420289855</v>
      </c>
    </row>
    <row r="6" spans="1:3" x14ac:dyDescent="0.3">
      <c r="A6" s="3" t="s">
        <v>66</v>
      </c>
      <c r="B6" s="5">
        <v>15</v>
      </c>
      <c r="C6" s="6">
        <v>5096.4666666666662</v>
      </c>
    </row>
    <row r="7" spans="1:3" x14ac:dyDescent="0.3">
      <c r="A7" s="3" t="s">
        <v>2498</v>
      </c>
      <c r="B7" s="5">
        <v>1778</v>
      </c>
      <c r="C7" s="6">
        <v>6445.4448818897636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28913-A697-4273-8300-9BD44E84B366}">
  <dimension ref="A1:B10"/>
  <sheetViews>
    <sheetView workbookViewId="0">
      <selection activeCell="E9" sqref="E9"/>
    </sheetView>
  </sheetViews>
  <sheetFormatPr defaultRowHeight="14.4" x14ac:dyDescent="0.3"/>
  <cols>
    <col min="1" max="1" width="28.44140625" customWidth="1"/>
  </cols>
  <sheetData>
    <row r="1" spans="1:2" x14ac:dyDescent="0.3">
      <c r="A1" s="7" t="s">
        <v>2502</v>
      </c>
      <c r="B1" s="7" t="s">
        <v>2503</v>
      </c>
    </row>
    <row r="2" spans="1:2" x14ac:dyDescent="0.3">
      <c r="A2" t="s">
        <v>2504</v>
      </c>
      <c r="B2">
        <f>COUNTA('cleaned_bookings'!A2:A1779)</f>
        <v>1778</v>
      </c>
    </row>
    <row r="3" spans="1:2" x14ac:dyDescent="0.3">
      <c r="A3" t="s">
        <v>2505</v>
      </c>
      <c r="B3">
        <f>COUNTIF(cleaned_bookings[booking_status], "*Cancel*")</f>
        <v>300</v>
      </c>
    </row>
    <row r="4" spans="1:2" x14ac:dyDescent="0.3">
      <c r="A4" t="s">
        <v>2506</v>
      </c>
      <c r="B4" s="8">
        <f>B3/B2</f>
        <v>0.1687289088863892</v>
      </c>
    </row>
    <row r="5" spans="1:2" x14ac:dyDescent="0.3">
      <c r="A5" t="s">
        <v>2507</v>
      </c>
      <c r="B5" s="6">
        <f>AVERAGE('cleaned_bookings'!H2:H1779)</f>
        <v>6445.4448818897636</v>
      </c>
    </row>
    <row r="6" spans="1:2" x14ac:dyDescent="0.3">
      <c r="A6" t="s">
        <v>2508</v>
      </c>
      <c r="B6">
        <f>MEDIAN('cleaned_bookings'!H2:H1779)</f>
        <v>5672</v>
      </c>
    </row>
    <row r="7" spans="1:2" x14ac:dyDescent="0.3">
      <c r="A7" t="s">
        <v>2509</v>
      </c>
      <c r="B7" s="6">
        <f>_xlfn.STDEV.S('cleaned_bookings'!H2:H1779)</f>
        <v>4195.4638423678352</v>
      </c>
    </row>
    <row r="8" spans="1:2" x14ac:dyDescent="0.3">
      <c r="A8" t="s">
        <v>2510</v>
      </c>
      <c r="B8" s="6">
        <f>AVERAGE(cleaned_bookings[lead_time_days])</f>
        <v>43.08098987626547</v>
      </c>
    </row>
    <row r="9" spans="1:2" x14ac:dyDescent="0.3">
      <c r="A9" t="s">
        <v>2511</v>
      </c>
      <c r="B9">
        <f>MEDIAN(cleaned_bookings[lead_time_days])</f>
        <v>30</v>
      </c>
    </row>
    <row r="10" spans="1:2" x14ac:dyDescent="0.3">
      <c r="A10" t="s">
        <v>2512</v>
      </c>
      <c r="B10" s="6">
        <f>_xlfn.STDEV.S(cleaned_bookings[lead_time_days])</f>
        <v>51.3365446848427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C24257-B507-4B4F-987D-FD25B854ECFD}">
  <dimension ref="B1:Y28"/>
  <sheetViews>
    <sheetView showGridLines="0" tabSelected="1" zoomScale="86" zoomScaleNormal="86" workbookViewId="0">
      <selection activeCell="Y28" sqref="Y28"/>
    </sheetView>
  </sheetViews>
  <sheetFormatPr defaultRowHeight="14.4" x14ac:dyDescent="0.3"/>
  <cols>
    <col min="1" max="1" width="8.88671875" customWidth="1"/>
    <col min="8" max="8" width="28.21875" customWidth="1"/>
  </cols>
  <sheetData>
    <row r="1" spans="2:23" ht="21" x14ac:dyDescent="0.4">
      <c r="B1" s="9" t="s">
        <v>2513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</row>
    <row r="28" spans="25:25" x14ac:dyDescent="0.3">
      <c r="Y28">
        <f>+X22</f>
        <v>0</v>
      </c>
    </row>
  </sheetData>
  <mergeCells count="1">
    <mergeCell ref="B1:W1"/>
  </mergeCell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97887-E4B5-48CB-9D22-97178BA4E731}">
  <dimension ref="A1:AH1779"/>
  <sheetViews>
    <sheetView topLeftCell="A2" workbookViewId="0">
      <selection activeCell="E17" sqref="E17"/>
    </sheetView>
  </sheetViews>
  <sheetFormatPr defaultRowHeight="14.4" x14ac:dyDescent="0.3"/>
  <cols>
    <col min="1" max="1" width="12.21875" bestFit="1" customWidth="1"/>
    <col min="2" max="2" width="10.109375" bestFit="1" customWidth="1"/>
    <col min="3" max="3" width="9.88671875" bestFit="1" customWidth="1"/>
    <col min="4" max="4" width="12.21875" bestFit="1" customWidth="1"/>
    <col min="5" max="5" width="14.33203125" bestFit="1" customWidth="1"/>
    <col min="6" max="6" width="11.21875" bestFit="1" customWidth="1"/>
    <col min="7" max="7" width="12" bestFit="1" customWidth="1"/>
    <col min="8" max="8" width="11.6640625" bestFit="1" customWidth="1"/>
    <col min="9" max="9" width="15.77734375" bestFit="1" customWidth="1"/>
    <col min="10" max="10" width="16.6640625" bestFit="1" customWidth="1"/>
    <col min="11" max="11" width="16.33203125" bestFit="1" customWidth="1"/>
    <col min="12" max="12" width="12.77734375" bestFit="1" customWidth="1"/>
    <col min="13" max="13" width="11" bestFit="1" customWidth="1"/>
    <col min="14" max="14" width="18" bestFit="1" customWidth="1"/>
    <col min="15" max="15" width="16" bestFit="1" customWidth="1"/>
    <col min="16" max="16" width="14.109375" bestFit="1" customWidth="1"/>
    <col min="17" max="17" width="21.21875" bestFit="1" customWidth="1"/>
    <col min="18" max="18" width="14.88671875" bestFit="1" customWidth="1"/>
    <col min="19" max="19" width="12.109375" bestFit="1" customWidth="1"/>
    <col min="20" max="20" width="13.5546875" bestFit="1" customWidth="1"/>
    <col min="21" max="21" width="13.88671875" bestFit="1" customWidth="1"/>
    <col min="22" max="22" width="16.44140625" bestFit="1" customWidth="1"/>
    <col min="23" max="23" width="10.6640625" bestFit="1" customWidth="1"/>
    <col min="24" max="24" width="14.77734375" bestFit="1" customWidth="1"/>
    <col min="25" max="25" width="10.44140625" bestFit="1" customWidth="1"/>
    <col min="26" max="26" width="17.21875" bestFit="1" customWidth="1"/>
    <col min="27" max="27" width="13.21875" bestFit="1" customWidth="1"/>
    <col min="28" max="28" width="15.109375" bestFit="1" customWidth="1"/>
    <col min="29" max="29" width="10.6640625" bestFit="1" customWidth="1"/>
    <col min="30" max="30" width="9.33203125" bestFit="1" customWidth="1"/>
    <col min="31" max="31" width="9" bestFit="1" customWidth="1"/>
    <col min="32" max="32" width="12.6640625" bestFit="1" customWidth="1"/>
    <col min="33" max="33" width="13.6640625" bestFit="1" customWidth="1"/>
    <col min="34" max="34" width="17.109375" bestFit="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 x14ac:dyDescent="0.3">
      <c r="A2" t="s">
        <v>34</v>
      </c>
      <c r="B2" t="s">
        <v>35</v>
      </c>
      <c r="C2" t="s">
        <v>36</v>
      </c>
      <c r="D2" t="s">
        <v>37</v>
      </c>
      <c r="E2" s="1">
        <v>46335</v>
      </c>
      <c r="F2" s="1">
        <v>46435</v>
      </c>
      <c r="G2" t="s">
        <v>38</v>
      </c>
      <c r="H2">
        <v>4231</v>
      </c>
      <c r="I2" t="s">
        <v>39</v>
      </c>
      <c r="J2" t="b">
        <v>0</v>
      </c>
      <c r="K2">
        <v>100</v>
      </c>
      <c r="L2">
        <v>2</v>
      </c>
      <c r="M2">
        <v>2027</v>
      </c>
      <c r="N2">
        <v>2</v>
      </c>
      <c r="O2">
        <v>11</v>
      </c>
      <c r="P2">
        <v>2026</v>
      </c>
      <c r="Q2">
        <v>0</v>
      </c>
      <c r="R2" t="s">
        <v>40</v>
      </c>
      <c r="S2" t="s">
        <v>41</v>
      </c>
      <c r="T2" t="s">
        <v>42</v>
      </c>
      <c r="U2" t="s">
        <v>40</v>
      </c>
      <c r="V2" t="s">
        <v>43</v>
      </c>
      <c r="W2" t="s">
        <v>44</v>
      </c>
      <c r="X2" t="s">
        <v>45</v>
      </c>
      <c r="Y2">
        <v>150</v>
      </c>
      <c r="Z2" t="s">
        <v>46</v>
      </c>
      <c r="AA2" t="s">
        <v>47</v>
      </c>
      <c r="AB2" s="1"/>
      <c r="AC2" t="s">
        <v>48</v>
      </c>
      <c r="AD2" t="s">
        <v>48</v>
      </c>
      <c r="AE2" t="s">
        <v>48</v>
      </c>
      <c r="AF2" t="s">
        <v>48</v>
      </c>
      <c r="AG2">
        <v>0</v>
      </c>
      <c r="AH2" t="s">
        <v>49</v>
      </c>
    </row>
    <row r="3" spans="1:34" x14ac:dyDescent="0.3">
      <c r="A3" t="s">
        <v>50</v>
      </c>
      <c r="B3" t="s">
        <v>51</v>
      </c>
      <c r="C3" t="s">
        <v>52</v>
      </c>
      <c r="D3" t="s">
        <v>53</v>
      </c>
      <c r="E3" s="1">
        <v>46132</v>
      </c>
      <c r="F3" s="1">
        <v>46192</v>
      </c>
      <c r="G3" t="s">
        <v>41</v>
      </c>
      <c r="H3">
        <v>6886</v>
      </c>
      <c r="I3" t="s">
        <v>54</v>
      </c>
      <c r="J3" t="b">
        <v>0</v>
      </c>
      <c r="K3">
        <v>60</v>
      </c>
      <c r="L3">
        <v>6</v>
      </c>
      <c r="M3">
        <v>2026</v>
      </c>
      <c r="N3">
        <v>4</v>
      </c>
      <c r="O3">
        <v>4</v>
      </c>
      <c r="P3">
        <v>2026</v>
      </c>
      <c r="Q3">
        <v>0</v>
      </c>
      <c r="R3" t="s">
        <v>40</v>
      </c>
      <c r="S3" t="s">
        <v>55</v>
      </c>
      <c r="T3" t="s">
        <v>42</v>
      </c>
      <c r="U3" t="s">
        <v>40</v>
      </c>
      <c r="V3" t="s">
        <v>56</v>
      </c>
      <c r="W3" t="s">
        <v>57</v>
      </c>
      <c r="X3" t="s">
        <v>45</v>
      </c>
      <c r="Y3">
        <v>120</v>
      </c>
      <c r="Z3" t="s">
        <v>58</v>
      </c>
      <c r="AA3" t="s">
        <v>59</v>
      </c>
      <c r="AB3" s="1">
        <v>46192</v>
      </c>
      <c r="AC3" t="s">
        <v>40</v>
      </c>
      <c r="AD3" t="s">
        <v>40</v>
      </c>
      <c r="AE3" t="s">
        <v>60</v>
      </c>
      <c r="AF3" t="s">
        <v>40</v>
      </c>
      <c r="AG3">
        <v>1</v>
      </c>
      <c r="AH3" t="s">
        <v>61</v>
      </c>
    </row>
    <row r="4" spans="1:34" x14ac:dyDescent="0.3">
      <c r="A4" t="s">
        <v>62</v>
      </c>
      <c r="B4" t="s">
        <v>63</v>
      </c>
      <c r="C4" t="s">
        <v>52</v>
      </c>
      <c r="D4" t="s">
        <v>37</v>
      </c>
      <c r="E4" s="1">
        <v>46087</v>
      </c>
      <c r="F4" s="1">
        <v>46117</v>
      </c>
      <c r="G4" t="s">
        <v>64</v>
      </c>
      <c r="H4">
        <v>2622</v>
      </c>
      <c r="I4" t="s">
        <v>65</v>
      </c>
      <c r="J4" t="b">
        <v>0</v>
      </c>
      <c r="K4">
        <v>30</v>
      </c>
      <c r="L4">
        <v>4</v>
      </c>
      <c r="M4">
        <v>2026</v>
      </c>
      <c r="N4">
        <v>6</v>
      </c>
      <c r="O4">
        <v>3</v>
      </c>
      <c r="P4">
        <v>2026</v>
      </c>
      <c r="Q4">
        <v>4</v>
      </c>
      <c r="R4" t="s">
        <v>66</v>
      </c>
      <c r="S4" t="s">
        <v>67</v>
      </c>
      <c r="T4" t="s">
        <v>68</v>
      </c>
      <c r="U4" t="s">
        <v>40</v>
      </c>
      <c r="V4" t="s">
        <v>56</v>
      </c>
      <c r="W4" t="s">
        <v>57</v>
      </c>
      <c r="X4" t="s">
        <v>45</v>
      </c>
      <c r="Y4">
        <v>120</v>
      </c>
      <c r="Z4" t="s">
        <v>46</v>
      </c>
      <c r="AA4" t="s">
        <v>47</v>
      </c>
      <c r="AB4" s="1">
        <v>46117</v>
      </c>
      <c r="AC4" t="s">
        <v>66</v>
      </c>
      <c r="AD4" t="s">
        <v>40</v>
      </c>
      <c r="AE4" t="s">
        <v>69</v>
      </c>
      <c r="AF4" t="s">
        <v>40</v>
      </c>
      <c r="AG4">
        <v>0</v>
      </c>
      <c r="AH4" t="s">
        <v>70</v>
      </c>
    </row>
    <row r="5" spans="1:34" x14ac:dyDescent="0.3">
      <c r="A5" t="s">
        <v>71</v>
      </c>
      <c r="B5" t="s">
        <v>72</v>
      </c>
      <c r="C5" t="s">
        <v>73</v>
      </c>
      <c r="D5" t="s">
        <v>37</v>
      </c>
      <c r="E5" s="1">
        <v>45703</v>
      </c>
      <c r="F5" s="1">
        <v>45717</v>
      </c>
      <c r="G5" t="s">
        <v>38</v>
      </c>
      <c r="H5">
        <v>3731</v>
      </c>
      <c r="I5" t="s">
        <v>65</v>
      </c>
      <c r="J5" t="b">
        <v>0</v>
      </c>
      <c r="K5">
        <v>14</v>
      </c>
      <c r="L5">
        <v>3</v>
      </c>
      <c r="M5">
        <v>2025</v>
      </c>
      <c r="N5">
        <v>5</v>
      </c>
      <c r="O5">
        <v>2</v>
      </c>
      <c r="P5">
        <v>2025</v>
      </c>
      <c r="Q5">
        <v>5</v>
      </c>
      <c r="R5" t="s">
        <v>66</v>
      </c>
      <c r="S5" t="s">
        <v>41</v>
      </c>
      <c r="T5" t="s">
        <v>42</v>
      </c>
      <c r="U5" t="s">
        <v>40</v>
      </c>
      <c r="V5" t="s">
        <v>74</v>
      </c>
      <c r="W5" t="s">
        <v>75</v>
      </c>
      <c r="X5" t="s">
        <v>76</v>
      </c>
      <c r="Y5">
        <v>75</v>
      </c>
      <c r="Z5" t="s">
        <v>46</v>
      </c>
      <c r="AA5" t="s">
        <v>47</v>
      </c>
      <c r="AB5" s="1">
        <v>45717</v>
      </c>
      <c r="AC5" t="s">
        <v>66</v>
      </c>
      <c r="AD5" t="s">
        <v>40</v>
      </c>
      <c r="AE5" t="s">
        <v>60</v>
      </c>
      <c r="AF5" t="s">
        <v>40</v>
      </c>
      <c r="AG5">
        <v>0</v>
      </c>
      <c r="AH5" t="s">
        <v>70</v>
      </c>
    </row>
    <row r="6" spans="1:34" x14ac:dyDescent="0.3">
      <c r="A6" t="s">
        <v>77</v>
      </c>
      <c r="B6" t="s">
        <v>78</v>
      </c>
      <c r="C6" t="s">
        <v>79</v>
      </c>
      <c r="D6" t="s">
        <v>80</v>
      </c>
      <c r="E6" s="1">
        <v>46270</v>
      </c>
      <c r="F6" s="1">
        <v>46330</v>
      </c>
      <c r="G6" t="s">
        <v>81</v>
      </c>
      <c r="H6">
        <v>11908</v>
      </c>
      <c r="I6" t="s">
        <v>39</v>
      </c>
      <c r="J6" t="b">
        <v>0</v>
      </c>
      <c r="K6">
        <v>60</v>
      </c>
      <c r="L6">
        <v>11</v>
      </c>
      <c r="M6">
        <v>2026</v>
      </c>
      <c r="N6">
        <v>2</v>
      </c>
      <c r="O6">
        <v>9</v>
      </c>
      <c r="P6">
        <v>2026</v>
      </c>
      <c r="Q6">
        <v>5</v>
      </c>
      <c r="R6" t="s">
        <v>40</v>
      </c>
      <c r="S6" t="s">
        <v>67</v>
      </c>
      <c r="T6" t="s">
        <v>42</v>
      </c>
      <c r="U6" t="s">
        <v>40</v>
      </c>
      <c r="V6" t="s">
        <v>82</v>
      </c>
      <c r="W6" t="s">
        <v>83</v>
      </c>
      <c r="X6" t="s">
        <v>76</v>
      </c>
      <c r="Y6">
        <v>100</v>
      </c>
      <c r="Z6" t="s">
        <v>84</v>
      </c>
      <c r="AA6" t="s">
        <v>85</v>
      </c>
      <c r="AB6" s="1">
        <v>46330</v>
      </c>
      <c r="AC6" t="s">
        <v>40</v>
      </c>
      <c r="AD6" t="s">
        <v>40</v>
      </c>
      <c r="AE6" t="s">
        <v>86</v>
      </c>
      <c r="AF6" t="s">
        <v>40</v>
      </c>
      <c r="AG6">
        <v>0</v>
      </c>
      <c r="AH6" t="s">
        <v>61</v>
      </c>
    </row>
    <row r="7" spans="1:34" x14ac:dyDescent="0.3">
      <c r="A7" t="s">
        <v>87</v>
      </c>
      <c r="B7" t="s">
        <v>88</v>
      </c>
      <c r="C7" t="s">
        <v>89</v>
      </c>
      <c r="D7" t="s">
        <v>90</v>
      </c>
      <c r="E7" s="1">
        <v>46299</v>
      </c>
      <c r="F7" s="1">
        <v>46359</v>
      </c>
      <c r="G7" t="s">
        <v>41</v>
      </c>
      <c r="H7">
        <v>7749</v>
      </c>
      <c r="I7" t="s">
        <v>65</v>
      </c>
      <c r="J7" t="b">
        <v>0</v>
      </c>
      <c r="K7">
        <v>60</v>
      </c>
      <c r="L7">
        <v>12</v>
      </c>
      <c r="M7">
        <v>2026</v>
      </c>
      <c r="N7">
        <v>3</v>
      </c>
      <c r="O7">
        <v>10</v>
      </c>
      <c r="P7">
        <v>2026</v>
      </c>
      <c r="Q7">
        <v>6</v>
      </c>
      <c r="R7" t="s">
        <v>40</v>
      </c>
      <c r="S7" t="s">
        <v>67</v>
      </c>
      <c r="T7" t="s">
        <v>42</v>
      </c>
      <c r="U7" t="s">
        <v>40</v>
      </c>
      <c r="V7" t="s">
        <v>91</v>
      </c>
      <c r="W7" t="s">
        <v>92</v>
      </c>
      <c r="X7" t="s">
        <v>76</v>
      </c>
      <c r="Y7">
        <v>65</v>
      </c>
      <c r="Z7" t="s">
        <v>93</v>
      </c>
      <c r="AA7" t="s">
        <v>94</v>
      </c>
      <c r="AB7" s="1">
        <v>46359</v>
      </c>
      <c r="AC7" t="s">
        <v>40</v>
      </c>
      <c r="AD7" t="s">
        <v>40</v>
      </c>
      <c r="AE7" t="s">
        <v>69</v>
      </c>
      <c r="AF7" t="s">
        <v>40</v>
      </c>
      <c r="AG7">
        <v>0</v>
      </c>
      <c r="AH7" t="s">
        <v>61</v>
      </c>
    </row>
    <row r="8" spans="1:34" x14ac:dyDescent="0.3">
      <c r="A8" t="s">
        <v>95</v>
      </c>
      <c r="B8" t="s">
        <v>96</v>
      </c>
      <c r="C8" t="s">
        <v>97</v>
      </c>
      <c r="D8" t="s">
        <v>53</v>
      </c>
      <c r="E8" s="1">
        <v>46043</v>
      </c>
      <c r="F8" s="1">
        <v>46050</v>
      </c>
      <c r="G8" t="s">
        <v>41</v>
      </c>
      <c r="H8">
        <v>8512</v>
      </c>
      <c r="I8" t="s">
        <v>65</v>
      </c>
      <c r="J8" t="b">
        <v>0</v>
      </c>
      <c r="K8">
        <v>7</v>
      </c>
      <c r="L8">
        <v>1</v>
      </c>
      <c r="M8">
        <v>2026</v>
      </c>
      <c r="N8">
        <v>2</v>
      </c>
      <c r="O8">
        <v>1</v>
      </c>
      <c r="P8">
        <v>2026</v>
      </c>
      <c r="Q8">
        <v>2</v>
      </c>
      <c r="R8" t="s">
        <v>40</v>
      </c>
      <c r="S8" t="s">
        <v>67</v>
      </c>
      <c r="T8" t="s">
        <v>42</v>
      </c>
      <c r="U8" t="s">
        <v>40</v>
      </c>
      <c r="V8" t="s">
        <v>98</v>
      </c>
      <c r="W8" t="s">
        <v>99</v>
      </c>
      <c r="X8" t="s">
        <v>76</v>
      </c>
      <c r="Y8">
        <v>80</v>
      </c>
      <c r="Z8" t="s">
        <v>58</v>
      </c>
      <c r="AA8" t="s">
        <v>59</v>
      </c>
      <c r="AB8" s="1">
        <v>46050</v>
      </c>
      <c r="AC8" t="s">
        <v>40</v>
      </c>
      <c r="AD8" t="s">
        <v>40</v>
      </c>
      <c r="AE8" t="s">
        <v>86</v>
      </c>
      <c r="AF8" t="s">
        <v>40</v>
      </c>
      <c r="AG8">
        <v>0</v>
      </c>
      <c r="AH8" t="s">
        <v>100</v>
      </c>
    </row>
    <row r="9" spans="1:34" x14ac:dyDescent="0.3">
      <c r="A9" t="s">
        <v>101</v>
      </c>
      <c r="B9" t="s">
        <v>102</v>
      </c>
      <c r="C9" t="s">
        <v>103</v>
      </c>
      <c r="D9" t="s">
        <v>104</v>
      </c>
      <c r="E9" s="1">
        <v>46228</v>
      </c>
      <c r="F9" s="1">
        <v>46258</v>
      </c>
      <c r="G9" t="s">
        <v>41</v>
      </c>
      <c r="H9">
        <v>7648</v>
      </c>
      <c r="I9" t="s">
        <v>39</v>
      </c>
      <c r="J9" t="b">
        <v>0</v>
      </c>
      <c r="K9">
        <v>30</v>
      </c>
      <c r="L9">
        <v>8</v>
      </c>
      <c r="M9">
        <v>2026</v>
      </c>
      <c r="N9">
        <v>0</v>
      </c>
      <c r="O9">
        <v>7</v>
      </c>
      <c r="P9">
        <v>2026</v>
      </c>
      <c r="Q9">
        <v>5</v>
      </c>
      <c r="R9" t="s">
        <v>40</v>
      </c>
      <c r="S9" t="s">
        <v>41</v>
      </c>
      <c r="T9" t="s">
        <v>42</v>
      </c>
      <c r="U9" t="s">
        <v>40</v>
      </c>
      <c r="V9" t="s">
        <v>105</v>
      </c>
      <c r="W9" t="s">
        <v>106</v>
      </c>
      <c r="X9" t="s">
        <v>45</v>
      </c>
      <c r="Y9">
        <v>140</v>
      </c>
      <c r="Z9" t="s">
        <v>107</v>
      </c>
      <c r="AA9" t="s">
        <v>108</v>
      </c>
      <c r="AB9" s="1">
        <v>46258</v>
      </c>
      <c r="AC9" t="s">
        <v>40</v>
      </c>
      <c r="AD9" t="s">
        <v>40</v>
      </c>
      <c r="AE9" t="s">
        <v>86</v>
      </c>
      <c r="AF9" t="s">
        <v>40</v>
      </c>
      <c r="AG9">
        <v>0</v>
      </c>
      <c r="AH9" t="s">
        <v>70</v>
      </c>
    </row>
    <row r="10" spans="1:34" x14ac:dyDescent="0.3">
      <c r="A10" t="s">
        <v>109</v>
      </c>
      <c r="B10" t="s">
        <v>110</v>
      </c>
      <c r="C10" t="s">
        <v>89</v>
      </c>
      <c r="D10" t="s">
        <v>90</v>
      </c>
      <c r="E10" s="1">
        <v>45710</v>
      </c>
      <c r="F10" s="1">
        <v>45717</v>
      </c>
      <c r="G10" t="s">
        <v>64</v>
      </c>
      <c r="H10">
        <v>2585</v>
      </c>
      <c r="I10" t="s">
        <v>65</v>
      </c>
      <c r="J10" t="b">
        <v>0</v>
      </c>
      <c r="K10">
        <v>7</v>
      </c>
      <c r="L10">
        <v>3</v>
      </c>
      <c r="M10">
        <v>2025</v>
      </c>
      <c r="N10">
        <v>5</v>
      </c>
      <c r="O10">
        <v>2</v>
      </c>
      <c r="P10">
        <v>2025</v>
      </c>
      <c r="Q10">
        <v>5</v>
      </c>
      <c r="R10" t="s">
        <v>66</v>
      </c>
      <c r="S10" t="s">
        <v>45</v>
      </c>
      <c r="T10" t="s">
        <v>42</v>
      </c>
      <c r="U10" t="s">
        <v>66</v>
      </c>
      <c r="V10" t="s">
        <v>91</v>
      </c>
      <c r="W10" t="s">
        <v>92</v>
      </c>
      <c r="X10" t="s">
        <v>76</v>
      </c>
      <c r="Y10">
        <v>65</v>
      </c>
      <c r="Z10" t="s">
        <v>93</v>
      </c>
      <c r="AA10" t="s">
        <v>94</v>
      </c>
      <c r="AB10" s="1">
        <v>45717</v>
      </c>
      <c r="AC10" t="s">
        <v>66</v>
      </c>
      <c r="AD10" t="s">
        <v>40</v>
      </c>
      <c r="AE10" t="s">
        <v>60</v>
      </c>
      <c r="AF10" t="s">
        <v>40</v>
      </c>
      <c r="AG10">
        <v>0</v>
      </c>
      <c r="AH10" t="s">
        <v>100</v>
      </c>
    </row>
    <row r="11" spans="1:34" x14ac:dyDescent="0.3">
      <c r="A11" t="s">
        <v>111</v>
      </c>
      <c r="B11" t="s">
        <v>112</v>
      </c>
      <c r="C11" t="s">
        <v>52</v>
      </c>
      <c r="D11" t="s">
        <v>90</v>
      </c>
      <c r="E11" s="1">
        <v>45852</v>
      </c>
      <c r="F11" s="1">
        <v>46002</v>
      </c>
      <c r="G11" t="s">
        <v>64</v>
      </c>
      <c r="H11">
        <v>4072</v>
      </c>
      <c r="I11" t="s">
        <v>39</v>
      </c>
      <c r="J11" t="b">
        <v>0</v>
      </c>
      <c r="K11">
        <v>150</v>
      </c>
      <c r="L11">
        <v>12</v>
      </c>
      <c r="M11">
        <v>2025</v>
      </c>
      <c r="N11">
        <v>3</v>
      </c>
      <c r="O11">
        <v>7</v>
      </c>
      <c r="P11">
        <v>2025</v>
      </c>
      <c r="Q11">
        <v>0</v>
      </c>
      <c r="R11" t="s">
        <v>40</v>
      </c>
      <c r="S11" t="s">
        <v>55</v>
      </c>
      <c r="T11" t="s">
        <v>113</v>
      </c>
      <c r="U11" t="s">
        <v>66</v>
      </c>
      <c r="V11" t="s">
        <v>56</v>
      </c>
      <c r="W11" t="s">
        <v>57</v>
      </c>
      <c r="X11" t="s">
        <v>45</v>
      </c>
      <c r="Y11">
        <v>120</v>
      </c>
      <c r="Z11" t="s">
        <v>93</v>
      </c>
      <c r="AA11" t="s">
        <v>94</v>
      </c>
      <c r="AB11" s="1">
        <v>46002</v>
      </c>
      <c r="AC11" t="s">
        <v>40</v>
      </c>
      <c r="AD11" t="s">
        <v>40</v>
      </c>
      <c r="AE11" t="s">
        <v>69</v>
      </c>
      <c r="AF11" t="s">
        <v>40</v>
      </c>
      <c r="AG11">
        <v>0</v>
      </c>
      <c r="AH11" t="s">
        <v>49</v>
      </c>
    </row>
    <row r="12" spans="1:34" x14ac:dyDescent="0.3">
      <c r="A12" t="s">
        <v>114</v>
      </c>
      <c r="B12" t="s">
        <v>115</v>
      </c>
      <c r="C12" t="s">
        <v>103</v>
      </c>
      <c r="D12" t="s">
        <v>104</v>
      </c>
      <c r="E12" s="1">
        <v>46204</v>
      </c>
      <c r="F12" s="1">
        <v>46234</v>
      </c>
      <c r="G12" t="s">
        <v>81</v>
      </c>
      <c r="H12">
        <v>10573</v>
      </c>
      <c r="I12" t="s">
        <v>39</v>
      </c>
      <c r="J12" t="b">
        <v>0</v>
      </c>
      <c r="K12">
        <v>30</v>
      </c>
      <c r="L12">
        <v>7</v>
      </c>
      <c r="M12">
        <v>2026</v>
      </c>
      <c r="N12">
        <v>4</v>
      </c>
      <c r="O12">
        <v>7</v>
      </c>
      <c r="P12">
        <v>2026</v>
      </c>
      <c r="Q12">
        <v>2</v>
      </c>
      <c r="R12" t="s">
        <v>40</v>
      </c>
      <c r="S12" t="s">
        <v>55</v>
      </c>
      <c r="T12" t="s">
        <v>42</v>
      </c>
      <c r="U12" t="s">
        <v>40</v>
      </c>
      <c r="V12" t="s">
        <v>105</v>
      </c>
      <c r="W12" t="s">
        <v>106</v>
      </c>
      <c r="X12" t="s">
        <v>45</v>
      </c>
      <c r="Y12">
        <v>140</v>
      </c>
      <c r="Z12" t="s">
        <v>107</v>
      </c>
      <c r="AA12" t="s">
        <v>108</v>
      </c>
      <c r="AB12" s="1">
        <v>46234</v>
      </c>
      <c r="AC12" t="s">
        <v>40</v>
      </c>
      <c r="AD12" t="s">
        <v>40</v>
      </c>
      <c r="AE12" t="s">
        <v>86</v>
      </c>
      <c r="AF12" t="s">
        <v>40</v>
      </c>
      <c r="AG12">
        <v>0</v>
      </c>
      <c r="AH12" t="s">
        <v>70</v>
      </c>
    </row>
    <row r="13" spans="1:34" x14ac:dyDescent="0.3">
      <c r="A13" t="s">
        <v>116</v>
      </c>
      <c r="B13" t="s">
        <v>117</v>
      </c>
      <c r="C13" t="s">
        <v>73</v>
      </c>
      <c r="D13" t="s">
        <v>53</v>
      </c>
      <c r="E13" s="1">
        <v>45978</v>
      </c>
      <c r="F13" s="1">
        <v>45992</v>
      </c>
      <c r="G13" t="s">
        <v>38</v>
      </c>
      <c r="H13">
        <v>4568</v>
      </c>
      <c r="I13" t="s">
        <v>39</v>
      </c>
      <c r="J13" t="b">
        <v>0</v>
      </c>
      <c r="K13">
        <v>14</v>
      </c>
      <c r="L13">
        <v>12</v>
      </c>
      <c r="M13">
        <v>2025</v>
      </c>
      <c r="N13">
        <v>0</v>
      </c>
      <c r="O13">
        <v>11</v>
      </c>
      <c r="P13">
        <v>2025</v>
      </c>
      <c r="Q13">
        <v>0</v>
      </c>
      <c r="R13" t="s">
        <v>40</v>
      </c>
      <c r="S13" t="s">
        <v>67</v>
      </c>
      <c r="T13" t="s">
        <v>42</v>
      </c>
      <c r="U13" t="s">
        <v>40</v>
      </c>
      <c r="V13" t="s">
        <v>74</v>
      </c>
      <c r="W13" t="s">
        <v>75</v>
      </c>
      <c r="X13" t="s">
        <v>76</v>
      </c>
      <c r="Y13">
        <v>75</v>
      </c>
      <c r="Z13" t="s">
        <v>58</v>
      </c>
      <c r="AA13" t="s">
        <v>59</v>
      </c>
      <c r="AB13" s="1">
        <v>45992</v>
      </c>
      <c r="AC13" t="s">
        <v>40</v>
      </c>
      <c r="AD13" t="s">
        <v>40</v>
      </c>
      <c r="AE13" t="s">
        <v>69</v>
      </c>
      <c r="AF13" t="s">
        <v>40</v>
      </c>
      <c r="AG13">
        <v>0</v>
      </c>
      <c r="AH13" t="s">
        <v>70</v>
      </c>
    </row>
    <row r="14" spans="1:34" x14ac:dyDescent="0.3">
      <c r="A14" t="s">
        <v>118</v>
      </c>
      <c r="B14" t="s">
        <v>119</v>
      </c>
      <c r="C14" t="s">
        <v>79</v>
      </c>
      <c r="D14" t="s">
        <v>90</v>
      </c>
      <c r="E14" s="1">
        <v>46046</v>
      </c>
      <c r="F14" s="1">
        <v>46076</v>
      </c>
      <c r="G14" t="s">
        <v>38</v>
      </c>
      <c r="H14">
        <v>4882</v>
      </c>
      <c r="I14" t="s">
        <v>39</v>
      </c>
      <c r="J14" t="b">
        <v>0</v>
      </c>
      <c r="K14">
        <v>30</v>
      </c>
      <c r="L14">
        <v>2</v>
      </c>
      <c r="M14">
        <v>2026</v>
      </c>
      <c r="N14">
        <v>0</v>
      </c>
      <c r="O14">
        <v>1</v>
      </c>
      <c r="P14">
        <v>2026</v>
      </c>
      <c r="Q14">
        <v>5</v>
      </c>
      <c r="R14" t="s">
        <v>40</v>
      </c>
      <c r="S14" t="s">
        <v>55</v>
      </c>
      <c r="T14" t="s">
        <v>113</v>
      </c>
      <c r="U14" t="s">
        <v>40</v>
      </c>
      <c r="V14" t="s">
        <v>82</v>
      </c>
      <c r="W14" t="s">
        <v>83</v>
      </c>
      <c r="X14" t="s">
        <v>76</v>
      </c>
      <c r="Y14">
        <v>100</v>
      </c>
      <c r="Z14" t="s">
        <v>93</v>
      </c>
      <c r="AA14" t="s">
        <v>94</v>
      </c>
      <c r="AB14" s="1">
        <v>46076</v>
      </c>
      <c r="AC14" t="s">
        <v>40</v>
      </c>
      <c r="AD14" t="s">
        <v>40</v>
      </c>
      <c r="AE14" t="s">
        <v>60</v>
      </c>
      <c r="AF14" t="s">
        <v>40</v>
      </c>
      <c r="AG14">
        <v>0</v>
      </c>
      <c r="AH14" t="s">
        <v>70</v>
      </c>
    </row>
    <row r="15" spans="1:34" x14ac:dyDescent="0.3">
      <c r="A15" t="s">
        <v>120</v>
      </c>
      <c r="B15" t="s">
        <v>121</v>
      </c>
      <c r="C15" t="s">
        <v>122</v>
      </c>
      <c r="D15" t="s">
        <v>90</v>
      </c>
      <c r="E15" s="1">
        <v>46018</v>
      </c>
      <c r="F15" s="1">
        <v>46021</v>
      </c>
      <c r="G15" t="s">
        <v>41</v>
      </c>
      <c r="H15">
        <v>8920</v>
      </c>
      <c r="I15" t="s">
        <v>54</v>
      </c>
      <c r="J15" t="b">
        <v>0</v>
      </c>
      <c r="K15">
        <v>3</v>
      </c>
      <c r="L15">
        <v>12</v>
      </c>
      <c r="M15">
        <v>2025</v>
      </c>
      <c r="N15">
        <v>1</v>
      </c>
      <c r="O15">
        <v>12</v>
      </c>
      <c r="P15">
        <v>2025</v>
      </c>
      <c r="Q15">
        <v>5</v>
      </c>
      <c r="R15" t="s">
        <v>40</v>
      </c>
      <c r="S15" t="s">
        <v>55</v>
      </c>
      <c r="T15" t="s">
        <v>123</v>
      </c>
      <c r="U15" t="s">
        <v>40</v>
      </c>
      <c r="V15" t="s">
        <v>124</v>
      </c>
      <c r="W15" t="s">
        <v>125</v>
      </c>
      <c r="X15" t="s">
        <v>126</v>
      </c>
      <c r="Y15">
        <v>85</v>
      </c>
      <c r="Z15" t="s">
        <v>93</v>
      </c>
      <c r="AA15" t="s">
        <v>94</v>
      </c>
      <c r="AB15" s="1">
        <v>46021</v>
      </c>
      <c r="AC15" t="s">
        <v>40</v>
      </c>
      <c r="AD15" t="s">
        <v>40</v>
      </c>
      <c r="AE15" t="s">
        <v>69</v>
      </c>
      <c r="AF15" t="s">
        <v>40</v>
      </c>
      <c r="AG15">
        <v>1</v>
      </c>
      <c r="AH15" t="s">
        <v>100</v>
      </c>
    </row>
    <row r="16" spans="1:34" x14ac:dyDescent="0.3">
      <c r="A16" t="s">
        <v>127</v>
      </c>
      <c r="B16" t="s">
        <v>128</v>
      </c>
      <c r="C16" t="s">
        <v>129</v>
      </c>
      <c r="D16" t="s">
        <v>130</v>
      </c>
      <c r="E16" s="1">
        <v>45664</v>
      </c>
      <c r="F16" s="1">
        <v>45678</v>
      </c>
      <c r="G16" t="s">
        <v>38</v>
      </c>
      <c r="H16">
        <v>4118</v>
      </c>
      <c r="I16" t="s">
        <v>39</v>
      </c>
      <c r="J16" t="b">
        <v>0</v>
      </c>
      <c r="K16">
        <v>14</v>
      </c>
      <c r="L16">
        <v>1</v>
      </c>
      <c r="M16">
        <v>2025</v>
      </c>
      <c r="N16">
        <v>1</v>
      </c>
      <c r="O16">
        <v>1</v>
      </c>
      <c r="P16">
        <v>2025</v>
      </c>
      <c r="Q16">
        <v>1</v>
      </c>
      <c r="R16" t="s">
        <v>40</v>
      </c>
      <c r="S16" t="s">
        <v>55</v>
      </c>
      <c r="T16" t="s">
        <v>68</v>
      </c>
      <c r="U16" t="s">
        <v>66</v>
      </c>
      <c r="V16" t="s">
        <v>131</v>
      </c>
      <c r="W16" t="s">
        <v>132</v>
      </c>
      <c r="X16" t="s">
        <v>45</v>
      </c>
      <c r="Y16">
        <v>110</v>
      </c>
      <c r="Z16" t="s">
        <v>133</v>
      </c>
      <c r="AA16" t="s">
        <v>134</v>
      </c>
      <c r="AB16" s="1">
        <v>45678</v>
      </c>
      <c r="AC16" t="s">
        <v>40</v>
      </c>
      <c r="AD16" t="s">
        <v>40</v>
      </c>
      <c r="AE16" t="s">
        <v>86</v>
      </c>
      <c r="AF16" t="s">
        <v>40</v>
      </c>
      <c r="AG16">
        <v>0</v>
      </c>
      <c r="AH16" t="s">
        <v>70</v>
      </c>
    </row>
    <row r="17" spans="1:34" x14ac:dyDescent="0.3">
      <c r="A17" t="s">
        <v>135</v>
      </c>
      <c r="B17" t="s">
        <v>136</v>
      </c>
      <c r="C17" t="s">
        <v>122</v>
      </c>
      <c r="D17" t="s">
        <v>37</v>
      </c>
      <c r="E17" s="1">
        <v>46157</v>
      </c>
      <c r="F17" s="1">
        <v>46158</v>
      </c>
      <c r="G17" t="s">
        <v>41</v>
      </c>
      <c r="H17">
        <v>7194</v>
      </c>
      <c r="I17" t="s">
        <v>54</v>
      </c>
      <c r="J17" t="b">
        <v>0</v>
      </c>
      <c r="K17">
        <v>1</v>
      </c>
      <c r="L17">
        <v>5</v>
      </c>
      <c r="M17">
        <v>2026</v>
      </c>
      <c r="N17">
        <v>5</v>
      </c>
      <c r="O17">
        <v>5</v>
      </c>
      <c r="P17">
        <v>2026</v>
      </c>
      <c r="Q17">
        <v>4</v>
      </c>
      <c r="R17" t="s">
        <v>66</v>
      </c>
      <c r="S17" t="s">
        <v>45</v>
      </c>
      <c r="T17" t="s">
        <v>42</v>
      </c>
      <c r="U17" t="s">
        <v>40</v>
      </c>
      <c r="V17" t="s">
        <v>124</v>
      </c>
      <c r="W17" t="s">
        <v>125</v>
      </c>
      <c r="X17" t="s">
        <v>126</v>
      </c>
      <c r="Y17">
        <v>85</v>
      </c>
      <c r="Z17" t="s">
        <v>46</v>
      </c>
      <c r="AA17" t="s">
        <v>47</v>
      </c>
      <c r="AB17" s="1">
        <v>46158</v>
      </c>
      <c r="AC17" t="s">
        <v>66</v>
      </c>
      <c r="AD17" t="s">
        <v>40</v>
      </c>
      <c r="AE17" t="s">
        <v>69</v>
      </c>
      <c r="AF17" t="s">
        <v>40</v>
      </c>
      <c r="AG17">
        <v>1</v>
      </c>
      <c r="AH17" t="s">
        <v>100</v>
      </c>
    </row>
    <row r="18" spans="1:34" x14ac:dyDescent="0.3">
      <c r="A18" t="s">
        <v>137</v>
      </c>
      <c r="B18" t="s">
        <v>138</v>
      </c>
      <c r="C18" t="s">
        <v>97</v>
      </c>
      <c r="D18" t="s">
        <v>130</v>
      </c>
      <c r="E18" s="1">
        <v>45756</v>
      </c>
      <c r="F18" s="1">
        <v>45786</v>
      </c>
      <c r="G18" t="s">
        <v>38</v>
      </c>
      <c r="H18">
        <v>5656</v>
      </c>
      <c r="I18" t="s">
        <v>39</v>
      </c>
      <c r="J18" t="b">
        <v>0</v>
      </c>
      <c r="K18">
        <v>30</v>
      </c>
      <c r="L18">
        <v>5</v>
      </c>
      <c r="M18">
        <v>2025</v>
      </c>
      <c r="N18">
        <v>4</v>
      </c>
      <c r="O18">
        <v>4</v>
      </c>
      <c r="P18">
        <v>2025</v>
      </c>
      <c r="Q18">
        <v>2</v>
      </c>
      <c r="R18" t="s">
        <v>40</v>
      </c>
      <c r="S18" t="s">
        <v>41</v>
      </c>
      <c r="T18" t="s">
        <v>139</v>
      </c>
      <c r="U18" t="s">
        <v>66</v>
      </c>
      <c r="V18" t="s">
        <v>98</v>
      </c>
      <c r="W18" t="s">
        <v>99</v>
      </c>
      <c r="X18" t="s">
        <v>76</v>
      </c>
      <c r="Y18">
        <v>80</v>
      </c>
      <c r="Z18" t="s">
        <v>133</v>
      </c>
      <c r="AA18" t="s">
        <v>134</v>
      </c>
      <c r="AB18" s="1">
        <v>45786</v>
      </c>
      <c r="AC18" t="s">
        <v>40</v>
      </c>
      <c r="AD18" t="s">
        <v>40</v>
      </c>
      <c r="AE18" t="s">
        <v>69</v>
      </c>
      <c r="AF18" t="s">
        <v>40</v>
      </c>
      <c r="AG18">
        <v>0</v>
      </c>
      <c r="AH18" t="s">
        <v>70</v>
      </c>
    </row>
    <row r="19" spans="1:34" x14ac:dyDescent="0.3">
      <c r="A19" t="s">
        <v>140</v>
      </c>
      <c r="B19" t="s">
        <v>141</v>
      </c>
      <c r="C19" t="s">
        <v>122</v>
      </c>
      <c r="D19" t="s">
        <v>80</v>
      </c>
      <c r="E19" s="1">
        <v>45907</v>
      </c>
      <c r="F19" s="1">
        <v>46127</v>
      </c>
      <c r="G19" t="s">
        <v>38</v>
      </c>
      <c r="H19">
        <v>3830</v>
      </c>
      <c r="I19" t="s">
        <v>54</v>
      </c>
      <c r="J19" t="b">
        <v>0</v>
      </c>
      <c r="K19">
        <v>220</v>
      </c>
      <c r="L19">
        <v>4</v>
      </c>
      <c r="M19">
        <v>2026</v>
      </c>
      <c r="N19">
        <v>2</v>
      </c>
      <c r="O19">
        <v>9</v>
      </c>
      <c r="P19">
        <v>2025</v>
      </c>
      <c r="Q19">
        <v>6</v>
      </c>
      <c r="R19" t="s">
        <v>40</v>
      </c>
      <c r="S19" t="s">
        <v>41</v>
      </c>
      <c r="T19" t="s">
        <v>42</v>
      </c>
      <c r="U19" t="s">
        <v>40</v>
      </c>
      <c r="V19" t="s">
        <v>124</v>
      </c>
      <c r="W19" t="s">
        <v>125</v>
      </c>
      <c r="X19" t="s">
        <v>126</v>
      </c>
      <c r="Y19">
        <v>85</v>
      </c>
      <c r="Z19" t="s">
        <v>84</v>
      </c>
      <c r="AA19" t="s">
        <v>85</v>
      </c>
      <c r="AB19" s="1">
        <v>46127</v>
      </c>
      <c r="AC19" t="s">
        <v>40</v>
      </c>
      <c r="AD19" t="s">
        <v>40</v>
      </c>
      <c r="AE19" t="s">
        <v>69</v>
      </c>
      <c r="AF19" t="s">
        <v>40</v>
      </c>
      <c r="AG19">
        <v>1</v>
      </c>
      <c r="AH19" t="s">
        <v>142</v>
      </c>
    </row>
    <row r="20" spans="1:34" x14ac:dyDescent="0.3">
      <c r="A20" t="s">
        <v>143</v>
      </c>
      <c r="B20" t="s">
        <v>141</v>
      </c>
      <c r="C20" t="s">
        <v>103</v>
      </c>
      <c r="D20" t="s">
        <v>104</v>
      </c>
      <c r="E20" s="1">
        <v>46223</v>
      </c>
      <c r="F20" s="1">
        <v>46237</v>
      </c>
      <c r="G20" t="s">
        <v>64</v>
      </c>
      <c r="H20">
        <v>2369</v>
      </c>
      <c r="I20" t="s">
        <v>65</v>
      </c>
      <c r="J20" t="b">
        <v>0</v>
      </c>
      <c r="K20">
        <v>14</v>
      </c>
      <c r="L20">
        <v>8</v>
      </c>
      <c r="M20">
        <v>2026</v>
      </c>
      <c r="N20">
        <v>0</v>
      </c>
      <c r="O20">
        <v>7</v>
      </c>
      <c r="P20">
        <v>2026</v>
      </c>
      <c r="Q20">
        <v>0</v>
      </c>
      <c r="R20" t="s">
        <v>40</v>
      </c>
      <c r="S20" t="s">
        <v>41</v>
      </c>
      <c r="T20" t="s">
        <v>42</v>
      </c>
      <c r="U20" t="s">
        <v>40</v>
      </c>
      <c r="V20" t="s">
        <v>105</v>
      </c>
      <c r="W20" t="s">
        <v>106</v>
      </c>
      <c r="X20" t="s">
        <v>45</v>
      </c>
      <c r="Y20">
        <v>140</v>
      </c>
      <c r="Z20" t="s">
        <v>107</v>
      </c>
      <c r="AA20" t="s">
        <v>108</v>
      </c>
      <c r="AB20" s="1">
        <v>46237</v>
      </c>
      <c r="AC20" t="s">
        <v>40</v>
      </c>
      <c r="AD20" t="s">
        <v>40</v>
      </c>
      <c r="AE20" t="s">
        <v>86</v>
      </c>
      <c r="AF20" t="s">
        <v>40</v>
      </c>
      <c r="AG20">
        <v>0</v>
      </c>
      <c r="AH20" t="s">
        <v>70</v>
      </c>
    </row>
    <row r="21" spans="1:34" x14ac:dyDescent="0.3">
      <c r="A21" t="s">
        <v>144</v>
      </c>
      <c r="B21" t="s">
        <v>145</v>
      </c>
      <c r="C21" t="s">
        <v>146</v>
      </c>
      <c r="D21" t="s">
        <v>130</v>
      </c>
      <c r="E21" s="1">
        <v>45893</v>
      </c>
      <c r="F21" s="1">
        <v>45900</v>
      </c>
      <c r="G21" t="s">
        <v>41</v>
      </c>
      <c r="H21">
        <v>8683</v>
      </c>
      <c r="I21" t="s">
        <v>39</v>
      </c>
      <c r="J21" t="b">
        <v>0</v>
      </c>
      <c r="K21">
        <v>7</v>
      </c>
      <c r="L21">
        <v>8</v>
      </c>
      <c r="M21">
        <v>2025</v>
      </c>
      <c r="N21">
        <v>6</v>
      </c>
      <c r="O21">
        <v>8</v>
      </c>
      <c r="P21">
        <v>2025</v>
      </c>
      <c r="Q21">
        <v>6</v>
      </c>
      <c r="R21" t="s">
        <v>66</v>
      </c>
      <c r="S21" t="s">
        <v>41</v>
      </c>
      <c r="T21" t="s">
        <v>42</v>
      </c>
      <c r="U21" t="s">
        <v>66</v>
      </c>
      <c r="V21" t="s">
        <v>147</v>
      </c>
      <c r="W21" t="s">
        <v>148</v>
      </c>
      <c r="X21" t="s">
        <v>45</v>
      </c>
      <c r="Y21">
        <v>160</v>
      </c>
      <c r="Z21" t="s">
        <v>133</v>
      </c>
      <c r="AA21" t="s">
        <v>134</v>
      </c>
      <c r="AB21" s="1">
        <v>45900</v>
      </c>
      <c r="AC21" t="s">
        <v>66</v>
      </c>
      <c r="AD21" t="s">
        <v>40</v>
      </c>
      <c r="AE21" t="s">
        <v>86</v>
      </c>
      <c r="AF21" t="s">
        <v>40</v>
      </c>
      <c r="AG21">
        <v>0</v>
      </c>
      <c r="AH21" t="s">
        <v>100</v>
      </c>
    </row>
    <row r="22" spans="1:34" x14ac:dyDescent="0.3">
      <c r="A22" t="s">
        <v>149</v>
      </c>
      <c r="B22" t="s">
        <v>150</v>
      </c>
      <c r="C22" t="s">
        <v>52</v>
      </c>
      <c r="D22" t="s">
        <v>90</v>
      </c>
      <c r="E22" s="1">
        <v>46259</v>
      </c>
      <c r="F22" s="1">
        <v>46262</v>
      </c>
      <c r="G22" t="s">
        <v>41</v>
      </c>
      <c r="H22">
        <v>5984</v>
      </c>
      <c r="I22" t="s">
        <v>65</v>
      </c>
      <c r="J22" t="b">
        <v>0</v>
      </c>
      <c r="K22">
        <v>3</v>
      </c>
      <c r="L22">
        <v>8</v>
      </c>
      <c r="M22">
        <v>2026</v>
      </c>
      <c r="N22">
        <v>4</v>
      </c>
      <c r="O22">
        <v>8</v>
      </c>
      <c r="P22">
        <v>2026</v>
      </c>
      <c r="Q22">
        <v>1</v>
      </c>
      <c r="R22" t="s">
        <v>40</v>
      </c>
      <c r="S22" t="s">
        <v>55</v>
      </c>
      <c r="T22" t="s">
        <v>139</v>
      </c>
      <c r="U22" t="s">
        <v>40</v>
      </c>
      <c r="V22" t="s">
        <v>56</v>
      </c>
      <c r="W22" t="s">
        <v>57</v>
      </c>
      <c r="X22" t="s">
        <v>45</v>
      </c>
      <c r="Y22">
        <v>120</v>
      </c>
      <c r="Z22" t="s">
        <v>93</v>
      </c>
      <c r="AA22" t="s">
        <v>94</v>
      </c>
      <c r="AB22" s="1">
        <v>46262</v>
      </c>
      <c r="AC22" t="s">
        <v>40</v>
      </c>
      <c r="AD22" t="s">
        <v>40</v>
      </c>
      <c r="AE22" t="s">
        <v>86</v>
      </c>
      <c r="AF22" t="s">
        <v>40</v>
      </c>
      <c r="AG22">
        <v>0</v>
      </c>
      <c r="AH22" t="s">
        <v>100</v>
      </c>
    </row>
    <row r="23" spans="1:34" x14ac:dyDescent="0.3">
      <c r="A23" t="s">
        <v>151</v>
      </c>
      <c r="B23" t="s">
        <v>152</v>
      </c>
      <c r="C23" t="s">
        <v>79</v>
      </c>
      <c r="D23" t="s">
        <v>104</v>
      </c>
      <c r="E23" s="1">
        <v>45801</v>
      </c>
      <c r="F23" s="1">
        <v>45861</v>
      </c>
      <c r="G23" t="s">
        <v>64</v>
      </c>
      <c r="H23">
        <v>3726</v>
      </c>
      <c r="I23" t="s">
        <v>39</v>
      </c>
      <c r="J23" t="b">
        <v>0</v>
      </c>
      <c r="K23">
        <v>60</v>
      </c>
      <c r="L23">
        <v>7</v>
      </c>
      <c r="M23">
        <v>2025</v>
      </c>
      <c r="N23">
        <v>2</v>
      </c>
      <c r="O23">
        <v>5</v>
      </c>
      <c r="P23">
        <v>2025</v>
      </c>
      <c r="Q23">
        <v>5</v>
      </c>
      <c r="R23" t="s">
        <v>40</v>
      </c>
      <c r="S23" t="s">
        <v>45</v>
      </c>
      <c r="T23" t="s">
        <v>68</v>
      </c>
      <c r="U23" t="s">
        <v>66</v>
      </c>
      <c r="V23" t="s">
        <v>82</v>
      </c>
      <c r="W23" t="s">
        <v>83</v>
      </c>
      <c r="X23" t="s">
        <v>76</v>
      </c>
      <c r="Y23">
        <v>100</v>
      </c>
      <c r="Z23" t="s">
        <v>107</v>
      </c>
      <c r="AA23" t="s">
        <v>108</v>
      </c>
      <c r="AB23" s="1">
        <v>45861</v>
      </c>
      <c r="AC23" t="s">
        <v>40</v>
      </c>
      <c r="AD23" t="s">
        <v>40</v>
      </c>
      <c r="AE23" t="s">
        <v>86</v>
      </c>
      <c r="AF23" t="s">
        <v>40</v>
      </c>
      <c r="AG23">
        <v>0</v>
      </c>
      <c r="AH23" t="s">
        <v>61</v>
      </c>
    </row>
    <row r="24" spans="1:34" x14ac:dyDescent="0.3">
      <c r="A24" t="s">
        <v>153</v>
      </c>
      <c r="B24" t="s">
        <v>154</v>
      </c>
      <c r="C24" t="s">
        <v>155</v>
      </c>
      <c r="D24" t="s">
        <v>104</v>
      </c>
      <c r="E24" s="1">
        <v>45992</v>
      </c>
      <c r="F24" s="1">
        <v>45993</v>
      </c>
      <c r="G24" t="s">
        <v>81</v>
      </c>
      <c r="H24">
        <v>9414</v>
      </c>
      <c r="I24" t="s">
        <v>65</v>
      </c>
      <c r="J24" t="b">
        <v>0</v>
      </c>
      <c r="K24">
        <v>1</v>
      </c>
      <c r="L24">
        <v>12</v>
      </c>
      <c r="M24">
        <v>2025</v>
      </c>
      <c r="N24">
        <v>1</v>
      </c>
      <c r="O24">
        <v>12</v>
      </c>
      <c r="P24">
        <v>2025</v>
      </c>
      <c r="Q24">
        <v>0</v>
      </c>
      <c r="R24" t="s">
        <v>40</v>
      </c>
      <c r="S24" t="s">
        <v>55</v>
      </c>
      <c r="T24" t="s">
        <v>42</v>
      </c>
      <c r="U24" t="s">
        <v>40</v>
      </c>
      <c r="V24" t="s">
        <v>156</v>
      </c>
      <c r="W24" t="s">
        <v>157</v>
      </c>
      <c r="X24" t="s">
        <v>158</v>
      </c>
      <c r="Y24">
        <v>70</v>
      </c>
      <c r="Z24" t="s">
        <v>107</v>
      </c>
      <c r="AA24" t="s">
        <v>108</v>
      </c>
      <c r="AB24" s="1">
        <v>45993</v>
      </c>
      <c r="AC24" t="s">
        <v>40</v>
      </c>
      <c r="AD24" t="s">
        <v>40</v>
      </c>
      <c r="AE24" t="s">
        <v>69</v>
      </c>
      <c r="AF24" t="s">
        <v>40</v>
      </c>
      <c r="AG24">
        <v>0</v>
      </c>
      <c r="AH24" t="s">
        <v>100</v>
      </c>
    </row>
    <row r="25" spans="1:34" x14ac:dyDescent="0.3">
      <c r="A25" t="s">
        <v>159</v>
      </c>
      <c r="B25" t="s">
        <v>160</v>
      </c>
      <c r="C25" t="s">
        <v>36</v>
      </c>
      <c r="D25" t="s">
        <v>80</v>
      </c>
      <c r="E25" s="1">
        <v>45960</v>
      </c>
      <c r="F25" s="1">
        <v>46020</v>
      </c>
      <c r="G25" t="s">
        <v>64</v>
      </c>
      <c r="H25">
        <v>2748</v>
      </c>
      <c r="I25" t="s">
        <v>39</v>
      </c>
      <c r="J25" t="b">
        <v>0</v>
      </c>
      <c r="K25">
        <v>60</v>
      </c>
      <c r="L25">
        <v>12</v>
      </c>
      <c r="M25">
        <v>2025</v>
      </c>
      <c r="N25">
        <v>0</v>
      </c>
      <c r="O25">
        <v>10</v>
      </c>
      <c r="P25">
        <v>2025</v>
      </c>
      <c r="Q25">
        <v>3</v>
      </c>
      <c r="R25" t="s">
        <v>40</v>
      </c>
      <c r="S25" t="s">
        <v>45</v>
      </c>
      <c r="T25" t="s">
        <v>42</v>
      </c>
      <c r="U25" t="s">
        <v>40</v>
      </c>
      <c r="V25" t="s">
        <v>43</v>
      </c>
      <c r="W25" t="s">
        <v>44</v>
      </c>
      <c r="X25" t="s">
        <v>45</v>
      </c>
      <c r="Y25">
        <v>150</v>
      </c>
      <c r="Z25" t="s">
        <v>84</v>
      </c>
      <c r="AA25" t="s">
        <v>85</v>
      </c>
      <c r="AB25" s="1">
        <v>46020</v>
      </c>
      <c r="AC25" t="s">
        <v>40</v>
      </c>
      <c r="AD25" t="s">
        <v>40</v>
      </c>
      <c r="AE25" t="s">
        <v>69</v>
      </c>
      <c r="AF25" t="s">
        <v>40</v>
      </c>
      <c r="AG25">
        <v>0</v>
      </c>
      <c r="AH25" t="s">
        <v>61</v>
      </c>
    </row>
    <row r="26" spans="1:34" x14ac:dyDescent="0.3">
      <c r="A26" t="s">
        <v>161</v>
      </c>
      <c r="B26" t="s">
        <v>162</v>
      </c>
      <c r="C26" t="s">
        <v>36</v>
      </c>
      <c r="D26" t="s">
        <v>130</v>
      </c>
      <c r="E26" s="1">
        <v>45663</v>
      </c>
      <c r="F26" s="1">
        <v>45813</v>
      </c>
      <c r="G26" t="s">
        <v>41</v>
      </c>
      <c r="H26">
        <v>5542</v>
      </c>
      <c r="I26" t="s">
        <v>39</v>
      </c>
      <c r="J26" t="b">
        <v>0</v>
      </c>
      <c r="K26">
        <v>150</v>
      </c>
      <c r="L26">
        <v>6</v>
      </c>
      <c r="M26">
        <v>2025</v>
      </c>
      <c r="N26">
        <v>3</v>
      </c>
      <c r="O26">
        <v>1</v>
      </c>
      <c r="P26">
        <v>2025</v>
      </c>
      <c r="Q26">
        <v>0</v>
      </c>
      <c r="R26" t="s">
        <v>40</v>
      </c>
      <c r="S26" t="s">
        <v>67</v>
      </c>
      <c r="T26" t="s">
        <v>42</v>
      </c>
      <c r="U26" t="s">
        <v>40</v>
      </c>
      <c r="V26" t="s">
        <v>43</v>
      </c>
      <c r="W26" t="s">
        <v>44</v>
      </c>
      <c r="X26" t="s">
        <v>45</v>
      </c>
      <c r="Y26">
        <v>150</v>
      </c>
      <c r="Z26" t="s">
        <v>133</v>
      </c>
      <c r="AA26" t="s">
        <v>134</v>
      </c>
      <c r="AB26" s="1">
        <v>45813</v>
      </c>
      <c r="AC26" t="s">
        <v>40</v>
      </c>
      <c r="AD26" t="s">
        <v>40</v>
      </c>
      <c r="AE26" t="s">
        <v>60</v>
      </c>
      <c r="AF26" t="s">
        <v>40</v>
      </c>
      <c r="AG26">
        <v>0</v>
      </c>
      <c r="AH26" t="s">
        <v>49</v>
      </c>
    </row>
    <row r="27" spans="1:34" x14ac:dyDescent="0.3">
      <c r="A27" t="s">
        <v>163</v>
      </c>
      <c r="B27" t="s">
        <v>164</v>
      </c>
      <c r="C27" t="s">
        <v>103</v>
      </c>
      <c r="D27" t="s">
        <v>130</v>
      </c>
      <c r="E27" s="1">
        <v>45684</v>
      </c>
      <c r="F27" s="1">
        <v>45687</v>
      </c>
      <c r="G27" t="s">
        <v>64</v>
      </c>
      <c r="H27">
        <v>3424</v>
      </c>
      <c r="I27" t="s">
        <v>39</v>
      </c>
      <c r="J27" t="b">
        <v>0</v>
      </c>
      <c r="K27">
        <v>3</v>
      </c>
      <c r="L27">
        <v>1</v>
      </c>
      <c r="M27">
        <v>2025</v>
      </c>
      <c r="N27">
        <v>3</v>
      </c>
      <c r="O27">
        <v>1</v>
      </c>
      <c r="P27">
        <v>2025</v>
      </c>
      <c r="Q27">
        <v>0</v>
      </c>
      <c r="R27" t="s">
        <v>40</v>
      </c>
      <c r="S27" t="s">
        <v>45</v>
      </c>
      <c r="T27" t="s">
        <v>113</v>
      </c>
      <c r="U27" t="s">
        <v>40</v>
      </c>
      <c r="V27" t="s">
        <v>105</v>
      </c>
      <c r="W27" t="s">
        <v>106</v>
      </c>
      <c r="X27" t="s">
        <v>45</v>
      </c>
      <c r="Y27">
        <v>140</v>
      </c>
      <c r="Z27" t="s">
        <v>133</v>
      </c>
      <c r="AA27" t="s">
        <v>134</v>
      </c>
      <c r="AB27" s="1">
        <v>45687</v>
      </c>
      <c r="AC27" t="s">
        <v>40</v>
      </c>
      <c r="AD27" t="s">
        <v>40</v>
      </c>
      <c r="AE27" t="s">
        <v>86</v>
      </c>
      <c r="AF27" t="s">
        <v>40</v>
      </c>
      <c r="AG27">
        <v>0</v>
      </c>
      <c r="AH27" t="s">
        <v>100</v>
      </c>
    </row>
    <row r="28" spans="1:34" x14ac:dyDescent="0.3">
      <c r="A28" t="s">
        <v>165</v>
      </c>
      <c r="B28" t="s">
        <v>166</v>
      </c>
      <c r="C28" t="s">
        <v>73</v>
      </c>
      <c r="D28" t="s">
        <v>80</v>
      </c>
      <c r="E28" s="1">
        <v>46191</v>
      </c>
      <c r="F28" s="1">
        <v>46194</v>
      </c>
      <c r="G28" t="s">
        <v>41</v>
      </c>
      <c r="H28">
        <v>6099</v>
      </c>
      <c r="I28" t="s">
        <v>54</v>
      </c>
      <c r="J28" t="b">
        <v>0</v>
      </c>
      <c r="K28">
        <v>3</v>
      </c>
      <c r="L28">
        <v>6</v>
      </c>
      <c r="M28">
        <v>2026</v>
      </c>
      <c r="N28">
        <v>6</v>
      </c>
      <c r="O28">
        <v>6</v>
      </c>
      <c r="P28">
        <v>2026</v>
      </c>
      <c r="Q28">
        <v>3</v>
      </c>
      <c r="R28" t="s">
        <v>66</v>
      </c>
      <c r="S28" t="s">
        <v>67</v>
      </c>
      <c r="T28" t="s">
        <v>42</v>
      </c>
      <c r="U28" t="s">
        <v>40</v>
      </c>
      <c r="V28" t="s">
        <v>74</v>
      </c>
      <c r="W28" t="s">
        <v>75</v>
      </c>
      <c r="X28" t="s">
        <v>76</v>
      </c>
      <c r="Y28">
        <v>75</v>
      </c>
      <c r="Z28" t="s">
        <v>84</v>
      </c>
      <c r="AA28" t="s">
        <v>85</v>
      </c>
      <c r="AB28" s="1">
        <v>46194</v>
      </c>
      <c r="AC28" t="s">
        <v>66</v>
      </c>
      <c r="AD28" t="s">
        <v>40</v>
      </c>
      <c r="AE28" t="s">
        <v>60</v>
      </c>
      <c r="AF28" t="s">
        <v>40</v>
      </c>
      <c r="AG28">
        <v>1</v>
      </c>
      <c r="AH28" t="s">
        <v>100</v>
      </c>
    </row>
    <row r="29" spans="1:34" x14ac:dyDescent="0.3">
      <c r="A29" t="s">
        <v>167</v>
      </c>
      <c r="B29" t="s">
        <v>168</v>
      </c>
      <c r="C29" t="s">
        <v>169</v>
      </c>
      <c r="D29" t="s">
        <v>104</v>
      </c>
      <c r="E29" s="1">
        <v>45964</v>
      </c>
      <c r="F29" s="1">
        <v>45978</v>
      </c>
      <c r="G29" t="s">
        <v>64</v>
      </c>
      <c r="H29">
        <v>2715</v>
      </c>
      <c r="I29" t="s">
        <v>39</v>
      </c>
      <c r="J29" t="b">
        <v>0</v>
      </c>
      <c r="K29">
        <v>14</v>
      </c>
      <c r="L29">
        <v>11</v>
      </c>
      <c r="M29">
        <v>2025</v>
      </c>
      <c r="N29">
        <v>0</v>
      </c>
      <c r="O29">
        <v>11</v>
      </c>
      <c r="P29">
        <v>2025</v>
      </c>
      <c r="Q29">
        <v>0</v>
      </c>
      <c r="R29" t="s">
        <v>40</v>
      </c>
      <c r="S29" t="s">
        <v>55</v>
      </c>
      <c r="T29" t="s">
        <v>42</v>
      </c>
      <c r="U29" t="s">
        <v>40</v>
      </c>
      <c r="V29" t="s">
        <v>170</v>
      </c>
      <c r="W29" t="s">
        <v>171</v>
      </c>
      <c r="X29" t="s">
        <v>126</v>
      </c>
      <c r="Y29">
        <v>90</v>
      </c>
      <c r="Z29" t="s">
        <v>107</v>
      </c>
      <c r="AA29" t="s">
        <v>108</v>
      </c>
      <c r="AB29" s="1">
        <v>45978</v>
      </c>
      <c r="AC29" t="s">
        <v>40</v>
      </c>
      <c r="AD29" t="s">
        <v>40</v>
      </c>
      <c r="AE29" t="s">
        <v>86</v>
      </c>
      <c r="AF29" t="s">
        <v>40</v>
      </c>
      <c r="AG29">
        <v>0</v>
      </c>
      <c r="AH29" t="s">
        <v>70</v>
      </c>
    </row>
    <row r="30" spans="1:34" x14ac:dyDescent="0.3">
      <c r="A30" t="s">
        <v>172</v>
      </c>
      <c r="B30" t="s">
        <v>173</v>
      </c>
      <c r="C30" t="s">
        <v>52</v>
      </c>
      <c r="D30" t="s">
        <v>104</v>
      </c>
      <c r="E30" s="1">
        <v>45998</v>
      </c>
      <c r="F30" s="1">
        <v>46098</v>
      </c>
      <c r="G30" t="s">
        <v>41</v>
      </c>
      <c r="H30">
        <v>8340</v>
      </c>
      <c r="I30" t="s">
        <v>39</v>
      </c>
      <c r="J30" t="b">
        <v>0</v>
      </c>
      <c r="K30">
        <v>100</v>
      </c>
      <c r="L30">
        <v>3</v>
      </c>
      <c r="M30">
        <v>2026</v>
      </c>
      <c r="N30">
        <v>1</v>
      </c>
      <c r="O30">
        <v>12</v>
      </c>
      <c r="P30">
        <v>2025</v>
      </c>
      <c r="Q30">
        <v>6</v>
      </c>
      <c r="R30" t="s">
        <v>40</v>
      </c>
      <c r="S30" t="s">
        <v>55</v>
      </c>
      <c r="T30" t="s">
        <v>42</v>
      </c>
      <c r="U30" t="s">
        <v>40</v>
      </c>
      <c r="V30" t="s">
        <v>56</v>
      </c>
      <c r="W30" t="s">
        <v>57</v>
      </c>
      <c r="X30" t="s">
        <v>45</v>
      </c>
      <c r="Y30">
        <v>120</v>
      </c>
      <c r="Z30" t="s">
        <v>107</v>
      </c>
      <c r="AA30" t="s">
        <v>108</v>
      </c>
      <c r="AB30" s="1">
        <v>46098</v>
      </c>
      <c r="AC30" t="s">
        <v>40</v>
      </c>
      <c r="AD30" t="s">
        <v>40</v>
      </c>
      <c r="AE30" t="s">
        <v>60</v>
      </c>
      <c r="AF30" t="s">
        <v>40</v>
      </c>
      <c r="AG30">
        <v>0</v>
      </c>
      <c r="AH30" t="s">
        <v>49</v>
      </c>
    </row>
    <row r="31" spans="1:34" x14ac:dyDescent="0.3">
      <c r="A31" t="s">
        <v>174</v>
      </c>
      <c r="B31" t="s">
        <v>175</v>
      </c>
      <c r="C31" t="s">
        <v>79</v>
      </c>
      <c r="D31" t="s">
        <v>80</v>
      </c>
      <c r="E31" s="1">
        <v>45863</v>
      </c>
      <c r="F31" s="1">
        <v>45877</v>
      </c>
      <c r="G31" t="s">
        <v>38</v>
      </c>
      <c r="H31">
        <v>4807</v>
      </c>
      <c r="I31" t="s">
        <v>39</v>
      </c>
      <c r="J31" t="b">
        <v>0</v>
      </c>
      <c r="K31">
        <v>14</v>
      </c>
      <c r="L31">
        <v>8</v>
      </c>
      <c r="M31">
        <v>2025</v>
      </c>
      <c r="N31">
        <v>4</v>
      </c>
      <c r="O31">
        <v>7</v>
      </c>
      <c r="P31">
        <v>2025</v>
      </c>
      <c r="Q31">
        <v>4</v>
      </c>
      <c r="R31" t="s">
        <v>40</v>
      </c>
      <c r="S31" t="s">
        <v>41</v>
      </c>
      <c r="T31" t="s">
        <v>42</v>
      </c>
      <c r="U31" t="s">
        <v>40</v>
      </c>
      <c r="V31" t="s">
        <v>82</v>
      </c>
      <c r="W31" t="s">
        <v>83</v>
      </c>
      <c r="X31" t="s">
        <v>76</v>
      </c>
      <c r="Y31">
        <v>100</v>
      </c>
      <c r="Z31" t="s">
        <v>84</v>
      </c>
      <c r="AA31" t="s">
        <v>85</v>
      </c>
      <c r="AB31" s="1">
        <v>45877</v>
      </c>
      <c r="AC31" t="s">
        <v>40</v>
      </c>
      <c r="AD31" t="s">
        <v>40</v>
      </c>
      <c r="AE31" t="s">
        <v>86</v>
      </c>
      <c r="AF31" t="s">
        <v>40</v>
      </c>
      <c r="AG31">
        <v>0</v>
      </c>
      <c r="AH31" t="s">
        <v>70</v>
      </c>
    </row>
    <row r="32" spans="1:34" x14ac:dyDescent="0.3">
      <c r="A32" t="s">
        <v>176</v>
      </c>
      <c r="B32" t="s">
        <v>177</v>
      </c>
      <c r="C32" t="s">
        <v>79</v>
      </c>
      <c r="D32" t="s">
        <v>104</v>
      </c>
      <c r="E32" s="1">
        <v>45945</v>
      </c>
      <c r="F32" s="1">
        <v>46045</v>
      </c>
      <c r="G32" t="s">
        <v>41</v>
      </c>
      <c r="H32">
        <v>7425</v>
      </c>
      <c r="I32" t="s">
        <v>54</v>
      </c>
      <c r="J32" t="b">
        <v>0</v>
      </c>
      <c r="K32">
        <v>100</v>
      </c>
      <c r="L32">
        <v>1</v>
      </c>
      <c r="M32">
        <v>2026</v>
      </c>
      <c r="N32">
        <v>4</v>
      </c>
      <c r="O32">
        <v>10</v>
      </c>
      <c r="P32">
        <v>2025</v>
      </c>
      <c r="Q32">
        <v>2</v>
      </c>
      <c r="R32" t="s">
        <v>40</v>
      </c>
      <c r="S32" t="s">
        <v>55</v>
      </c>
      <c r="T32" t="s">
        <v>68</v>
      </c>
      <c r="U32" t="s">
        <v>40</v>
      </c>
      <c r="V32" t="s">
        <v>82</v>
      </c>
      <c r="W32" t="s">
        <v>83</v>
      </c>
      <c r="X32" t="s">
        <v>76</v>
      </c>
      <c r="Y32">
        <v>100</v>
      </c>
      <c r="Z32" t="s">
        <v>107</v>
      </c>
      <c r="AA32" t="s">
        <v>108</v>
      </c>
      <c r="AB32" s="1">
        <v>46045</v>
      </c>
      <c r="AC32" t="s">
        <v>40</v>
      </c>
      <c r="AD32" t="s">
        <v>40</v>
      </c>
      <c r="AE32" t="s">
        <v>86</v>
      </c>
      <c r="AF32" t="s">
        <v>40</v>
      </c>
      <c r="AG32">
        <v>1</v>
      </c>
      <c r="AH32" t="s">
        <v>49</v>
      </c>
    </row>
    <row r="33" spans="1:34" x14ac:dyDescent="0.3">
      <c r="A33" t="s">
        <v>178</v>
      </c>
      <c r="B33" t="s">
        <v>179</v>
      </c>
      <c r="C33" t="s">
        <v>52</v>
      </c>
      <c r="D33" t="s">
        <v>37</v>
      </c>
      <c r="E33" s="1">
        <v>46130</v>
      </c>
      <c r="F33" s="1">
        <v>46280</v>
      </c>
      <c r="G33" t="s">
        <v>38</v>
      </c>
      <c r="H33">
        <v>4693</v>
      </c>
      <c r="I33" t="s">
        <v>65</v>
      </c>
      <c r="J33" t="b">
        <v>0</v>
      </c>
      <c r="K33">
        <v>150</v>
      </c>
      <c r="L33">
        <v>9</v>
      </c>
      <c r="M33">
        <v>2026</v>
      </c>
      <c r="N33">
        <v>1</v>
      </c>
      <c r="O33">
        <v>4</v>
      </c>
      <c r="P33">
        <v>2026</v>
      </c>
      <c r="Q33">
        <v>5</v>
      </c>
      <c r="R33" t="s">
        <v>40</v>
      </c>
      <c r="S33" t="s">
        <v>55</v>
      </c>
      <c r="T33" t="s">
        <v>68</v>
      </c>
      <c r="U33" t="s">
        <v>40</v>
      </c>
      <c r="V33" t="s">
        <v>56</v>
      </c>
      <c r="W33" t="s">
        <v>57</v>
      </c>
      <c r="X33" t="s">
        <v>45</v>
      </c>
      <c r="Y33">
        <v>120</v>
      </c>
      <c r="Z33" t="s">
        <v>46</v>
      </c>
      <c r="AA33" t="s">
        <v>47</v>
      </c>
      <c r="AB33" s="1">
        <v>46280</v>
      </c>
      <c r="AC33" t="s">
        <v>40</v>
      </c>
      <c r="AD33" t="s">
        <v>40</v>
      </c>
      <c r="AE33" t="s">
        <v>60</v>
      </c>
      <c r="AF33" t="s">
        <v>40</v>
      </c>
      <c r="AG33">
        <v>0</v>
      </c>
      <c r="AH33" t="s">
        <v>49</v>
      </c>
    </row>
    <row r="34" spans="1:34" x14ac:dyDescent="0.3">
      <c r="A34" t="s">
        <v>180</v>
      </c>
      <c r="B34" t="s">
        <v>181</v>
      </c>
      <c r="C34" t="s">
        <v>129</v>
      </c>
      <c r="D34" t="s">
        <v>53</v>
      </c>
      <c r="E34" s="1">
        <v>45905</v>
      </c>
      <c r="F34" s="1">
        <v>45912</v>
      </c>
      <c r="G34" t="s">
        <v>38</v>
      </c>
      <c r="H34">
        <v>5044</v>
      </c>
      <c r="I34" t="s">
        <v>39</v>
      </c>
      <c r="J34" t="b">
        <v>0</v>
      </c>
      <c r="K34">
        <v>7</v>
      </c>
      <c r="L34">
        <v>9</v>
      </c>
      <c r="M34">
        <v>2025</v>
      </c>
      <c r="N34">
        <v>4</v>
      </c>
      <c r="O34">
        <v>9</v>
      </c>
      <c r="P34">
        <v>2025</v>
      </c>
      <c r="Q34">
        <v>4</v>
      </c>
      <c r="R34" t="s">
        <v>40</v>
      </c>
      <c r="S34" t="s">
        <v>41</v>
      </c>
      <c r="T34" t="s">
        <v>42</v>
      </c>
      <c r="U34" t="s">
        <v>40</v>
      </c>
      <c r="V34" t="s">
        <v>131</v>
      </c>
      <c r="W34" t="s">
        <v>132</v>
      </c>
      <c r="X34" t="s">
        <v>45</v>
      </c>
      <c r="Y34">
        <v>110</v>
      </c>
      <c r="Z34" t="s">
        <v>58</v>
      </c>
      <c r="AA34" t="s">
        <v>59</v>
      </c>
      <c r="AB34" s="1">
        <v>45912</v>
      </c>
      <c r="AC34" t="s">
        <v>40</v>
      </c>
      <c r="AD34" t="s">
        <v>40</v>
      </c>
      <c r="AE34" t="s">
        <v>60</v>
      </c>
      <c r="AF34" t="s">
        <v>40</v>
      </c>
      <c r="AG34">
        <v>0</v>
      </c>
      <c r="AH34" t="s">
        <v>100</v>
      </c>
    </row>
    <row r="35" spans="1:34" x14ac:dyDescent="0.3">
      <c r="A35" t="s">
        <v>182</v>
      </c>
      <c r="B35" t="s">
        <v>183</v>
      </c>
      <c r="C35" t="s">
        <v>89</v>
      </c>
      <c r="D35" t="s">
        <v>104</v>
      </c>
      <c r="E35" s="1">
        <v>46214</v>
      </c>
      <c r="F35" s="1">
        <v>46215</v>
      </c>
      <c r="G35" t="s">
        <v>81</v>
      </c>
      <c r="H35">
        <v>7395</v>
      </c>
      <c r="I35" t="s">
        <v>39</v>
      </c>
      <c r="J35" t="b">
        <v>0</v>
      </c>
      <c r="K35">
        <v>1</v>
      </c>
      <c r="L35">
        <v>7</v>
      </c>
      <c r="M35">
        <v>2026</v>
      </c>
      <c r="N35">
        <v>6</v>
      </c>
      <c r="O35">
        <v>7</v>
      </c>
      <c r="P35">
        <v>2026</v>
      </c>
      <c r="Q35">
        <v>5</v>
      </c>
      <c r="R35" t="s">
        <v>66</v>
      </c>
      <c r="S35" t="s">
        <v>55</v>
      </c>
      <c r="T35" t="s">
        <v>123</v>
      </c>
      <c r="U35" t="s">
        <v>66</v>
      </c>
      <c r="V35" t="s">
        <v>91</v>
      </c>
      <c r="W35" t="s">
        <v>92</v>
      </c>
      <c r="X35" t="s">
        <v>76</v>
      </c>
      <c r="Y35">
        <v>65</v>
      </c>
      <c r="Z35" t="s">
        <v>107</v>
      </c>
      <c r="AA35" t="s">
        <v>108</v>
      </c>
      <c r="AB35" s="1">
        <v>46215</v>
      </c>
      <c r="AC35" t="s">
        <v>66</v>
      </c>
      <c r="AD35" t="s">
        <v>40</v>
      </c>
      <c r="AE35" t="s">
        <v>86</v>
      </c>
      <c r="AF35" t="s">
        <v>40</v>
      </c>
      <c r="AG35">
        <v>0</v>
      </c>
      <c r="AH35" t="s">
        <v>100</v>
      </c>
    </row>
    <row r="36" spans="1:34" x14ac:dyDescent="0.3">
      <c r="A36" t="s">
        <v>184</v>
      </c>
      <c r="B36" t="s">
        <v>185</v>
      </c>
      <c r="C36" t="s">
        <v>52</v>
      </c>
      <c r="D36" t="s">
        <v>80</v>
      </c>
      <c r="E36" s="1">
        <v>46318</v>
      </c>
      <c r="F36" s="1">
        <v>46378</v>
      </c>
      <c r="G36" t="s">
        <v>41</v>
      </c>
      <c r="H36">
        <v>5043</v>
      </c>
      <c r="I36" t="s">
        <v>65</v>
      </c>
      <c r="J36" t="b">
        <v>0</v>
      </c>
      <c r="K36">
        <v>60</v>
      </c>
      <c r="L36">
        <v>12</v>
      </c>
      <c r="M36">
        <v>2026</v>
      </c>
      <c r="N36">
        <v>1</v>
      </c>
      <c r="O36">
        <v>10</v>
      </c>
      <c r="P36">
        <v>2026</v>
      </c>
      <c r="Q36">
        <v>4</v>
      </c>
      <c r="R36" t="s">
        <v>40</v>
      </c>
      <c r="S36" t="s">
        <v>45</v>
      </c>
      <c r="T36" t="s">
        <v>139</v>
      </c>
      <c r="U36" t="s">
        <v>40</v>
      </c>
      <c r="V36" t="s">
        <v>56</v>
      </c>
      <c r="W36" t="s">
        <v>57</v>
      </c>
      <c r="X36" t="s">
        <v>45</v>
      </c>
      <c r="Y36">
        <v>120</v>
      </c>
      <c r="Z36" t="s">
        <v>84</v>
      </c>
      <c r="AA36" t="s">
        <v>85</v>
      </c>
      <c r="AB36" s="1">
        <v>46378</v>
      </c>
      <c r="AC36" t="s">
        <v>40</v>
      </c>
      <c r="AD36" t="s">
        <v>40</v>
      </c>
      <c r="AE36" t="s">
        <v>69</v>
      </c>
      <c r="AF36" t="s">
        <v>40</v>
      </c>
      <c r="AG36">
        <v>0</v>
      </c>
      <c r="AH36" t="s">
        <v>61</v>
      </c>
    </row>
    <row r="37" spans="1:34" x14ac:dyDescent="0.3">
      <c r="A37" t="s">
        <v>186</v>
      </c>
      <c r="B37" t="s">
        <v>187</v>
      </c>
      <c r="C37" t="s">
        <v>155</v>
      </c>
      <c r="D37" t="s">
        <v>37</v>
      </c>
      <c r="E37" s="1">
        <v>46247</v>
      </c>
      <c r="F37" s="1">
        <v>46254</v>
      </c>
      <c r="G37" t="s">
        <v>81</v>
      </c>
      <c r="H37">
        <v>10599</v>
      </c>
      <c r="I37" t="s">
        <v>54</v>
      </c>
      <c r="J37" t="b">
        <v>0</v>
      </c>
      <c r="K37">
        <v>7</v>
      </c>
      <c r="L37">
        <v>8</v>
      </c>
      <c r="M37">
        <v>2026</v>
      </c>
      <c r="N37">
        <v>3</v>
      </c>
      <c r="O37">
        <v>8</v>
      </c>
      <c r="P37">
        <v>2026</v>
      </c>
      <c r="Q37">
        <v>3</v>
      </c>
      <c r="R37" t="s">
        <v>40</v>
      </c>
      <c r="S37" t="s">
        <v>41</v>
      </c>
      <c r="T37" t="s">
        <v>42</v>
      </c>
      <c r="U37" t="s">
        <v>40</v>
      </c>
      <c r="V37" t="s">
        <v>156</v>
      </c>
      <c r="W37" t="s">
        <v>157</v>
      </c>
      <c r="X37" t="s">
        <v>158</v>
      </c>
      <c r="Y37">
        <v>70</v>
      </c>
      <c r="Z37" t="s">
        <v>46</v>
      </c>
      <c r="AA37" t="s">
        <v>47</v>
      </c>
      <c r="AB37" s="1">
        <v>46254</v>
      </c>
      <c r="AC37" t="s">
        <v>40</v>
      </c>
      <c r="AD37" t="s">
        <v>40</v>
      </c>
      <c r="AE37" t="s">
        <v>86</v>
      </c>
      <c r="AF37" t="s">
        <v>40</v>
      </c>
      <c r="AG37">
        <v>1</v>
      </c>
      <c r="AH37" t="s">
        <v>100</v>
      </c>
    </row>
    <row r="38" spans="1:34" x14ac:dyDescent="0.3">
      <c r="A38" t="s">
        <v>188</v>
      </c>
      <c r="B38" t="s">
        <v>189</v>
      </c>
      <c r="C38" t="s">
        <v>169</v>
      </c>
      <c r="D38" t="s">
        <v>104</v>
      </c>
      <c r="E38" s="1">
        <v>45745</v>
      </c>
      <c r="F38" s="1">
        <v>45748</v>
      </c>
      <c r="G38" t="s">
        <v>38</v>
      </c>
      <c r="H38">
        <v>4905</v>
      </c>
      <c r="I38" t="s">
        <v>39</v>
      </c>
      <c r="J38" t="b">
        <v>0</v>
      </c>
      <c r="K38">
        <v>3</v>
      </c>
      <c r="L38">
        <v>4</v>
      </c>
      <c r="M38">
        <v>2025</v>
      </c>
      <c r="N38">
        <v>1</v>
      </c>
      <c r="O38">
        <v>3</v>
      </c>
      <c r="P38">
        <v>2025</v>
      </c>
      <c r="Q38">
        <v>5</v>
      </c>
      <c r="R38" t="s">
        <v>40</v>
      </c>
      <c r="S38" t="s">
        <v>67</v>
      </c>
      <c r="T38" t="s">
        <v>123</v>
      </c>
      <c r="U38" t="s">
        <v>40</v>
      </c>
      <c r="V38" t="s">
        <v>170</v>
      </c>
      <c r="W38" t="s">
        <v>171</v>
      </c>
      <c r="X38" t="s">
        <v>126</v>
      </c>
      <c r="Y38">
        <v>90</v>
      </c>
      <c r="Z38" t="s">
        <v>107</v>
      </c>
      <c r="AA38" t="s">
        <v>108</v>
      </c>
      <c r="AB38" s="1">
        <v>45748</v>
      </c>
      <c r="AC38" t="s">
        <v>40</v>
      </c>
      <c r="AD38" t="s">
        <v>40</v>
      </c>
      <c r="AE38" t="s">
        <v>69</v>
      </c>
      <c r="AF38" t="s">
        <v>40</v>
      </c>
      <c r="AG38">
        <v>0</v>
      </c>
      <c r="AH38" t="s">
        <v>100</v>
      </c>
    </row>
    <row r="39" spans="1:34" x14ac:dyDescent="0.3">
      <c r="A39" t="s">
        <v>190</v>
      </c>
      <c r="B39" t="s">
        <v>191</v>
      </c>
      <c r="C39" t="s">
        <v>89</v>
      </c>
      <c r="D39" t="s">
        <v>37</v>
      </c>
      <c r="E39" s="1">
        <v>46121</v>
      </c>
      <c r="F39" s="1">
        <v>46128</v>
      </c>
      <c r="G39" t="s">
        <v>81</v>
      </c>
      <c r="H39">
        <v>6685</v>
      </c>
      <c r="I39" t="s">
        <v>54</v>
      </c>
      <c r="J39" t="b">
        <v>0</v>
      </c>
      <c r="K39">
        <v>7</v>
      </c>
      <c r="L39">
        <v>4</v>
      </c>
      <c r="M39">
        <v>2026</v>
      </c>
      <c r="N39">
        <v>3</v>
      </c>
      <c r="O39">
        <v>4</v>
      </c>
      <c r="P39">
        <v>2026</v>
      </c>
      <c r="Q39">
        <v>3</v>
      </c>
      <c r="R39" t="s">
        <v>40</v>
      </c>
      <c r="S39" t="s">
        <v>41</v>
      </c>
      <c r="T39" t="s">
        <v>42</v>
      </c>
      <c r="U39" t="s">
        <v>40</v>
      </c>
      <c r="V39" t="s">
        <v>91</v>
      </c>
      <c r="W39" t="s">
        <v>92</v>
      </c>
      <c r="X39" t="s">
        <v>76</v>
      </c>
      <c r="Y39">
        <v>65</v>
      </c>
      <c r="Z39" t="s">
        <v>46</v>
      </c>
      <c r="AA39" t="s">
        <v>47</v>
      </c>
      <c r="AB39" s="1">
        <v>46128</v>
      </c>
      <c r="AC39" t="s">
        <v>40</v>
      </c>
      <c r="AD39" t="s">
        <v>40</v>
      </c>
      <c r="AE39" t="s">
        <v>69</v>
      </c>
      <c r="AF39" t="s">
        <v>40</v>
      </c>
      <c r="AG39">
        <v>1</v>
      </c>
      <c r="AH39" t="s">
        <v>100</v>
      </c>
    </row>
    <row r="40" spans="1:34" x14ac:dyDescent="0.3">
      <c r="A40" t="s">
        <v>192</v>
      </c>
      <c r="B40" t="s">
        <v>193</v>
      </c>
      <c r="C40" t="s">
        <v>89</v>
      </c>
      <c r="D40" t="s">
        <v>90</v>
      </c>
      <c r="E40" s="1">
        <v>46186</v>
      </c>
      <c r="F40" s="1">
        <v>46189</v>
      </c>
      <c r="G40" t="s">
        <v>38</v>
      </c>
      <c r="H40">
        <v>5246</v>
      </c>
      <c r="I40" t="s">
        <v>39</v>
      </c>
      <c r="J40" t="b">
        <v>0</v>
      </c>
      <c r="K40">
        <v>3</v>
      </c>
      <c r="L40">
        <v>6</v>
      </c>
      <c r="M40">
        <v>2026</v>
      </c>
      <c r="N40">
        <v>1</v>
      </c>
      <c r="O40">
        <v>6</v>
      </c>
      <c r="P40">
        <v>2026</v>
      </c>
      <c r="Q40">
        <v>5</v>
      </c>
      <c r="R40" t="s">
        <v>40</v>
      </c>
      <c r="S40" t="s">
        <v>55</v>
      </c>
      <c r="T40" t="s">
        <v>42</v>
      </c>
      <c r="U40" t="s">
        <v>66</v>
      </c>
      <c r="V40" t="s">
        <v>91</v>
      </c>
      <c r="W40" t="s">
        <v>92</v>
      </c>
      <c r="X40" t="s">
        <v>76</v>
      </c>
      <c r="Y40">
        <v>65</v>
      </c>
      <c r="Z40" t="s">
        <v>93</v>
      </c>
      <c r="AA40" t="s">
        <v>94</v>
      </c>
      <c r="AB40" s="1">
        <v>46189</v>
      </c>
      <c r="AC40" t="s">
        <v>40</v>
      </c>
      <c r="AD40" t="s">
        <v>40</v>
      </c>
      <c r="AE40" t="s">
        <v>60</v>
      </c>
      <c r="AF40" t="s">
        <v>40</v>
      </c>
      <c r="AG40">
        <v>0</v>
      </c>
      <c r="AH40" t="s">
        <v>100</v>
      </c>
    </row>
    <row r="41" spans="1:34" x14ac:dyDescent="0.3">
      <c r="A41" t="s">
        <v>194</v>
      </c>
      <c r="B41" t="s">
        <v>195</v>
      </c>
      <c r="C41" t="s">
        <v>103</v>
      </c>
      <c r="D41" t="s">
        <v>130</v>
      </c>
      <c r="E41" s="1">
        <v>46286</v>
      </c>
      <c r="F41" s="1">
        <v>46386</v>
      </c>
      <c r="G41" t="s">
        <v>41</v>
      </c>
      <c r="H41">
        <v>7886</v>
      </c>
      <c r="I41" t="s">
        <v>54</v>
      </c>
      <c r="J41" t="b">
        <v>0</v>
      </c>
      <c r="K41">
        <v>100</v>
      </c>
      <c r="L41">
        <v>12</v>
      </c>
      <c r="M41">
        <v>2026</v>
      </c>
      <c r="N41">
        <v>2</v>
      </c>
      <c r="O41">
        <v>9</v>
      </c>
      <c r="P41">
        <v>2026</v>
      </c>
      <c r="Q41">
        <v>0</v>
      </c>
      <c r="R41" t="s">
        <v>40</v>
      </c>
      <c r="S41" t="s">
        <v>55</v>
      </c>
      <c r="T41" t="s">
        <v>42</v>
      </c>
      <c r="U41" t="s">
        <v>40</v>
      </c>
      <c r="V41" t="s">
        <v>105</v>
      </c>
      <c r="W41" t="s">
        <v>106</v>
      </c>
      <c r="X41" t="s">
        <v>45</v>
      </c>
      <c r="Y41">
        <v>140</v>
      </c>
      <c r="Z41" t="s">
        <v>133</v>
      </c>
      <c r="AA41" t="s">
        <v>134</v>
      </c>
      <c r="AB41" s="1">
        <v>46386</v>
      </c>
      <c r="AC41" t="s">
        <v>40</v>
      </c>
      <c r="AD41" t="s">
        <v>40</v>
      </c>
      <c r="AE41" t="s">
        <v>69</v>
      </c>
      <c r="AF41" t="s">
        <v>40</v>
      </c>
      <c r="AG41">
        <v>1</v>
      </c>
      <c r="AH41" t="s">
        <v>49</v>
      </c>
    </row>
    <row r="42" spans="1:34" x14ac:dyDescent="0.3">
      <c r="A42" t="s">
        <v>196</v>
      </c>
      <c r="B42" t="s">
        <v>197</v>
      </c>
      <c r="C42" t="s">
        <v>155</v>
      </c>
      <c r="D42" t="s">
        <v>130</v>
      </c>
      <c r="E42" s="1">
        <v>46207</v>
      </c>
      <c r="F42" s="1">
        <v>46214</v>
      </c>
      <c r="G42" t="s">
        <v>81</v>
      </c>
      <c r="H42">
        <v>8649</v>
      </c>
      <c r="I42" t="s">
        <v>39</v>
      </c>
      <c r="J42" t="b">
        <v>0</v>
      </c>
      <c r="K42">
        <v>7</v>
      </c>
      <c r="L42">
        <v>7</v>
      </c>
      <c r="M42">
        <v>2026</v>
      </c>
      <c r="N42">
        <v>5</v>
      </c>
      <c r="O42">
        <v>7</v>
      </c>
      <c r="P42">
        <v>2026</v>
      </c>
      <c r="Q42">
        <v>5</v>
      </c>
      <c r="R42" t="s">
        <v>66</v>
      </c>
      <c r="S42" t="s">
        <v>55</v>
      </c>
      <c r="T42" t="s">
        <v>139</v>
      </c>
      <c r="U42" t="s">
        <v>40</v>
      </c>
      <c r="V42" t="s">
        <v>156</v>
      </c>
      <c r="W42" t="s">
        <v>157</v>
      </c>
      <c r="X42" t="s">
        <v>158</v>
      </c>
      <c r="Y42">
        <v>70</v>
      </c>
      <c r="Z42" t="s">
        <v>133</v>
      </c>
      <c r="AA42" t="s">
        <v>134</v>
      </c>
      <c r="AB42" s="1">
        <v>46214</v>
      </c>
      <c r="AC42" t="s">
        <v>66</v>
      </c>
      <c r="AD42" t="s">
        <v>40</v>
      </c>
      <c r="AE42" t="s">
        <v>86</v>
      </c>
      <c r="AF42" t="s">
        <v>40</v>
      </c>
      <c r="AG42">
        <v>0</v>
      </c>
      <c r="AH42" t="s">
        <v>100</v>
      </c>
    </row>
    <row r="43" spans="1:34" x14ac:dyDescent="0.3">
      <c r="A43" t="s">
        <v>198</v>
      </c>
      <c r="B43" t="s">
        <v>199</v>
      </c>
      <c r="C43" t="s">
        <v>103</v>
      </c>
      <c r="D43" t="s">
        <v>80</v>
      </c>
      <c r="E43" s="1">
        <v>46059</v>
      </c>
      <c r="F43" s="1">
        <v>46089</v>
      </c>
      <c r="G43" t="s">
        <v>81</v>
      </c>
      <c r="H43">
        <v>11557</v>
      </c>
      <c r="I43" t="s">
        <v>39</v>
      </c>
      <c r="J43" t="b">
        <v>0</v>
      </c>
      <c r="K43">
        <v>30</v>
      </c>
      <c r="L43">
        <v>3</v>
      </c>
      <c r="M43">
        <v>2026</v>
      </c>
      <c r="N43">
        <v>6</v>
      </c>
      <c r="O43">
        <v>2</v>
      </c>
      <c r="P43">
        <v>2026</v>
      </c>
      <c r="Q43">
        <v>4</v>
      </c>
      <c r="R43" t="s">
        <v>66</v>
      </c>
      <c r="S43" t="s">
        <v>67</v>
      </c>
      <c r="T43" t="s">
        <v>139</v>
      </c>
      <c r="U43" t="s">
        <v>40</v>
      </c>
      <c r="V43" t="s">
        <v>105</v>
      </c>
      <c r="W43" t="s">
        <v>106</v>
      </c>
      <c r="X43" t="s">
        <v>45</v>
      </c>
      <c r="Y43">
        <v>140</v>
      </c>
      <c r="Z43" t="s">
        <v>84</v>
      </c>
      <c r="AA43" t="s">
        <v>85</v>
      </c>
      <c r="AB43" s="1">
        <v>46089</v>
      </c>
      <c r="AC43" t="s">
        <v>66</v>
      </c>
      <c r="AD43" t="s">
        <v>40</v>
      </c>
      <c r="AE43" t="s">
        <v>60</v>
      </c>
      <c r="AF43" t="s">
        <v>40</v>
      </c>
      <c r="AG43">
        <v>0</v>
      </c>
      <c r="AH43" t="s">
        <v>70</v>
      </c>
    </row>
    <row r="44" spans="1:34" x14ac:dyDescent="0.3">
      <c r="A44" t="s">
        <v>200</v>
      </c>
      <c r="B44" t="s">
        <v>201</v>
      </c>
      <c r="C44" t="s">
        <v>155</v>
      </c>
      <c r="D44" t="s">
        <v>130</v>
      </c>
      <c r="E44" s="1">
        <v>46346</v>
      </c>
      <c r="F44" s="1">
        <v>46349</v>
      </c>
      <c r="G44" t="s">
        <v>64</v>
      </c>
      <c r="H44">
        <v>2825</v>
      </c>
      <c r="I44" t="s">
        <v>39</v>
      </c>
      <c r="J44" t="b">
        <v>0</v>
      </c>
      <c r="K44">
        <v>3</v>
      </c>
      <c r="L44">
        <v>11</v>
      </c>
      <c r="M44">
        <v>2026</v>
      </c>
      <c r="N44">
        <v>0</v>
      </c>
      <c r="O44">
        <v>11</v>
      </c>
      <c r="P44">
        <v>2026</v>
      </c>
      <c r="Q44">
        <v>4</v>
      </c>
      <c r="R44" t="s">
        <v>40</v>
      </c>
      <c r="S44" t="s">
        <v>55</v>
      </c>
      <c r="T44" t="s">
        <v>42</v>
      </c>
      <c r="U44" t="s">
        <v>66</v>
      </c>
      <c r="V44" t="s">
        <v>156</v>
      </c>
      <c r="W44" t="s">
        <v>157</v>
      </c>
      <c r="X44" t="s">
        <v>158</v>
      </c>
      <c r="Y44">
        <v>70</v>
      </c>
      <c r="Z44" t="s">
        <v>133</v>
      </c>
      <c r="AA44" t="s">
        <v>134</v>
      </c>
      <c r="AB44" s="1">
        <v>46349</v>
      </c>
      <c r="AC44" t="s">
        <v>40</v>
      </c>
      <c r="AD44" t="s">
        <v>40</v>
      </c>
      <c r="AE44" t="s">
        <v>86</v>
      </c>
      <c r="AF44" t="s">
        <v>40</v>
      </c>
      <c r="AG44">
        <v>0</v>
      </c>
      <c r="AH44" t="s">
        <v>100</v>
      </c>
    </row>
    <row r="45" spans="1:34" x14ac:dyDescent="0.3">
      <c r="A45" t="s">
        <v>202</v>
      </c>
      <c r="B45" t="s">
        <v>203</v>
      </c>
      <c r="C45" t="s">
        <v>155</v>
      </c>
      <c r="D45" t="s">
        <v>104</v>
      </c>
      <c r="E45" s="1">
        <v>46091</v>
      </c>
      <c r="F45" s="1">
        <v>46098</v>
      </c>
      <c r="G45" t="s">
        <v>38</v>
      </c>
      <c r="H45">
        <v>5505</v>
      </c>
      <c r="I45" t="s">
        <v>39</v>
      </c>
      <c r="J45" t="b">
        <v>0</v>
      </c>
      <c r="K45">
        <v>7</v>
      </c>
      <c r="L45">
        <v>3</v>
      </c>
      <c r="M45">
        <v>2026</v>
      </c>
      <c r="N45">
        <v>1</v>
      </c>
      <c r="O45">
        <v>3</v>
      </c>
      <c r="P45">
        <v>2026</v>
      </c>
      <c r="Q45">
        <v>1</v>
      </c>
      <c r="R45" t="s">
        <v>40</v>
      </c>
      <c r="S45" t="s">
        <v>41</v>
      </c>
      <c r="T45" t="s">
        <v>42</v>
      </c>
      <c r="U45" t="s">
        <v>66</v>
      </c>
      <c r="V45" t="s">
        <v>156</v>
      </c>
      <c r="W45" t="s">
        <v>157</v>
      </c>
      <c r="X45" t="s">
        <v>158</v>
      </c>
      <c r="Y45">
        <v>70</v>
      </c>
      <c r="Z45" t="s">
        <v>107</v>
      </c>
      <c r="AA45" t="s">
        <v>108</v>
      </c>
      <c r="AB45" s="1">
        <v>46098</v>
      </c>
      <c r="AC45" t="s">
        <v>40</v>
      </c>
      <c r="AD45" t="s">
        <v>40</v>
      </c>
      <c r="AE45" t="s">
        <v>60</v>
      </c>
      <c r="AF45" t="s">
        <v>40</v>
      </c>
      <c r="AG45">
        <v>0</v>
      </c>
      <c r="AH45" t="s">
        <v>100</v>
      </c>
    </row>
    <row r="46" spans="1:34" x14ac:dyDescent="0.3">
      <c r="A46" t="s">
        <v>204</v>
      </c>
      <c r="B46" t="s">
        <v>205</v>
      </c>
      <c r="C46" t="s">
        <v>52</v>
      </c>
      <c r="D46" t="s">
        <v>104</v>
      </c>
      <c r="E46" s="1">
        <v>45797</v>
      </c>
      <c r="F46" s="1">
        <v>45804</v>
      </c>
      <c r="G46" t="s">
        <v>41</v>
      </c>
      <c r="H46">
        <v>7804</v>
      </c>
      <c r="I46" t="s">
        <v>39</v>
      </c>
      <c r="J46" t="b">
        <v>0</v>
      </c>
      <c r="K46">
        <v>7</v>
      </c>
      <c r="L46">
        <v>5</v>
      </c>
      <c r="M46">
        <v>2025</v>
      </c>
      <c r="N46">
        <v>1</v>
      </c>
      <c r="O46">
        <v>5</v>
      </c>
      <c r="P46">
        <v>2025</v>
      </c>
      <c r="Q46">
        <v>1</v>
      </c>
      <c r="R46" t="s">
        <v>40</v>
      </c>
      <c r="S46" t="s">
        <v>55</v>
      </c>
      <c r="T46" t="s">
        <v>42</v>
      </c>
      <c r="U46" t="s">
        <v>40</v>
      </c>
      <c r="V46" t="s">
        <v>56</v>
      </c>
      <c r="W46" t="s">
        <v>57</v>
      </c>
      <c r="X46" t="s">
        <v>45</v>
      </c>
      <c r="Y46">
        <v>120</v>
      </c>
      <c r="Z46" t="s">
        <v>107</v>
      </c>
      <c r="AA46" t="s">
        <v>108</v>
      </c>
      <c r="AB46" s="1">
        <v>45804</v>
      </c>
      <c r="AC46" t="s">
        <v>40</v>
      </c>
      <c r="AD46" t="s">
        <v>40</v>
      </c>
      <c r="AE46" t="s">
        <v>69</v>
      </c>
      <c r="AF46" t="s">
        <v>40</v>
      </c>
      <c r="AG46">
        <v>0</v>
      </c>
      <c r="AH46" t="s">
        <v>100</v>
      </c>
    </row>
    <row r="47" spans="1:34" x14ac:dyDescent="0.3">
      <c r="A47" t="s">
        <v>206</v>
      </c>
      <c r="B47" t="s">
        <v>207</v>
      </c>
      <c r="C47" t="s">
        <v>36</v>
      </c>
      <c r="D47" t="s">
        <v>80</v>
      </c>
      <c r="E47" s="1">
        <v>45689</v>
      </c>
      <c r="F47" s="1">
        <v>45749</v>
      </c>
      <c r="G47" t="s">
        <v>38</v>
      </c>
      <c r="H47">
        <v>4625</v>
      </c>
      <c r="I47" t="s">
        <v>39</v>
      </c>
      <c r="J47" t="b">
        <v>0</v>
      </c>
      <c r="K47">
        <v>60</v>
      </c>
      <c r="L47">
        <v>4</v>
      </c>
      <c r="M47">
        <v>2025</v>
      </c>
      <c r="N47">
        <v>2</v>
      </c>
      <c r="O47">
        <v>2</v>
      </c>
      <c r="P47">
        <v>2025</v>
      </c>
      <c r="Q47">
        <v>5</v>
      </c>
      <c r="R47" t="s">
        <v>40</v>
      </c>
      <c r="S47" t="s">
        <v>55</v>
      </c>
      <c r="T47" t="s">
        <v>113</v>
      </c>
      <c r="U47" t="s">
        <v>40</v>
      </c>
      <c r="V47" t="s">
        <v>43</v>
      </c>
      <c r="W47" t="s">
        <v>44</v>
      </c>
      <c r="X47" t="s">
        <v>45</v>
      </c>
      <c r="Y47">
        <v>150</v>
      </c>
      <c r="Z47" t="s">
        <v>84</v>
      </c>
      <c r="AA47" t="s">
        <v>85</v>
      </c>
      <c r="AB47" s="1">
        <v>45749</v>
      </c>
      <c r="AC47" t="s">
        <v>40</v>
      </c>
      <c r="AD47" t="s">
        <v>40</v>
      </c>
      <c r="AE47" t="s">
        <v>69</v>
      </c>
      <c r="AF47" t="s">
        <v>40</v>
      </c>
      <c r="AG47">
        <v>0</v>
      </c>
      <c r="AH47" t="s">
        <v>61</v>
      </c>
    </row>
    <row r="48" spans="1:34" x14ac:dyDescent="0.3">
      <c r="A48" t="s">
        <v>208</v>
      </c>
      <c r="B48" t="s">
        <v>209</v>
      </c>
      <c r="C48" t="s">
        <v>146</v>
      </c>
      <c r="D48" t="s">
        <v>80</v>
      </c>
      <c r="E48" s="1">
        <v>45773</v>
      </c>
      <c r="F48" s="1">
        <v>45803</v>
      </c>
      <c r="G48" t="s">
        <v>81</v>
      </c>
      <c r="H48">
        <v>10940</v>
      </c>
      <c r="I48" t="s">
        <v>39</v>
      </c>
      <c r="J48" t="b">
        <v>0</v>
      </c>
      <c r="K48">
        <v>30</v>
      </c>
      <c r="L48">
        <v>5</v>
      </c>
      <c r="M48">
        <v>2025</v>
      </c>
      <c r="N48">
        <v>0</v>
      </c>
      <c r="O48">
        <v>4</v>
      </c>
      <c r="P48">
        <v>2025</v>
      </c>
      <c r="Q48">
        <v>5</v>
      </c>
      <c r="R48" t="s">
        <v>40</v>
      </c>
      <c r="S48" t="s">
        <v>55</v>
      </c>
      <c r="T48" t="s">
        <v>113</v>
      </c>
      <c r="U48" t="s">
        <v>40</v>
      </c>
      <c r="V48" t="s">
        <v>147</v>
      </c>
      <c r="W48" t="s">
        <v>148</v>
      </c>
      <c r="X48" t="s">
        <v>45</v>
      </c>
      <c r="Y48">
        <v>160</v>
      </c>
      <c r="Z48" t="s">
        <v>84</v>
      </c>
      <c r="AA48" t="s">
        <v>85</v>
      </c>
      <c r="AB48" s="1">
        <v>45803</v>
      </c>
      <c r="AC48" t="s">
        <v>40</v>
      </c>
      <c r="AD48" t="s">
        <v>40</v>
      </c>
      <c r="AE48" t="s">
        <v>69</v>
      </c>
      <c r="AF48" t="s">
        <v>40</v>
      </c>
      <c r="AG48">
        <v>0</v>
      </c>
      <c r="AH48" t="s">
        <v>70</v>
      </c>
    </row>
    <row r="49" spans="1:34" x14ac:dyDescent="0.3">
      <c r="A49" t="s">
        <v>210</v>
      </c>
      <c r="B49" t="s">
        <v>211</v>
      </c>
      <c r="C49" t="s">
        <v>103</v>
      </c>
      <c r="D49" t="s">
        <v>130</v>
      </c>
      <c r="E49" s="1">
        <v>46327</v>
      </c>
      <c r="F49" s="1">
        <v>46387</v>
      </c>
      <c r="G49" t="s">
        <v>81</v>
      </c>
      <c r="H49">
        <v>9355</v>
      </c>
      <c r="I49" t="s">
        <v>212</v>
      </c>
      <c r="J49" t="b">
        <v>0</v>
      </c>
      <c r="K49">
        <v>60</v>
      </c>
      <c r="L49">
        <v>12</v>
      </c>
      <c r="M49">
        <v>2026</v>
      </c>
      <c r="N49">
        <v>3</v>
      </c>
      <c r="O49">
        <v>11</v>
      </c>
      <c r="P49">
        <v>2026</v>
      </c>
      <c r="Q49">
        <v>6</v>
      </c>
      <c r="R49" t="s">
        <v>40</v>
      </c>
      <c r="S49" t="s">
        <v>45</v>
      </c>
      <c r="T49" t="s">
        <v>42</v>
      </c>
      <c r="U49" t="s">
        <v>40</v>
      </c>
      <c r="V49" t="s">
        <v>105</v>
      </c>
      <c r="W49" t="s">
        <v>106</v>
      </c>
      <c r="X49" t="s">
        <v>45</v>
      </c>
      <c r="Y49">
        <v>140</v>
      </c>
      <c r="Z49" t="s">
        <v>133</v>
      </c>
      <c r="AA49" t="s">
        <v>134</v>
      </c>
      <c r="AB49" s="1">
        <v>46387</v>
      </c>
      <c r="AC49" t="s">
        <v>40</v>
      </c>
      <c r="AD49" t="s">
        <v>40</v>
      </c>
      <c r="AE49" t="s">
        <v>69</v>
      </c>
      <c r="AF49" t="s">
        <v>40</v>
      </c>
      <c r="AG49">
        <v>0</v>
      </c>
      <c r="AH49" t="s">
        <v>61</v>
      </c>
    </row>
    <row r="50" spans="1:34" x14ac:dyDescent="0.3">
      <c r="A50" t="s">
        <v>213</v>
      </c>
      <c r="B50" t="s">
        <v>214</v>
      </c>
      <c r="C50" t="s">
        <v>155</v>
      </c>
      <c r="D50" t="s">
        <v>80</v>
      </c>
      <c r="E50" s="1">
        <v>45830</v>
      </c>
      <c r="F50" s="1">
        <v>45844</v>
      </c>
      <c r="G50" t="s">
        <v>81</v>
      </c>
      <c r="H50">
        <v>10714</v>
      </c>
      <c r="I50" t="s">
        <v>54</v>
      </c>
      <c r="J50" t="b">
        <v>0</v>
      </c>
      <c r="K50">
        <v>14</v>
      </c>
      <c r="L50">
        <v>7</v>
      </c>
      <c r="M50">
        <v>2025</v>
      </c>
      <c r="N50">
        <v>6</v>
      </c>
      <c r="O50">
        <v>6</v>
      </c>
      <c r="P50">
        <v>2025</v>
      </c>
      <c r="Q50">
        <v>6</v>
      </c>
      <c r="R50" t="s">
        <v>66</v>
      </c>
      <c r="S50" t="s">
        <v>45</v>
      </c>
      <c r="T50" t="s">
        <v>113</v>
      </c>
      <c r="U50" t="s">
        <v>40</v>
      </c>
      <c r="V50" t="s">
        <v>156</v>
      </c>
      <c r="W50" t="s">
        <v>157</v>
      </c>
      <c r="X50" t="s">
        <v>158</v>
      </c>
      <c r="Y50">
        <v>70</v>
      </c>
      <c r="Z50" t="s">
        <v>84</v>
      </c>
      <c r="AA50" t="s">
        <v>85</v>
      </c>
      <c r="AB50" s="1">
        <v>45844</v>
      </c>
      <c r="AC50" t="s">
        <v>66</v>
      </c>
      <c r="AD50" t="s">
        <v>40</v>
      </c>
      <c r="AE50" t="s">
        <v>86</v>
      </c>
      <c r="AF50" t="s">
        <v>40</v>
      </c>
      <c r="AG50">
        <v>1</v>
      </c>
      <c r="AH50" t="s">
        <v>70</v>
      </c>
    </row>
    <row r="51" spans="1:34" x14ac:dyDescent="0.3">
      <c r="A51" t="s">
        <v>215</v>
      </c>
      <c r="B51" t="s">
        <v>216</v>
      </c>
      <c r="C51" t="s">
        <v>52</v>
      </c>
      <c r="D51" t="s">
        <v>53</v>
      </c>
      <c r="E51" s="1">
        <v>46329</v>
      </c>
      <c r="F51" s="1">
        <v>46332</v>
      </c>
      <c r="G51" t="s">
        <v>38</v>
      </c>
      <c r="H51">
        <v>4819</v>
      </c>
      <c r="I51" t="s">
        <v>39</v>
      </c>
      <c r="J51" t="b">
        <v>0</v>
      </c>
      <c r="K51">
        <v>3</v>
      </c>
      <c r="L51">
        <v>11</v>
      </c>
      <c r="M51">
        <v>2026</v>
      </c>
      <c r="N51">
        <v>4</v>
      </c>
      <c r="O51">
        <v>11</v>
      </c>
      <c r="P51">
        <v>2026</v>
      </c>
      <c r="Q51">
        <v>1</v>
      </c>
      <c r="R51" t="s">
        <v>40</v>
      </c>
      <c r="S51" t="s">
        <v>67</v>
      </c>
      <c r="T51" t="s">
        <v>42</v>
      </c>
      <c r="U51" t="s">
        <v>40</v>
      </c>
      <c r="V51" t="s">
        <v>56</v>
      </c>
      <c r="W51" t="s">
        <v>57</v>
      </c>
      <c r="X51" t="s">
        <v>45</v>
      </c>
      <c r="Y51">
        <v>120</v>
      </c>
      <c r="Z51" t="s">
        <v>58</v>
      </c>
      <c r="AA51" t="s">
        <v>59</v>
      </c>
      <c r="AB51" s="1">
        <v>46332</v>
      </c>
      <c r="AC51" t="s">
        <v>40</v>
      </c>
      <c r="AD51" t="s">
        <v>40</v>
      </c>
      <c r="AE51" t="s">
        <v>86</v>
      </c>
      <c r="AF51" t="s">
        <v>40</v>
      </c>
      <c r="AG51">
        <v>0</v>
      </c>
      <c r="AH51" t="s">
        <v>100</v>
      </c>
    </row>
    <row r="52" spans="1:34" x14ac:dyDescent="0.3">
      <c r="A52" t="s">
        <v>217</v>
      </c>
      <c r="B52" t="s">
        <v>218</v>
      </c>
      <c r="C52" t="s">
        <v>169</v>
      </c>
      <c r="D52" t="s">
        <v>37</v>
      </c>
      <c r="E52" s="1">
        <v>46082</v>
      </c>
      <c r="F52" s="1">
        <v>46096</v>
      </c>
      <c r="G52" t="s">
        <v>64</v>
      </c>
      <c r="H52">
        <v>3025</v>
      </c>
      <c r="I52" t="s">
        <v>212</v>
      </c>
      <c r="J52" t="b">
        <v>0</v>
      </c>
      <c r="K52">
        <v>14</v>
      </c>
      <c r="L52">
        <v>3</v>
      </c>
      <c r="M52">
        <v>2026</v>
      </c>
      <c r="N52">
        <v>6</v>
      </c>
      <c r="O52">
        <v>3</v>
      </c>
      <c r="P52">
        <v>2026</v>
      </c>
      <c r="Q52">
        <v>6</v>
      </c>
      <c r="R52" t="s">
        <v>66</v>
      </c>
      <c r="S52" t="s">
        <v>41</v>
      </c>
      <c r="T52" t="s">
        <v>123</v>
      </c>
      <c r="U52" t="s">
        <v>40</v>
      </c>
      <c r="V52" t="s">
        <v>170</v>
      </c>
      <c r="W52" t="s">
        <v>171</v>
      </c>
      <c r="X52" t="s">
        <v>126</v>
      </c>
      <c r="Y52">
        <v>90</v>
      </c>
      <c r="Z52" t="s">
        <v>46</v>
      </c>
      <c r="AA52" t="s">
        <v>47</v>
      </c>
      <c r="AB52" s="1">
        <v>46096</v>
      </c>
      <c r="AC52" t="s">
        <v>66</v>
      </c>
      <c r="AD52" t="s">
        <v>40</v>
      </c>
      <c r="AE52" t="s">
        <v>60</v>
      </c>
      <c r="AF52" t="s">
        <v>40</v>
      </c>
      <c r="AG52">
        <v>0</v>
      </c>
      <c r="AH52" t="s">
        <v>70</v>
      </c>
    </row>
    <row r="53" spans="1:34" x14ac:dyDescent="0.3">
      <c r="A53" t="s">
        <v>219</v>
      </c>
      <c r="B53" t="s">
        <v>220</v>
      </c>
      <c r="C53" t="s">
        <v>155</v>
      </c>
      <c r="D53" t="s">
        <v>130</v>
      </c>
      <c r="E53" s="1">
        <v>45753</v>
      </c>
      <c r="F53" s="1">
        <v>45813</v>
      </c>
      <c r="G53" t="s">
        <v>41</v>
      </c>
      <c r="H53">
        <v>6629</v>
      </c>
      <c r="I53" t="s">
        <v>39</v>
      </c>
      <c r="J53" t="b">
        <v>0</v>
      </c>
      <c r="K53">
        <v>60</v>
      </c>
      <c r="L53">
        <v>6</v>
      </c>
      <c r="M53">
        <v>2025</v>
      </c>
      <c r="N53">
        <v>3</v>
      </c>
      <c r="O53">
        <v>4</v>
      </c>
      <c r="P53">
        <v>2025</v>
      </c>
      <c r="Q53">
        <v>6</v>
      </c>
      <c r="R53" t="s">
        <v>40</v>
      </c>
      <c r="S53" t="s">
        <v>45</v>
      </c>
      <c r="T53" t="s">
        <v>42</v>
      </c>
      <c r="U53" t="s">
        <v>66</v>
      </c>
      <c r="V53" t="s">
        <v>156</v>
      </c>
      <c r="W53" t="s">
        <v>157</v>
      </c>
      <c r="X53" t="s">
        <v>158</v>
      </c>
      <c r="Y53">
        <v>70</v>
      </c>
      <c r="Z53" t="s">
        <v>133</v>
      </c>
      <c r="AA53" t="s">
        <v>134</v>
      </c>
      <c r="AB53" s="1">
        <v>45813</v>
      </c>
      <c r="AC53" t="s">
        <v>40</v>
      </c>
      <c r="AD53" t="s">
        <v>40</v>
      </c>
      <c r="AE53" t="s">
        <v>60</v>
      </c>
      <c r="AF53" t="s">
        <v>40</v>
      </c>
      <c r="AG53">
        <v>0</v>
      </c>
      <c r="AH53" t="s">
        <v>61</v>
      </c>
    </row>
    <row r="54" spans="1:34" x14ac:dyDescent="0.3">
      <c r="A54" t="s">
        <v>221</v>
      </c>
      <c r="B54" t="s">
        <v>222</v>
      </c>
      <c r="C54" t="s">
        <v>79</v>
      </c>
      <c r="D54" t="s">
        <v>53</v>
      </c>
      <c r="E54" s="1">
        <v>46003</v>
      </c>
      <c r="F54" s="1">
        <v>46033</v>
      </c>
      <c r="G54" t="s">
        <v>38</v>
      </c>
      <c r="H54">
        <v>5487</v>
      </c>
      <c r="I54" t="s">
        <v>54</v>
      </c>
      <c r="J54" t="b">
        <v>0</v>
      </c>
      <c r="K54">
        <v>30</v>
      </c>
      <c r="L54">
        <v>1</v>
      </c>
      <c r="M54">
        <v>2026</v>
      </c>
      <c r="N54">
        <v>6</v>
      </c>
      <c r="O54">
        <v>12</v>
      </c>
      <c r="P54">
        <v>2025</v>
      </c>
      <c r="Q54">
        <v>4</v>
      </c>
      <c r="R54" t="s">
        <v>66</v>
      </c>
      <c r="S54" t="s">
        <v>41</v>
      </c>
      <c r="T54" t="s">
        <v>123</v>
      </c>
      <c r="U54" t="s">
        <v>40</v>
      </c>
      <c r="V54" t="s">
        <v>82</v>
      </c>
      <c r="W54" t="s">
        <v>83</v>
      </c>
      <c r="X54" t="s">
        <v>76</v>
      </c>
      <c r="Y54">
        <v>100</v>
      </c>
      <c r="Z54" t="s">
        <v>58</v>
      </c>
      <c r="AA54" t="s">
        <v>59</v>
      </c>
      <c r="AB54" s="1">
        <v>46033</v>
      </c>
      <c r="AC54" t="s">
        <v>66</v>
      </c>
      <c r="AD54" t="s">
        <v>40</v>
      </c>
      <c r="AE54" t="s">
        <v>86</v>
      </c>
      <c r="AF54" t="s">
        <v>40</v>
      </c>
      <c r="AG54">
        <v>1</v>
      </c>
      <c r="AH54" t="s">
        <v>70</v>
      </c>
    </row>
    <row r="55" spans="1:34" x14ac:dyDescent="0.3">
      <c r="A55" t="s">
        <v>223</v>
      </c>
      <c r="B55" t="s">
        <v>224</v>
      </c>
      <c r="C55" t="s">
        <v>129</v>
      </c>
      <c r="D55" t="s">
        <v>104</v>
      </c>
      <c r="E55" s="1">
        <v>45674</v>
      </c>
      <c r="F55" s="1">
        <v>45677</v>
      </c>
      <c r="G55" t="s">
        <v>38</v>
      </c>
      <c r="H55">
        <v>3502</v>
      </c>
      <c r="I55" t="s">
        <v>65</v>
      </c>
      <c r="J55" t="b">
        <v>0</v>
      </c>
      <c r="K55">
        <v>3</v>
      </c>
      <c r="L55">
        <v>1</v>
      </c>
      <c r="M55">
        <v>2025</v>
      </c>
      <c r="N55">
        <v>0</v>
      </c>
      <c r="O55">
        <v>1</v>
      </c>
      <c r="P55">
        <v>2025</v>
      </c>
      <c r="Q55">
        <v>4</v>
      </c>
      <c r="R55" t="s">
        <v>40</v>
      </c>
      <c r="S55" t="s">
        <v>45</v>
      </c>
      <c r="T55" t="s">
        <v>42</v>
      </c>
      <c r="U55" t="s">
        <v>66</v>
      </c>
      <c r="V55" t="s">
        <v>131</v>
      </c>
      <c r="W55" t="s">
        <v>132</v>
      </c>
      <c r="X55" t="s">
        <v>45</v>
      </c>
      <c r="Y55">
        <v>110</v>
      </c>
      <c r="Z55" t="s">
        <v>107</v>
      </c>
      <c r="AA55" t="s">
        <v>108</v>
      </c>
      <c r="AB55" s="1">
        <v>45677</v>
      </c>
      <c r="AC55" t="s">
        <v>40</v>
      </c>
      <c r="AD55" t="s">
        <v>40</v>
      </c>
      <c r="AE55" t="s">
        <v>86</v>
      </c>
      <c r="AF55" t="s">
        <v>40</v>
      </c>
      <c r="AG55">
        <v>0</v>
      </c>
      <c r="AH55" t="s">
        <v>100</v>
      </c>
    </row>
    <row r="56" spans="1:34" x14ac:dyDescent="0.3">
      <c r="A56" t="s">
        <v>225</v>
      </c>
      <c r="B56" t="s">
        <v>226</v>
      </c>
      <c r="C56" t="s">
        <v>97</v>
      </c>
      <c r="D56" t="s">
        <v>53</v>
      </c>
      <c r="E56" s="1">
        <v>45753</v>
      </c>
      <c r="F56" s="1">
        <v>45783</v>
      </c>
      <c r="G56" t="s">
        <v>81</v>
      </c>
      <c r="H56">
        <v>6924</v>
      </c>
      <c r="I56" t="s">
        <v>65</v>
      </c>
      <c r="J56" t="b">
        <v>0</v>
      </c>
      <c r="K56">
        <v>30</v>
      </c>
      <c r="L56">
        <v>5</v>
      </c>
      <c r="M56">
        <v>2025</v>
      </c>
      <c r="N56">
        <v>1</v>
      </c>
      <c r="O56">
        <v>4</v>
      </c>
      <c r="P56">
        <v>2025</v>
      </c>
      <c r="Q56">
        <v>6</v>
      </c>
      <c r="R56" t="s">
        <v>40</v>
      </c>
      <c r="S56" t="s">
        <v>45</v>
      </c>
      <c r="T56" t="s">
        <v>113</v>
      </c>
      <c r="U56" t="s">
        <v>66</v>
      </c>
      <c r="V56" t="s">
        <v>98</v>
      </c>
      <c r="W56" t="s">
        <v>99</v>
      </c>
      <c r="X56" t="s">
        <v>76</v>
      </c>
      <c r="Y56">
        <v>80</v>
      </c>
      <c r="Z56" t="s">
        <v>58</v>
      </c>
      <c r="AA56" t="s">
        <v>59</v>
      </c>
      <c r="AB56" s="1">
        <v>45783</v>
      </c>
      <c r="AC56" t="s">
        <v>40</v>
      </c>
      <c r="AD56" t="s">
        <v>40</v>
      </c>
      <c r="AE56" t="s">
        <v>69</v>
      </c>
      <c r="AF56" t="s">
        <v>40</v>
      </c>
      <c r="AG56">
        <v>0</v>
      </c>
      <c r="AH56" t="s">
        <v>70</v>
      </c>
    </row>
    <row r="57" spans="1:34" x14ac:dyDescent="0.3">
      <c r="A57" t="s">
        <v>227</v>
      </c>
      <c r="B57" t="s">
        <v>228</v>
      </c>
      <c r="C57" t="s">
        <v>129</v>
      </c>
      <c r="D57" t="s">
        <v>130</v>
      </c>
      <c r="E57" s="1">
        <v>45755</v>
      </c>
      <c r="F57" s="1">
        <v>45756</v>
      </c>
      <c r="G57" t="s">
        <v>41</v>
      </c>
      <c r="H57">
        <v>7127</v>
      </c>
      <c r="I57" t="s">
        <v>54</v>
      </c>
      <c r="J57" t="b">
        <v>0</v>
      </c>
      <c r="K57">
        <v>1</v>
      </c>
      <c r="L57">
        <v>4</v>
      </c>
      <c r="M57">
        <v>2025</v>
      </c>
      <c r="N57">
        <v>2</v>
      </c>
      <c r="O57">
        <v>4</v>
      </c>
      <c r="P57">
        <v>2025</v>
      </c>
      <c r="Q57">
        <v>1</v>
      </c>
      <c r="R57" t="s">
        <v>40</v>
      </c>
      <c r="S57" t="s">
        <v>41</v>
      </c>
      <c r="T57" t="s">
        <v>42</v>
      </c>
      <c r="U57" t="s">
        <v>40</v>
      </c>
      <c r="V57" t="s">
        <v>131</v>
      </c>
      <c r="W57" t="s">
        <v>132</v>
      </c>
      <c r="X57" t="s">
        <v>45</v>
      </c>
      <c r="Y57">
        <v>110</v>
      </c>
      <c r="Z57" t="s">
        <v>133</v>
      </c>
      <c r="AA57" t="s">
        <v>134</v>
      </c>
      <c r="AB57" s="1">
        <v>45756</v>
      </c>
      <c r="AC57" t="s">
        <v>40</v>
      </c>
      <c r="AD57" t="s">
        <v>40</v>
      </c>
      <c r="AE57" t="s">
        <v>69</v>
      </c>
      <c r="AF57" t="s">
        <v>40</v>
      </c>
      <c r="AG57">
        <v>1</v>
      </c>
      <c r="AH57" t="s">
        <v>100</v>
      </c>
    </row>
    <row r="58" spans="1:34" x14ac:dyDescent="0.3">
      <c r="A58" t="s">
        <v>229</v>
      </c>
      <c r="B58" t="s">
        <v>230</v>
      </c>
      <c r="C58" t="s">
        <v>36</v>
      </c>
      <c r="D58" t="s">
        <v>104</v>
      </c>
      <c r="E58" s="1">
        <v>45793</v>
      </c>
      <c r="F58" s="1">
        <v>45807</v>
      </c>
      <c r="G58" t="s">
        <v>38</v>
      </c>
      <c r="H58">
        <v>3919</v>
      </c>
      <c r="I58" t="s">
        <v>39</v>
      </c>
      <c r="J58" t="b">
        <v>0</v>
      </c>
      <c r="K58">
        <v>14</v>
      </c>
      <c r="L58">
        <v>5</v>
      </c>
      <c r="M58">
        <v>2025</v>
      </c>
      <c r="N58">
        <v>4</v>
      </c>
      <c r="O58">
        <v>5</v>
      </c>
      <c r="P58">
        <v>2025</v>
      </c>
      <c r="Q58">
        <v>4</v>
      </c>
      <c r="R58" t="s">
        <v>40</v>
      </c>
      <c r="S58" t="s">
        <v>45</v>
      </c>
      <c r="T58" t="s">
        <v>68</v>
      </c>
      <c r="U58" t="s">
        <v>66</v>
      </c>
      <c r="V58" t="s">
        <v>43</v>
      </c>
      <c r="W58" t="s">
        <v>44</v>
      </c>
      <c r="X58" t="s">
        <v>45</v>
      </c>
      <c r="Y58">
        <v>150</v>
      </c>
      <c r="Z58" t="s">
        <v>107</v>
      </c>
      <c r="AA58" t="s">
        <v>108</v>
      </c>
      <c r="AB58" s="1">
        <v>45807</v>
      </c>
      <c r="AC58" t="s">
        <v>40</v>
      </c>
      <c r="AD58" t="s">
        <v>40</v>
      </c>
      <c r="AE58" t="s">
        <v>69</v>
      </c>
      <c r="AF58" t="s">
        <v>40</v>
      </c>
      <c r="AG58">
        <v>0</v>
      </c>
      <c r="AH58" t="s">
        <v>70</v>
      </c>
    </row>
    <row r="59" spans="1:34" x14ac:dyDescent="0.3">
      <c r="A59" t="s">
        <v>231</v>
      </c>
      <c r="B59" t="s">
        <v>232</v>
      </c>
      <c r="C59" t="s">
        <v>129</v>
      </c>
      <c r="D59" t="s">
        <v>37</v>
      </c>
      <c r="E59" s="1">
        <v>45804</v>
      </c>
      <c r="F59" s="1">
        <v>45805</v>
      </c>
      <c r="G59" t="s">
        <v>64</v>
      </c>
      <c r="H59">
        <v>3531</v>
      </c>
      <c r="I59" t="s">
        <v>39</v>
      </c>
      <c r="J59" t="b">
        <v>0</v>
      </c>
      <c r="K59">
        <v>1</v>
      </c>
      <c r="L59">
        <v>5</v>
      </c>
      <c r="M59">
        <v>2025</v>
      </c>
      <c r="N59">
        <v>2</v>
      </c>
      <c r="O59">
        <v>5</v>
      </c>
      <c r="P59">
        <v>2025</v>
      </c>
      <c r="Q59">
        <v>1</v>
      </c>
      <c r="R59" t="s">
        <v>40</v>
      </c>
      <c r="S59" t="s">
        <v>41</v>
      </c>
      <c r="T59" t="s">
        <v>42</v>
      </c>
      <c r="U59" t="s">
        <v>40</v>
      </c>
      <c r="V59" t="s">
        <v>131</v>
      </c>
      <c r="W59" t="s">
        <v>132</v>
      </c>
      <c r="X59" t="s">
        <v>45</v>
      </c>
      <c r="Y59">
        <v>110</v>
      </c>
      <c r="Z59" t="s">
        <v>46</v>
      </c>
      <c r="AA59" t="s">
        <v>47</v>
      </c>
      <c r="AB59" s="1">
        <v>45805</v>
      </c>
      <c r="AC59" t="s">
        <v>40</v>
      </c>
      <c r="AD59" t="s">
        <v>40</v>
      </c>
      <c r="AE59" t="s">
        <v>69</v>
      </c>
      <c r="AF59" t="s">
        <v>40</v>
      </c>
      <c r="AG59">
        <v>0</v>
      </c>
      <c r="AH59" t="s">
        <v>100</v>
      </c>
    </row>
    <row r="60" spans="1:34" x14ac:dyDescent="0.3">
      <c r="A60" t="s">
        <v>233</v>
      </c>
      <c r="B60" t="s">
        <v>216</v>
      </c>
      <c r="C60" t="s">
        <v>155</v>
      </c>
      <c r="D60" t="s">
        <v>37</v>
      </c>
      <c r="E60" s="1">
        <v>46111</v>
      </c>
      <c r="F60" s="1">
        <v>46211</v>
      </c>
      <c r="G60" t="s">
        <v>64</v>
      </c>
      <c r="H60">
        <v>2486</v>
      </c>
      <c r="I60" t="s">
        <v>39</v>
      </c>
      <c r="J60" t="b">
        <v>0</v>
      </c>
      <c r="K60">
        <v>100</v>
      </c>
      <c r="L60">
        <v>7</v>
      </c>
      <c r="M60">
        <v>2026</v>
      </c>
      <c r="N60">
        <v>2</v>
      </c>
      <c r="O60">
        <v>3</v>
      </c>
      <c r="P60">
        <v>2026</v>
      </c>
      <c r="Q60">
        <v>0</v>
      </c>
      <c r="R60" t="s">
        <v>40</v>
      </c>
      <c r="S60" t="s">
        <v>67</v>
      </c>
      <c r="T60" t="s">
        <v>42</v>
      </c>
      <c r="U60" t="s">
        <v>40</v>
      </c>
      <c r="V60" t="s">
        <v>156</v>
      </c>
      <c r="W60" t="s">
        <v>157</v>
      </c>
      <c r="X60" t="s">
        <v>158</v>
      </c>
      <c r="Y60">
        <v>70</v>
      </c>
      <c r="Z60" t="s">
        <v>46</v>
      </c>
      <c r="AA60" t="s">
        <v>47</v>
      </c>
      <c r="AB60" s="1">
        <v>46211</v>
      </c>
      <c r="AC60" t="s">
        <v>40</v>
      </c>
      <c r="AD60" t="s">
        <v>40</v>
      </c>
      <c r="AE60" t="s">
        <v>86</v>
      </c>
      <c r="AF60" t="s">
        <v>40</v>
      </c>
      <c r="AG60">
        <v>0</v>
      </c>
      <c r="AH60" t="s">
        <v>49</v>
      </c>
    </row>
    <row r="61" spans="1:34" x14ac:dyDescent="0.3">
      <c r="A61" t="s">
        <v>234</v>
      </c>
      <c r="B61" t="s">
        <v>235</v>
      </c>
      <c r="C61" t="s">
        <v>73</v>
      </c>
      <c r="D61" t="s">
        <v>53</v>
      </c>
      <c r="E61" s="1">
        <v>46318</v>
      </c>
      <c r="F61" s="1">
        <v>46321</v>
      </c>
      <c r="G61" t="s">
        <v>81</v>
      </c>
      <c r="H61">
        <v>8183</v>
      </c>
      <c r="I61" t="s">
        <v>54</v>
      </c>
      <c r="J61" t="b">
        <v>0</v>
      </c>
      <c r="K61">
        <v>3</v>
      </c>
      <c r="L61">
        <v>10</v>
      </c>
      <c r="M61">
        <v>2026</v>
      </c>
      <c r="N61">
        <v>0</v>
      </c>
      <c r="O61">
        <v>10</v>
      </c>
      <c r="P61">
        <v>2026</v>
      </c>
      <c r="Q61">
        <v>4</v>
      </c>
      <c r="R61" t="s">
        <v>40</v>
      </c>
      <c r="S61" t="s">
        <v>41</v>
      </c>
      <c r="T61" t="s">
        <v>42</v>
      </c>
      <c r="U61" t="s">
        <v>40</v>
      </c>
      <c r="V61" t="s">
        <v>74</v>
      </c>
      <c r="W61" t="s">
        <v>75</v>
      </c>
      <c r="X61" t="s">
        <v>76</v>
      </c>
      <c r="Y61">
        <v>75</v>
      </c>
      <c r="Z61" t="s">
        <v>58</v>
      </c>
      <c r="AA61" t="s">
        <v>59</v>
      </c>
      <c r="AB61" s="1">
        <v>46321</v>
      </c>
      <c r="AC61" t="s">
        <v>40</v>
      </c>
      <c r="AD61" t="s">
        <v>40</v>
      </c>
      <c r="AE61" t="s">
        <v>60</v>
      </c>
      <c r="AF61" t="s">
        <v>40</v>
      </c>
      <c r="AG61">
        <v>1</v>
      </c>
      <c r="AH61" t="s">
        <v>100</v>
      </c>
    </row>
    <row r="62" spans="1:34" x14ac:dyDescent="0.3">
      <c r="A62" t="s">
        <v>236</v>
      </c>
      <c r="B62" t="s">
        <v>237</v>
      </c>
      <c r="C62" t="s">
        <v>169</v>
      </c>
      <c r="D62" t="s">
        <v>37</v>
      </c>
      <c r="E62" s="1">
        <v>45713</v>
      </c>
      <c r="F62" s="1">
        <v>45773</v>
      </c>
      <c r="G62" t="s">
        <v>38</v>
      </c>
      <c r="H62">
        <v>3961</v>
      </c>
      <c r="I62" t="s">
        <v>54</v>
      </c>
      <c r="J62" t="b">
        <v>0</v>
      </c>
      <c r="K62">
        <v>60</v>
      </c>
      <c r="L62">
        <v>4</v>
      </c>
      <c r="M62">
        <v>2025</v>
      </c>
      <c r="N62">
        <v>5</v>
      </c>
      <c r="O62">
        <v>2</v>
      </c>
      <c r="P62">
        <v>2025</v>
      </c>
      <c r="Q62">
        <v>1</v>
      </c>
      <c r="R62" t="s">
        <v>66</v>
      </c>
      <c r="S62" t="s">
        <v>45</v>
      </c>
      <c r="T62" t="s">
        <v>42</v>
      </c>
      <c r="U62" t="s">
        <v>40</v>
      </c>
      <c r="V62" t="s">
        <v>170</v>
      </c>
      <c r="W62" t="s">
        <v>171</v>
      </c>
      <c r="X62" t="s">
        <v>126</v>
      </c>
      <c r="Y62">
        <v>90</v>
      </c>
      <c r="Z62" t="s">
        <v>46</v>
      </c>
      <c r="AA62" t="s">
        <v>47</v>
      </c>
      <c r="AB62" s="1">
        <v>45773</v>
      </c>
      <c r="AC62" t="s">
        <v>66</v>
      </c>
      <c r="AD62" t="s">
        <v>40</v>
      </c>
      <c r="AE62" t="s">
        <v>69</v>
      </c>
      <c r="AF62" t="s">
        <v>40</v>
      </c>
      <c r="AG62">
        <v>1</v>
      </c>
      <c r="AH62" t="s">
        <v>61</v>
      </c>
    </row>
    <row r="63" spans="1:34" x14ac:dyDescent="0.3">
      <c r="A63" t="s">
        <v>238</v>
      </c>
      <c r="B63" t="s">
        <v>239</v>
      </c>
      <c r="C63" t="s">
        <v>79</v>
      </c>
      <c r="D63" t="s">
        <v>53</v>
      </c>
      <c r="E63" s="1">
        <v>45793</v>
      </c>
      <c r="F63" s="1">
        <v>45807</v>
      </c>
      <c r="G63" t="s">
        <v>41</v>
      </c>
      <c r="H63">
        <v>8909</v>
      </c>
      <c r="I63" t="s">
        <v>54</v>
      </c>
      <c r="J63" t="b">
        <v>0</v>
      </c>
      <c r="K63">
        <v>14</v>
      </c>
      <c r="L63">
        <v>5</v>
      </c>
      <c r="M63">
        <v>2025</v>
      </c>
      <c r="N63">
        <v>4</v>
      </c>
      <c r="O63">
        <v>5</v>
      </c>
      <c r="P63">
        <v>2025</v>
      </c>
      <c r="Q63">
        <v>4</v>
      </c>
      <c r="R63" t="s">
        <v>40</v>
      </c>
      <c r="S63" t="s">
        <v>41</v>
      </c>
      <c r="T63" t="s">
        <v>42</v>
      </c>
      <c r="U63" t="s">
        <v>40</v>
      </c>
      <c r="V63" t="s">
        <v>82</v>
      </c>
      <c r="W63" t="s">
        <v>83</v>
      </c>
      <c r="X63" t="s">
        <v>76</v>
      </c>
      <c r="Y63">
        <v>100</v>
      </c>
      <c r="Z63" t="s">
        <v>58</v>
      </c>
      <c r="AA63" t="s">
        <v>59</v>
      </c>
      <c r="AB63" s="1">
        <v>45807</v>
      </c>
      <c r="AC63" t="s">
        <v>40</v>
      </c>
      <c r="AD63" t="s">
        <v>40</v>
      </c>
      <c r="AE63" t="s">
        <v>69</v>
      </c>
      <c r="AF63" t="s">
        <v>40</v>
      </c>
      <c r="AG63">
        <v>1</v>
      </c>
      <c r="AH63" t="s">
        <v>70</v>
      </c>
    </row>
    <row r="64" spans="1:34" x14ac:dyDescent="0.3">
      <c r="A64" t="s">
        <v>240</v>
      </c>
      <c r="B64" t="s">
        <v>241</v>
      </c>
      <c r="C64" t="s">
        <v>36</v>
      </c>
      <c r="D64" t="s">
        <v>130</v>
      </c>
      <c r="E64" s="1">
        <v>45926</v>
      </c>
      <c r="F64" s="1">
        <v>45933</v>
      </c>
      <c r="G64" t="s">
        <v>64</v>
      </c>
      <c r="H64">
        <v>3237</v>
      </c>
      <c r="I64" t="s">
        <v>65</v>
      </c>
      <c r="J64" t="b">
        <v>0</v>
      </c>
      <c r="K64">
        <v>7</v>
      </c>
      <c r="L64">
        <v>10</v>
      </c>
      <c r="M64">
        <v>2025</v>
      </c>
      <c r="N64">
        <v>4</v>
      </c>
      <c r="O64">
        <v>9</v>
      </c>
      <c r="P64">
        <v>2025</v>
      </c>
      <c r="Q64">
        <v>4</v>
      </c>
      <c r="R64" t="s">
        <v>40</v>
      </c>
      <c r="S64" t="s">
        <v>45</v>
      </c>
      <c r="T64" t="s">
        <v>113</v>
      </c>
      <c r="U64" t="s">
        <v>66</v>
      </c>
      <c r="V64" t="s">
        <v>43</v>
      </c>
      <c r="W64" t="s">
        <v>44</v>
      </c>
      <c r="X64" t="s">
        <v>45</v>
      </c>
      <c r="Y64">
        <v>150</v>
      </c>
      <c r="Z64" t="s">
        <v>133</v>
      </c>
      <c r="AA64" t="s">
        <v>134</v>
      </c>
      <c r="AB64" s="1">
        <v>45933</v>
      </c>
      <c r="AC64" t="s">
        <v>40</v>
      </c>
      <c r="AD64" t="s">
        <v>40</v>
      </c>
      <c r="AE64" t="s">
        <v>60</v>
      </c>
      <c r="AF64" t="s">
        <v>40</v>
      </c>
      <c r="AG64">
        <v>0</v>
      </c>
      <c r="AH64" t="s">
        <v>100</v>
      </c>
    </row>
    <row r="65" spans="1:34" x14ac:dyDescent="0.3">
      <c r="A65" t="s">
        <v>242</v>
      </c>
      <c r="B65" t="s">
        <v>243</v>
      </c>
      <c r="C65" t="s">
        <v>129</v>
      </c>
      <c r="D65" t="s">
        <v>80</v>
      </c>
      <c r="E65" s="1">
        <v>46208</v>
      </c>
      <c r="F65" s="1">
        <v>46238</v>
      </c>
      <c r="G65" t="s">
        <v>81</v>
      </c>
      <c r="H65">
        <v>10688</v>
      </c>
      <c r="I65" t="s">
        <v>39</v>
      </c>
      <c r="J65" t="b">
        <v>0</v>
      </c>
      <c r="K65">
        <v>30</v>
      </c>
      <c r="L65">
        <v>8</v>
      </c>
      <c r="M65">
        <v>2026</v>
      </c>
      <c r="N65">
        <v>1</v>
      </c>
      <c r="O65">
        <v>7</v>
      </c>
      <c r="P65">
        <v>2026</v>
      </c>
      <c r="Q65">
        <v>6</v>
      </c>
      <c r="R65" t="s">
        <v>40</v>
      </c>
      <c r="S65" t="s">
        <v>55</v>
      </c>
      <c r="T65" t="s">
        <v>42</v>
      </c>
      <c r="U65" t="s">
        <v>40</v>
      </c>
      <c r="V65" t="s">
        <v>131</v>
      </c>
      <c r="W65" t="s">
        <v>132</v>
      </c>
      <c r="X65" t="s">
        <v>45</v>
      </c>
      <c r="Y65">
        <v>110</v>
      </c>
      <c r="Z65" t="s">
        <v>84</v>
      </c>
      <c r="AA65" t="s">
        <v>85</v>
      </c>
      <c r="AB65" s="1">
        <v>46238</v>
      </c>
      <c r="AC65" t="s">
        <v>40</v>
      </c>
      <c r="AD65" t="s">
        <v>40</v>
      </c>
      <c r="AE65" t="s">
        <v>86</v>
      </c>
      <c r="AF65" t="s">
        <v>40</v>
      </c>
      <c r="AG65">
        <v>0</v>
      </c>
      <c r="AH65" t="s">
        <v>70</v>
      </c>
    </row>
    <row r="66" spans="1:34" x14ac:dyDescent="0.3">
      <c r="A66" t="s">
        <v>244</v>
      </c>
      <c r="B66" t="s">
        <v>245</v>
      </c>
      <c r="C66" t="s">
        <v>155</v>
      </c>
      <c r="D66" t="s">
        <v>37</v>
      </c>
      <c r="E66" s="1">
        <v>46323</v>
      </c>
      <c r="F66" s="1">
        <v>46383</v>
      </c>
      <c r="G66" t="s">
        <v>64</v>
      </c>
      <c r="H66">
        <v>3630</v>
      </c>
      <c r="I66" t="s">
        <v>39</v>
      </c>
      <c r="J66" t="b">
        <v>0</v>
      </c>
      <c r="K66">
        <v>60</v>
      </c>
      <c r="L66">
        <v>12</v>
      </c>
      <c r="M66">
        <v>2026</v>
      </c>
      <c r="N66">
        <v>6</v>
      </c>
      <c r="O66">
        <v>10</v>
      </c>
      <c r="P66">
        <v>2026</v>
      </c>
      <c r="Q66">
        <v>2</v>
      </c>
      <c r="R66" t="s">
        <v>66</v>
      </c>
      <c r="S66" t="s">
        <v>41</v>
      </c>
      <c r="T66" t="s">
        <v>42</v>
      </c>
      <c r="U66" t="s">
        <v>40</v>
      </c>
      <c r="V66" t="s">
        <v>156</v>
      </c>
      <c r="W66" t="s">
        <v>157</v>
      </c>
      <c r="X66" t="s">
        <v>158</v>
      </c>
      <c r="Y66">
        <v>70</v>
      </c>
      <c r="Z66" t="s">
        <v>46</v>
      </c>
      <c r="AA66" t="s">
        <v>47</v>
      </c>
      <c r="AB66" s="1">
        <v>46383</v>
      </c>
      <c r="AC66" t="s">
        <v>66</v>
      </c>
      <c r="AD66" t="s">
        <v>40</v>
      </c>
      <c r="AE66" t="s">
        <v>69</v>
      </c>
      <c r="AF66" t="s">
        <v>40</v>
      </c>
      <c r="AG66">
        <v>0</v>
      </c>
      <c r="AH66" t="s">
        <v>61</v>
      </c>
    </row>
    <row r="67" spans="1:34" x14ac:dyDescent="0.3">
      <c r="A67" t="s">
        <v>246</v>
      </c>
      <c r="B67" t="s">
        <v>247</v>
      </c>
      <c r="C67" t="s">
        <v>155</v>
      </c>
      <c r="D67" t="s">
        <v>130</v>
      </c>
      <c r="E67" s="1">
        <v>45974</v>
      </c>
      <c r="F67" s="1">
        <v>46004</v>
      </c>
      <c r="G67" t="s">
        <v>38</v>
      </c>
      <c r="H67">
        <v>4062</v>
      </c>
      <c r="I67" t="s">
        <v>39</v>
      </c>
      <c r="J67" t="b">
        <v>0</v>
      </c>
      <c r="K67">
        <v>30</v>
      </c>
      <c r="L67">
        <v>12</v>
      </c>
      <c r="M67">
        <v>2025</v>
      </c>
      <c r="N67">
        <v>5</v>
      </c>
      <c r="O67">
        <v>11</v>
      </c>
      <c r="P67">
        <v>2025</v>
      </c>
      <c r="Q67">
        <v>3</v>
      </c>
      <c r="R67" t="s">
        <v>66</v>
      </c>
      <c r="S67" t="s">
        <v>55</v>
      </c>
      <c r="T67" t="s">
        <v>42</v>
      </c>
      <c r="U67" t="s">
        <v>40</v>
      </c>
      <c r="V67" t="s">
        <v>156</v>
      </c>
      <c r="W67" t="s">
        <v>157</v>
      </c>
      <c r="X67" t="s">
        <v>158</v>
      </c>
      <c r="Y67">
        <v>70</v>
      </c>
      <c r="Z67" t="s">
        <v>133</v>
      </c>
      <c r="AA67" t="s">
        <v>134</v>
      </c>
      <c r="AB67" s="1">
        <v>46004</v>
      </c>
      <c r="AC67" t="s">
        <v>66</v>
      </c>
      <c r="AD67" t="s">
        <v>40</v>
      </c>
      <c r="AE67" t="s">
        <v>69</v>
      </c>
      <c r="AF67" t="s">
        <v>40</v>
      </c>
      <c r="AG67">
        <v>0</v>
      </c>
      <c r="AH67" t="s">
        <v>70</v>
      </c>
    </row>
    <row r="68" spans="1:34" x14ac:dyDescent="0.3">
      <c r="A68" t="s">
        <v>248</v>
      </c>
      <c r="B68" t="s">
        <v>249</v>
      </c>
      <c r="C68" t="s">
        <v>97</v>
      </c>
      <c r="D68" t="s">
        <v>53</v>
      </c>
      <c r="E68" s="1">
        <v>45787</v>
      </c>
      <c r="F68" s="1">
        <v>45847</v>
      </c>
      <c r="G68" t="s">
        <v>81</v>
      </c>
      <c r="H68">
        <v>9244</v>
      </c>
      <c r="I68" t="s">
        <v>39</v>
      </c>
      <c r="J68" t="b">
        <v>0</v>
      </c>
      <c r="K68">
        <v>60</v>
      </c>
      <c r="L68">
        <v>7</v>
      </c>
      <c r="M68">
        <v>2025</v>
      </c>
      <c r="N68">
        <v>2</v>
      </c>
      <c r="O68">
        <v>5</v>
      </c>
      <c r="P68">
        <v>2025</v>
      </c>
      <c r="Q68">
        <v>5</v>
      </c>
      <c r="R68" t="s">
        <v>40</v>
      </c>
      <c r="S68" t="s">
        <v>41</v>
      </c>
      <c r="T68" t="s">
        <v>42</v>
      </c>
      <c r="U68" t="s">
        <v>40</v>
      </c>
      <c r="V68" t="s">
        <v>98</v>
      </c>
      <c r="W68" t="s">
        <v>99</v>
      </c>
      <c r="X68" t="s">
        <v>76</v>
      </c>
      <c r="Y68">
        <v>80</v>
      </c>
      <c r="Z68" t="s">
        <v>58</v>
      </c>
      <c r="AA68" t="s">
        <v>59</v>
      </c>
      <c r="AB68" s="1">
        <v>45847</v>
      </c>
      <c r="AC68" t="s">
        <v>40</v>
      </c>
      <c r="AD68" t="s">
        <v>40</v>
      </c>
      <c r="AE68" t="s">
        <v>86</v>
      </c>
      <c r="AF68" t="s">
        <v>40</v>
      </c>
      <c r="AG68">
        <v>0</v>
      </c>
      <c r="AH68" t="s">
        <v>61</v>
      </c>
    </row>
    <row r="69" spans="1:34" x14ac:dyDescent="0.3">
      <c r="A69" t="s">
        <v>250</v>
      </c>
      <c r="B69" t="s">
        <v>251</v>
      </c>
      <c r="C69" t="s">
        <v>129</v>
      </c>
      <c r="D69" t="s">
        <v>130</v>
      </c>
      <c r="E69" s="1">
        <v>46166</v>
      </c>
      <c r="F69" s="1">
        <v>46180</v>
      </c>
      <c r="G69" t="s">
        <v>81</v>
      </c>
      <c r="H69">
        <v>7867</v>
      </c>
      <c r="I69" t="s">
        <v>65</v>
      </c>
      <c r="J69" t="b">
        <v>0</v>
      </c>
      <c r="K69">
        <v>14</v>
      </c>
      <c r="L69">
        <v>6</v>
      </c>
      <c r="M69">
        <v>2026</v>
      </c>
      <c r="N69">
        <v>6</v>
      </c>
      <c r="O69">
        <v>5</v>
      </c>
      <c r="P69">
        <v>2026</v>
      </c>
      <c r="Q69">
        <v>6</v>
      </c>
      <c r="R69" t="s">
        <v>66</v>
      </c>
      <c r="S69" t="s">
        <v>55</v>
      </c>
      <c r="T69" t="s">
        <v>113</v>
      </c>
      <c r="U69" t="s">
        <v>40</v>
      </c>
      <c r="V69" t="s">
        <v>131</v>
      </c>
      <c r="W69" t="s">
        <v>132</v>
      </c>
      <c r="X69" t="s">
        <v>45</v>
      </c>
      <c r="Y69">
        <v>110</v>
      </c>
      <c r="Z69" t="s">
        <v>133</v>
      </c>
      <c r="AA69" t="s">
        <v>134</v>
      </c>
      <c r="AB69" s="1">
        <v>46180</v>
      </c>
      <c r="AC69" t="s">
        <v>66</v>
      </c>
      <c r="AD69" t="s">
        <v>40</v>
      </c>
      <c r="AE69" t="s">
        <v>60</v>
      </c>
      <c r="AF69" t="s">
        <v>40</v>
      </c>
      <c r="AG69">
        <v>0</v>
      </c>
      <c r="AH69" t="s">
        <v>70</v>
      </c>
    </row>
    <row r="70" spans="1:34" x14ac:dyDescent="0.3">
      <c r="A70" t="s">
        <v>252</v>
      </c>
      <c r="B70" t="s">
        <v>253</v>
      </c>
      <c r="C70" t="s">
        <v>73</v>
      </c>
      <c r="D70" t="s">
        <v>37</v>
      </c>
      <c r="E70" s="1">
        <v>46179</v>
      </c>
      <c r="F70" s="1">
        <v>46180</v>
      </c>
      <c r="G70" t="s">
        <v>64</v>
      </c>
      <c r="H70">
        <v>2294</v>
      </c>
      <c r="I70" t="s">
        <v>212</v>
      </c>
      <c r="J70" t="b">
        <v>0</v>
      </c>
      <c r="K70">
        <v>1</v>
      </c>
      <c r="L70">
        <v>6</v>
      </c>
      <c r="M70">
        <v>2026</v>
      </c>
      <c r="N70">
        <v>6</v>
      </c>
      <c r="O70">
        <v>6</v>
      </c>
      <c r="P70">
        <v>2026</v>
      </c>
      <c r="Q70">
        <v>5</v>
      </c>
      <c r="R70" t="s">
        <v>66</v>
      </c>
      <c r="S70" t="s">
        <v>67</v>
      </c>
      <c r="T70" t="s">
        <v>42</v>
      </c>
      <c r="U70" t="s">
        <v>40</v>
      </c>
      <c r="V70" t="s">
        <v>74</v>
      </c>
      <c r="W70" t="s">
        <v>75</v>
      </c>
      <c r="X70" t="s">
        <v>76</v>
      </c>
      <c r="Y70">
        <v>75</v>
      </c>
      <c r="Z70" t="s">
        <v>46</v>
      </c>
      <c r="AA70" t="s">
        <v>47</v>
      </c>
      <c r="AB70" s="1">
        <v>46180</v>
      </c>
      <c r="AC70" t="s">
        <v>66</v>
      </c>
      <c r="AD70" t="s">
        <v>40</v>
      </c>
      <c r="AE70" t="s">
        <v>60</v>
      </c>
      <c r="AF70" t="s">
        <v>40</v>
      </c>
      <c r="AG70">
        <v>0</v>
      </c>
      <c r="AH70" t="s">
        <v>100</v>
      </c>
    </row>
    <row r="71" spans="1:34" x14ac:dyDescent="0.3">
      <c r="A71" t="s">
        <v>254</v>
      </c>
      <c r="B71" t="s">
        <v>255</v>
      </c>
      <c r="C71" t="s">
        <v>146</v>
      </c>
      <c r="D71" t="s">
        <v>37</v>
      </c>
      <c r="E71" s="1">
        <v>46329</v>
      </c>
      <c r="F71" s="1">
        <v>46343</v>
      </c>
      <c r="G71" t="s">
        <v>81</v>
      </c>
      <c r="H71">
        <v>8722</v>
      </c>
      <c r="I71" t="s">
        <v>39</v>
      </c>
      <c r="J71" t="b">
        <v>0</v>
      </c>
      <c r="K71">
        <v>14</v>
      </c>
      <c r="L71">
        <v>11</v>
      </c>
      <c r="M71">
        <v>2026</v>
      </c>
      <c r="N71">
        <v>1</v>
      </c>
      <c r="O71">
        <v>11</v>
      </c>
      <c r="P71">
        <v>2026</v>
      </c>
      <c r="Q71">
        <v>1</v>
      </c>
      <c r="R71" t="s">
        <v>40</v>
      </c>
      <c r="S71" t="s">
        <v>45</v>
      </c>
      <c r="T71" t="s">
        <v>68</v>
      </c>
      <c r="U71" t="s">
        <v>40</v>
      </c>
      <c r="V71" t="s">
        <v>147</v>
      </c>
      <c r="W71" t="s">
        <v>148</v>
      </c>
      <c r="X71" t="s">
        <v>45</v>
      </c>
      <c r="Y71">
        <v>160</v>
      </c>
      <c r="Z71" t="s">
        <v>46</v>
      </c>
      <c r="AA71" t="s">
        <v>47</v>
      </c>
      <c r="AB71" s="1">
        <v>46343</v>
      </c>
      <c r="AC71" t="s">
        <v>40</v>
      </c>
      <c r="AD71" t="s">
        <v>40</v>
      </c>
      <c r="AE71" t="s">
        <v>86</v>
      </c>
      <c r="AF71" t="s">
        <v>40</v>
      </c>
      <c r="AG71">
        <v>0</v>
      </c>
      <c r="AH71" t="s">
        <v>70</v>
      </c>
    </row>
    <row r="72" spans="1:34" x14ac:dyDescent="0.3">
      <c r="A72" t="s">
        <v>256</v>
      </c>
      <c r="B72" t="s">
        <v>257</v>
      </c>
      <c r="C72" t="s">
        <v>97</v>
      </c>
      <c r="D72" t="s">
        <v>90</v>
      </c>
      <c r="E72" s="1">
        <v>46186</v>
      </c>
      <c r="F72" s="1">
        <v>46406</v>
      </c>
      <c r="G72" t="s">
        <v>41</v>
      </c>
      <c r="H72">
        <v>8168</v>
      </c>
      <c r="I72" t="s">
        <v>39</v>
      </c>
      <c r="J72" t="b">
        <v>0</v>
      </c>
      <c r="K72">
        <v>220</v>
      </c>
      <c r="L72">
        <v>1</v>
      </c>
      <c r="M72">
        <v>2027</v>
      </c>
      <c r="N72">
        <v>1</v>
      </c>
      <c r="O72">
        <v>6</v>
      </c>
      <c r="P72">
        <v>2026</v>
      </c>
      <c r="Q72">
        <v>5</v>
      </c>
      <c r="R72" t="s">
        <v>40</v>
      </c>
      <c r="S72" t="s">
        <v>55</v>
      </c>
      <c r="T72" t="s">
        <v>42</v>
      </c>
      <c r="U72" t="s">
        <v>40</v>
      </c>
      <c r="V72" t="s">
        <v>98</v>
      </c>
      <c r="W72" t="s">
        <v>99</v>
      </c>
      <c r="X72" t="s">
        <v>76</v>
      </c>
      <c r="Y72">
        <v>80</v>
      </c>
      <c r="Z72" t="s">
        <v>93</v>
      </c>
      <c r="AA72" t="s">
        <v>94</v>
      </c>
      <c r="AB72" s="1"/>
      <c r="AC72" t="s">
        <v>48</v>
      </c>
      <c r="AD72" t="s">
        <v>48</v>
      </c>
      <c r="AE72" t="s">
        <v>48</v>
      </c>
      <c r="AF72" t="s">
        <v>48</v>
      </c>
      <c r="AG72">
        <v>0</v>
      </c>
      <c r="AH72" t="s">
        <v>142</v>
      </c>
    </row>
    <row r="73" spans="1:34" x14ac:dyDescent="0.3">
      <c r="A73" t="s">
        <v>258</v>
      </c>
      <c r="B73" t="s">
        <v>259</v>
      </c>
      <c r="C73" t="s">
        <v>79</v>
      </c>
      <c r="D73" t="s">
        <v>90</v>
      </c>
      <c r="E73" s="1">
        <v>45956</v>
      </c>
      <c r="F73" s="1">
        <v>45986</v>
      </c>
      <c r="G73" t="s">
        <v>81</v>
      </c>
      <c r="H73">
        <v>9516</v>
      </c>
      <c r="I73" t="s">
        <v>65</v>
      </c>
      <c r="J73" t="b">
        <v>0</v>
      </c>
      <c r="K73">
        <v>30</v>
      </c>
      <c r="L73">
        <v>11</v>
      </c>
      <c r="M73">
        <v>2025</v>
      </c>
      <c r="N73">
        <v>1</v>
      </c>
      <c r="O73">
        <v>10</v>
      </c>
      <c r="P73">
        <v>2025</v>
      </c>
      <c r="Q73">
        <v>6</v>
      </c>
      <c r="R73" t="s">
        <v>40</v>
      </c>
      <c r="S73" t="s">
        <v>67</v>
      </c>
      <c r="T73" t="s">
        <v>42</v>
      </c>
      <c r="U73" t="s">
        <v>66</v>
      </c>
      <c r="V73" t="s">
        <v>82</v>
      </c>
      <c r="W73" t="s">
        <v>83</v>
      </c>
      <c r="X73" t="s">
        <v>76</v>
      </c>
      <c r="Y73">
        <v>100</v>
      </c>
      <c r="Z73" t="s">
        <v>93</v>
      </c>
      <c r="AA73" t="s">
        <v>94</v>
      </c>
      <c r="AB73" s="1">
        <v>45986</v>
      </c>
      <c r="AC73" t="s">
        <v>40</v>
      </c>
      <c r="AD73" t="s">
        <v>40</v>
      </c>
      <c r="AE73" t="s">
        <v>86</v>
      </c>
      <c r="AF73" t="s">
        <v>40</v>
      </c>
      <c r="AG73">
        <v>0</v>
      </c>
      <c r="AH73" t="s">
        <v>70</v>
      </c>
    </row>
    <row r="74" spans="1:34" x14ac:dyDescent="0.3">
      <c r="A74" t="s">
        <v>260</v>
      </c>
      <c r="B74" t="s">
        <v>261</v>
      </c>
      <c r="C74" t="s">
        <v>73</v>
      </c>
      <c r="D74" t="s">
        <v>90</v>
      </c>
      <c r="E74" s="1">
        <v>45664</v>
      </c>
      <c r="F74" s="1">
        <v>45814</v>
      </c>
      <c r="G74" t="s">
        <v>64</v>
      </c>
      <c r="H74">
        <v>3309</v>
      </c>
      <c r="I74" t="s">
        <v>54</v>
      </c>
      <c r="J74" t="b">
        <v>0</v>
      </c>
      <c r="K74">
        <v>150</v>
      </c>
      <c r="L74">
        <v>6</v>
      </c>
      <c r="M74">
        <v>2025</v>
      </c>
      <c r="N74">
        <v>4</v>
      </c>
      <c r="O74">
        <v>1</v>
      </c>
      <c r="P74">
        <v>2025</v>
      </c>
      <c r="Q74">
        <v>1</v>
      </c>
      <c r="R74" t="s">
        <v>40</v>
      </c>
      <c r="S74" t="s">
        <v>55</v>
      </c>
      <c r="T74" t="s">
        <v>42</v>
      </c>
      <c r="U74" t="s">
        <v>66</v>
      </c>
      <c r="V74" t="s">
        <v>74</v>
      </c>
      <c r="W74" t="s">
        <v>75</v>
      </c>
      <c r="X74" t="s">
        <v>76</v>
      </c>
      <c r="Y74">
        <v>75</v>
      </c>
      <c r="Z74" t="s">
        <v>93</v>
      </c>
      <c r="AA74" t="s">
        <v>94</v>
      </c>
      <c r="AB74" s="1">
        <v>45814</v>
      </c>
      <c r="AC74" t="s">
        <v>40</v>
      </c>
      <c r="AD74" t="s">
        <v>40</v>
      </c>
      <c r="AE74" t="s">
        <v>60</v>
      </c>
      <c r="AF74" t="s">
        <v>40</v>
      </c>
      <c r="AG74">
        <v>1</v>
      </c>
      <c r="AH74" t="s">
        <v>49</v>
      </c>
    </row>
    <row r="75" spans="1:34" x14ac:dyDescent="0.3">
      <c r="A75" t="s">
        <v>262</v>
      </c>
      <c r="B75" t="s">
        <v>263</v>
      </c>
      <c r="C75" t="s">
        <v>52</v>
      </c>
      <c r="D75" t="s">
        <v>37</v>
      </c>
      <c r="E75" s="1">
        <v>46043</v>
      </c>
      <c r="F75" s="1">
        <v>46143</v>
      </c>
      <c r="G75" t="s">
        <v>81</v>
      </c>
      <c r="H75">
        <v>8451</v>
      </c>
      <c r="I75" t="s">
        <v>54</v>
      </c>
      <c r="J75" t="b">
        <v>0</v>
      </c>
      <c r="K75">
        <v>100</v>
      </c>
      <c r="L75">
        <v>5</v>
      </c>
      <c r="M75">
        <v>2026</v>
      </c>
      <c r="N75">
        <v>4</v>
      </c>
      <c r="O75">
        <v>1</v>
      </c>
      <c r="P75">
        <v>2026</v>
      </c>
      <c r="Q75">
        <v>2</v>
      </c>
      <c r="R75" t="s">
        <v>40</v>
      </c>
      <c r="S75" t="s">
        <v>55</v>
      </c>
      <c r="T75" t="s">
        <v>42</v>
      </c>
      <c r="U75" t="s">
        <v>66</v>
      </c>
      <c r="V75" t="s">
        <v>56</v>
      </c>
      <c r="W75" t="s">
        <v>57</v>
      </c>
      <c r="X75" t="s">
        <v>45</v>
      </c>
      <c r="Y75">
        <v>120</v>
      </c>
      <c r="Z75" t="s">
        <v>46</v>
      </c>
      <c r="AA75" t="s">
        <v>47</v>
      </c>
      <c r="AB75" s="1">
        <v>46143</v>
      </c>
      <c r="AC75" t="s">
        <v>40</v>
      </c>
      <c r="AD75" t="s">
        <v>40</v>
      </c>
      <c r="AE75" t="s">
        <v>69</v>
      </c>
      <c r="AF75" t="s">
        <v>40</v>
      </c>
      <c r="AG75">
        <v>1</v>
      </c>
      <c r="AH75" t="s">
        <v>49</v>
      </c>
    </row>
    <row r="76" spans="1:34" x14ac:dyDescent="0.3">
      <c r="A76" t="s">
        <v>264</v>
      </c>
      <c r="B76" t="s">
        <v>265</v>
      </c>
      <c r="C76" t="s">
        <v>89</v>
      </c>
      <c r="D76" t="s">
        <v>53</v>
      </c>
      <c r="E76" s="1">
        <v>45753</v>
      </c>
      <c r="F76" s="1">
        <v>45754</v>
      </c>
      <c r="G76" t="s">
        <v>38</v>
      </c>
      <c r="H76">
        <v>5025</v>
      </c>
      <c r="I76" t="s">
        <v>39</v>
      </c>
      <c r="J76" t="b">
        <v>0</v>
      </c>
      <c r="K76">
        <v>1</v>
      </c>
      <c r="L76">
        <v>4</v>
      </c>
      <c r="M76">
        <v>2025</v>
      </c>
      <c r="N76">
        <v>0</v>
      </c>
      <c r="O76">
        <v>4</v>
      </c>
      <c r="P76">
        <v>2025</v>
      </c>
      <c r="Q76">
        <v>6</v>
      </c>
      <c r="R76" t="s">
        <v>40</v>
      </c>
      <c r="S76" t="s">
        <v>55</v>
      </c>
      <c r="T76" t="s">
        <v>42</v>
      </c>
      <c r="U76" t="s">
        <v>40</v>
      </c>
      <c r="V76" t="s">
        <v>91</v>
      </c>
      <c r="W76" t="s">
        <v>92</v>
      </c>
      <c r="X76" t="s">
        <v>76</v>
      </c>
      <c r="Y76">
        <v>65</v>
      </c>
      <c r="Z76" t="s">
        <v>58</v>
      </c>
      <c r="AA76" t="s">
        <v>59</v>
      </c>
      <c r="AB76" s="1">
        <v>45754</v>
      </c>
      <c r="AC76" t="s">
        <v>40</v>
      </c>
      <c r="AD76" t="s">
        <v>40</v>
      </c>
      <c r="AE76" t="s">
        <v>69</v>
      </c>
      <c r="AF76" t="s">
        <v>40</v>
      </c>
      <c r="AG76">
        <v>0</v>
      </c>
      <c r="AH76" t="s">
        <v>100</v>
      </c>
    </row>
    <row r="77" spans="1:34" x14ac:dyDescent="0.3">
      <c r="A77" t="s">
        <v>266</v>
      </c>
      <c r="B77" t="s">
        <v>267</v>
      </c>
      <c r="C77" t="s">
        <v>36</v>
      </c>
      <c r="D77" t="s">
        <v>80</v>
      </c>
      <c r="E77" s="1">
        <v>46239</v>
      </c>
      <c r="F77" s="1">
        <v>46240</v>
      </c>
      <c r="G77" t="s">
        <v>38</v>
      </c>
      <c r="H77">
        <v>4569</v>
      </c>
      <c r="I77" t="s">
        <v>65</v>
      </c>
      <c r="J77" t="b">
        <v>0</v>
      </c>
      <c r="K77">
        <v>1</v>
      </c>
      <c r="L77">
        <v>8</v>
      </c>
      <c r="M77">
        <v>2026</v>
      </c>
      <c r="N77">
        <v>3</v>
      </c>
      <c r="O77">
        <v>8</v>
      </c>
      <c r="P77">
        <v>2026</v>
      </c>
      <c r="Q77">
        <v>2</v>
      </c>
      <c r="R77" t="s">
        <v>40</v>
      </c>
      <c r="S77" t="s">
        <v>45</v>
      </c>
      <c r="T77" t="s">
        <v>42</v>
      </c>
      <c r="U77" t="s">
        <v>40</v>
      </c>
      <c r="V77" t="s">
        <v>43</v>
      </c>
      <c r="W77" t="s">
        <v>44</v>
      </c>
      <c r="X77" t="s">
        <v>45</v>
      </c>
      <c r="Y77">
        <v>150</v>
      </c>
      <c r="Z77" t="s">
        <v>84</v>
      </c>
      <c r="AA77" t="s">
        <v>85</v>
      </c>
      <c r="AB77" s="1">
        <v>46240</v>
      </c>
      <c r="AC77" t="s">
        <v>40</v>
      </c>
      <c r="AD77" t="s">
        <v>40</v>
      </c>
      <c r="AE77" t="s">
        <v>86</v>
      </c>
      <c r="AF77" t="s">
        <v>40</v>
      </c>
      <c r="AG77">
        <v>0</v>
      </c>
      <c r="AH77" t="s">
        <v>100</v>
      </c>
    </row>
    <row r="78" spans="1:34" x14ac:dyDescent="0.3">
      <c r="A78" t="s">
        <v>268</v>
      </c>
      <c r="B78" t="s">
        <v>269</v>
      </c>
      <c r="C78" t="s">
        <v>122</v>
      </c>
      <c r="D78" t="s">
        <v>53</v>
      </c>
      <c r="E78" s="1">
        <v>45897</v>
      </c>
      <c r="F78" s="1">
        <v>45898</v>
      </c>
      <c r="G78" t="s">
        <v>38</v>
      </c>
      <c r="H78">
        <v>5894</v>
      </c>
      <c r="I78" t="s">
        <v>39</v>
      </c>
      <c r="J78" t="b">
        <v>0</v>
      </c>
      <c r="K78">
        <v>1</v>
      </c>
      <c r="L78">
        <v>8</v>
      </c>
      <c r="M78">
        <v>2025</v>
      </c>
      <c r="N78">
        <v>4</v>
      </c>
      <c r="O78">
        <v>8</v>
      </c>
      <c r="P78">
        <v>2025</v>
      </c>
      <c r="Q78">
        <v>3</v>
      </c>
      <c r="R78" t="s">
        <v>40</v>
      </c>
      <c r="S78" t="s">
        <v>45</v>
      </c>
      <c r="T78" t="s">
        <v>42</v>
      </c>
      <c r="U78" t="s">
        <v>40</v>
      </c>
      <c r="V78" t="s">
        <v>124</v>
      </c>
      <c r="W78" t="s">
        <v>125</v>
      </c>
      <c r="X78" t="s">
        <v>126</v>
      </c>
      <c r="Y78">
        <v>85</v>
      </c>
      <c r="Z78" t="s">
        <v>58</v>
      </c>
      <c r="AA78" t="s">
        <v>59</v>
      </c>
      <c r="AB78" s="1">
        <v>45898</v>
      </c>
      <c r="AC78" t="s">
        <v>40</v>
      </c>
      <c r="AD78" t="s">
        <v>40</v>
      </c>
      <c r="AE78" t="s">
        <v>86</v>
      </c>
      <c r="AF78" t="s">
        <v>40</v>
      </c>
      <c r="AG78">
        <v>0</v>
      </c>
      <c r="AH78" t="s">
        <v>100</v>
      </c>
    </row>
    <row r="79" spans="1:34" x14ac:dyDescent="0.3">
      <c r="A79" t="s">
        <v>270</v>
      </c>
      <c r="B79" t="s">
        <v>271</v>
      </c>
      <c r="C79" t="s">
        <v>146</v>
      </c>
      <c r="D79" t="s">
        <v>53</v>
      </c>
      <c r="E79" s="1">
        <v>45870</v>
      </c>
      <c r="F79" s="1">
        <v>45884</v>
      </c>
      <c r="G79" t="s">
        <v>41</v>
      </c>
      <c r="H79">
        <v>5645</v>
      </c>
      <c r="I79" t="s">
        <v>54</v>
      </c>
      <c r="J79" t="b">
        <v>0</v>
      </c>
      <c r="K79">
        <v>14</v>
      </c>
      <c r="L79">
        <v>8</v>
      </c>
      <c r="M79">
        <v>2025</v>
      </c>
      <c r="N79">
        <v>4</v>
      </c>
      <c r="O79">
        <v>8</v>
      </c>
      <c r="P79">
        <v>2025</v>
      </c>
      <c r="Q79">
        <v>4</v>
      </c>
      <c r="R79" t="s">
        <v>40</v>
      </c>
      <c r="S79" t="s">
        <v>67</v>
      </c>
      <c r="T79" t="s">
        <v>42</v>
      </c>
      <c r="U79" t="s">
        <v>40</v>
      </c>
      <c r="V79" t="s">
        <v>147</v>
      </c>
      <c r="W79" t="s">
        <v>148</v>
      </c>
      <c r="X79" t="s">
        <v>45</v>
      </c>
      <c r="Y79">
        <v>160</v>
      </c>
      <c r="Z79" t="s">
        <v>58</v>
      </c>
      <c r="AA79" t="s">
        <v>59</v>
      </c>
      <c r="AB79" s="1">
        <v>45884</v>
      </c>
      <c r="AC79" t="s">
        <v>40</v>
      </c>
      <c r="AD79" t="s">
        <v>66</v>
      </c>
      <c r="AE79" t="s">
        <v>86</v>
      </c>
      <c r="AF79" t="s">
        <v>66</v>
      </c>
      <c r="AG79">
        <v>1</v>
      </c>
      <c r="AH79" t="s">
        <v>70</v>
      </c>
    </row>
    <row r="80" spans="1:34" x14ac:dyDescent="0.3">
      <c r="A80" t="s">
        <v>272</v>
      </c>
      <c r="B80" t="s">
        <v>273</v>
      </c>
      <c r="C80" t="s">
        <v>52</v>
      </c>
      <c r="D80" t="s">
        <v>90</v>
      </c>
      <c r="E80" s="1">
        <v>45993</v>
      </c>
      <c r="F80" s="1">
        <v>45996</v>
      </c>
      <c r="G80" t="s">
        <v>38</v>
      </c>
      <c r="H80">
        <v>5603</v>
      </c>
      <c r="I80" t="s">
        <v>39</v>
      </c>
      <c r="J80" t="b">
        <v>0</v>
      </c>
      <c r="K80">
        <v>3</v>
      </c>
      <c r="L80">
        <v>12</v>
      </c>
      <c r="M80">
        <v>2025</v>
      </c>
      <c r="N80">
        <v>4</v>
      </c>
      <c r="O80">
        <v>12</v>
      </c>
      <c r="P80">
        <v>2025</v>
      </c>
      <c r="Q80">
        <v>1</v>
      </c>
      <c r="R80" t="s">
        <v>40</v>
      </c>
      <c r="S80" t="s">
        <v>55</v>
      </c>
      <c r="T80" t="s">
        <v>42</v>
      </c>
      <c r="U80" t="s">
        <v>40</v>
      </c>
      <c r="V80" t="s">
        <v>56</v>
      </c>
      <c r="W80" t="s">
        <v>57</v>
      </c>
      <c r="X80" t="s">
        <v>45</v>
      </c>
      <c r="Y80">
        <v>120</v>
      </c>
      <c r="Z80" t="s">
        <v>93</v>
      </c>
      <c r="AA80" t="s">
        <v>94</v>
      </c>
      <c r="AB80" s="1">
        <v>45996</v>
      </c>
      <c r="AC80" t="s">
        <v>40</v>
      </c>
      <c r="AD80" t="s">
        <v>40</v>
      </c>
      <c r="AE80" t="s">
        <v>69</v>
      </c>
      <c r="AF80" t="s">
        <v>40</v>
      </c>
      <c r="AG80">
        <v>0</v>
      </c>
      <c r="AH80" t="s">
        <v>100</v>
      </c>
    </row>
    <row r="81" spans="1:34" x14ac:dyDescent="0.3">
      <c r="A81" t="s">
        <v>274</v>
      </c>
      <c r="B81" t="s">
        <v>275</v>
      </c>
      <c r="C81" t="s">
        <v>122</v>
      </c>
      <c r="D81" t="s">
        <v>80</v>
      </c>
      <c r="E81" s="1">
        <v>46221</v>
      </c>
      <c r="F81" s="1">
        <v>46228</v>
      </c>
      <c r="G81" t="s">
        <v>41</v>
      </c>
      <c r="H81">
        <v>5048</v>
      </c>
      <c r="I81" t="s">
        <v>39</v>
      </c>
      <c r="J81" t="b">
        <v>0</v>
      </c>
      <c r="K81">
        <v>7</v>
      </c>
      <c r="L81">
        <v>7</v>
      </c>
      <c r="M81">
        <v>2026</v>
      </c>
      <c r="N81">
        <v>5</v>
      </c>
      <c r="O81">
        <v>7</v>
      </c>
      <c r="P81">
        <v>2026</v>
      </c>
      <c r="Q81">
        <v>5</v>
      </c>
      <c r="R81" t="s">
        <v>66</v>
      </c>
      <c r="S81" t="s">
        <v>55</v>
      </c>
      <c r="T81" t="s">
        <v>42</v>
      </c>
      <c r="U81" t="s">
        <v>66</v>
      </c>
      <c r="V81" t="s">
        <v>124</v>
      </c>
      <c r="W81" t="s">
        <v>125</v>
      </c>
      <c r="X81" t="s">
        <v>126</v>
      </c>
      <c r="Y81">
        <v>85</v>
      </c>
      <c r="Z81" t="s">
        <v>84</v>
      </c>
      <c r="AA81" t="s">
        <v>85</v>
      </c>
      <c r="AB81" s="1">
        <v>46228</v>
      </c>
      <c r="AC81" t="s">
        <v>66</v>
      </c>
      <c r="AD81" t="s">
        <v>40</v>
      </c>
      <c r="AE81" t="s">
        <v>86</v>
      </c>
      <c r="AF81" t="s">
        <v>40</v>
      </c>
      <c r="AG81">
        <v>0</v>
      </c>
      <c r="AH81" t="s">
        <v>100</v>
      </c>
    </row>
    <row r="82" spans="1:34" x14ac:dyDescent="0.3">
      <c r="A82" t="s">
        <v>276</v>
      </c>
      <c r="B82" t="s">
        <v>277</v>
      </c>
      <c r="C82" t="s">
        <v>103</v>
      </c>
      <c r="D82" t="s">
        <v>53</v>
      </c>
      <c r="E82" s="1">
        <v>46303</v>
      </c>
      <c r="F82" s="1">
        <v>46453</v>
      </c>
      <c r="G82" t="s">
        <v>64</v>
      </c>
      <c r="H82">
        <v>3400</v>
      </c>
      <c r="I82" t="s">
        <v>54</v>
      </c>
      <c r="J82" t="b">
        <v>0</v>
      </c>
      <c r="K82">
        <v>150</v>
      </c>
      <c r="L82">
        <v>3</v>
      </c>
      <c r="M82">
        <v>2027</v>
      </c>
      <c r="N82">
        <v>6</v>
      </c>
      <c r="O82">
        <v>10</v>
      </c>
      <c r="P82">
        <v>2026</v>
      </c>
      <c r="Q82">
        <v>3</v>
      </c>
      <c r="R82" t="s">
        <v>66</v>
      </c>
      <c r="S82" t="s">
        <v>45</v>
      </c>
      <c r="T82" t="s">
        <v>123</v>
      </c>
      <c r="U82" t="s">
        <v>66</v>
      </c>
      <c r="V82" t="s">
        <v>105</v>
      </c>
      <c r="W82" t="s">
        <v>106</v>
      </c>
      <c r="X82" t="s">
        <v>45</v>
      </c>
      <c r="Y82">
        <v>140</v>
      </c>
      <c r="Z82" t="s">
        <v>58</v>
      </c>
      <c r="AA82" t="s">
        <v>59</v>
      </c>
      <c r="AB82" s="1"/>
      <c r="AC82" t="s">
        <v>48</v>
      </c>
      <c r="AD82" t="s">
        <v>48</v>
      </c>
      <c r="AE82" t="s">
        <v>48</v>
      </c>
      <c r="AF82" t="s">
        <v>48</v>
      </c>
      <c r="AG82">
        <v>1</v>
      </c>
      <c r="AH82" t="s">
        <v>49</v>
      </c>
    </row>
    <row r="83" spans="1:34" x14ac:dyDescent="0.3">
      <c r="A83" t="s">
        <v>278</v>
      </c>
      <c r="B83" t="s">
        <v>279</v>
      </c>
      <c r="C83" t="s">
        <v>97</v>
      </c>
      <c r="D83" t="s">
        <v>130</v>
      </c>
      <c r="E83" s="1">
        <v>45997</v>
      </c>
      <c r="F83" s="1">
        <v>46000</v>
      </c>
      <c r="G83" t="s">
        <v>41</v>
      </c>
      <c r="H83">
        <v>8365</v>
      </c>
      <c r="I83" t="s">
        <v>39</v>
      </c>
      <c r="J83" t="b">
        <v>0</v>
      </c>
      <c r="K83">
        <v>3</v>
      </c>
      <c r="L83">
        <v>12</v>
      </c>
      <c r="M83">
        <v>2025</v>
      </c>
      <c r="N83">
        <v>1</v>
      </c>
      <c r="O83">
        <v>12</v>
      </c>
      <c r="P83">
        <v>2025</v>
      </c>
      <c r="Q83">
        <v>5</v>
      </c>
      <c r="R83" t="s">
        <v>40</v>
      </c>
      <c r="S83" t="s">
        <v>67</v>
      </c>
      <c r="T83" t="s">
        <v>42</v>
      </c>
      <c r="U83" t="s">
        <v>40</v>
      </c>
      <c r="V83" t="s">
        <v>98</v>
      </c>
      <c r="W83" t="s">
        <v>99</v>
      </c>
      <c r="X83" t="s">
        <v>76</v>
      </c>
      <c r="Y83">
        <v>80</v>
      </c>
      <c r="Z83" t="s">
        <v>133</v>
      </c>
      <c r="AA83" t="s">
        <v>134</v>
      </c>
      <c r="AB83" s="1">
        <v>46000</v>
      </c>
      <c r="AC83" t="s">
        <v>40</v>
      </c>
      <c r="AD83" t="s">
        <v>40</v>
      </c>
      <c r="AE83" t="s">
        <v>69</v>
      </c>
      <c r="AF83" t="s">
        <v>40</v>
      </c>
      <c r="AG83">
        <v>0</v>
      </c>
      <c r="AH83" t="s">
        <v>100</v>
      </c>
    </row>
    <row r="84" spans="1:34" x14ac:dyDescent="0.3">
      <c r="A84" t="s">
        <v>280</v>
      </c>
      <c r="B84" t="s">
        <v>281</v>
      </c>
      <c r="C84" t="s">
        <v>97</v>
      </c>
      <c r="D84" t="s">
        <v>53</v>
      </c>
      <c r="E84" s="1">
        <v>45877</v>
      </c>
      <c r="F84" s="1">
        <v>45977</v>
      </c>
      <c r="G84" t="s">
        <v>81</v>
      </c>
      <c r="H84">
        <v>6783</v>
      </c>
      <c r="I84" t="s">
        <v>54</v>
      </c>
      <c r="J84" t="b">
        <v>0</v>
      </c>
      <c r="K84">
        <v>100</v>
      </c>
      <c r="L84">
        <v>11</v>
      </c>
      <c r="M84">
        <v>2025</v>
      </c>
      <c r="N84">
        <v>6</v>
      </c>
      <c r="O84">
        <v>8</v>
      </c>
      <c r="P84">
        <v>2025</v>
      </c>
      <c r="Q84">
        <v>4</v>
      </c>
      <c r="R84" t="s">
        <v>66</v>
      </c>
      <c r="S84" t="s">
        <v>55</v>
      </c>
      <c r="T84" t="s">
        <v>42</v>
      </c>
      <c r="U84" t="s">
        <v>66</v>
      </c>
      <c r="V84" t="s">
        <v>98</v>
      </c>
      <c r="W84" t="s">
        <v>99</v>
      </c>
      <c r="X84" t="s">
        <v>76</v>
      </c>
      <c r="Y84">
        <v>80</v>
      </c>
      <c r="Z84" t="s">
        <v>58</v>
      </c>
      <c r="AA84" t="s">
        <v>59</v>
      </c>
      <c r="AB84" s="1">
        <v>45977</v>
      </c>
      <c r="AC84" t="s">
        <v>66</v>
      </c>
      <c r="AD84" t="s">
        <v>40</v>
      </c>
      <c r="AE84" t="s">
        <v>86</v>
      </c>
      <c r="AF84" t="s">
        <v>40</v>
      </c>
      <c r="AG84">
        <v>1</v>
      </c>
      <c r="AH84" t="s">
        <v>49</v>
      </c>
    </row>
    <row r="85" spans="1:34" x14ac:dyDescent="0.3">
      <c r="A85" t="s">
        <v>282</v>
      </c>
      <c r="B85" t="s">
        <v>283</v>
      </c>
      <c r="C85" t="s">
        <v>122</v>
      </c>
      <c r="D85" t="s">
        <v>104</v>
      </c>
      <c r="E85" s="1">
        <v>46221</v>
      </c>
      <c r="F85" s="1">
        <v>46235</v>
      </c>
      <c r="G85" t="s">
        <v>64</v>
      </c>
      <c r="H85">
        <v>2984</v>
      </c>
      <c r="I85" t="s">
        <v>39</v>
      </c>
      <c r="J85" t="b">
        <v>0</v>
      </c>
      <c r="K85">
        <v>14</v>
      </c>
      <c r="L85">
        <v>8</v>
      </c>
      <c r="M85">
        <v>2026</v>
      </c>
      <c r="N85">
        <v>5</v>
      </c>
      <c r="O85">
        <v>7</v>
      </c>
      <c r="P85">
        <v>2026</v>
      </c>
      <c r="Q85">
        <v>5</v>
      </c>
      <c r="R85" t="s">
        <v>66</v>
      </c>
      <c r="S85" t="s">
        <v>41</v>
      </c>
      <c r="T85" t="s">
        <v>113</v>
      </c>
      <c r="U85" t="s">
        <v>66</v>
      </c>
      <c r="V85" t="s">
        <v>124</v>
      </c>
      <c r="W85" t="s">
        <v>125</v>
      </c>
      <c r="X85" t="s">
        <v>126</v>
      </c>
      <c r="Y85">
        <v>85</v>
      </c>
      <c r="Z85" t="s">
        <v>107</v>
      </c>
      <c r="AA85" t="s">
        <v>108</v>
      </c>
      <c r="AB85" s="1">
        <v>46235</v>
      </c>
      <c r="AC85" t="s">
        <v>66</v>
      </c>
      <c r="AD85" t="s">
        <v>40</v>
      </c>
      <c r="AE85" t="s">
        <v>86</v>
      </c>
      <c r="AF85" t="s">
        <v>40</v>
      </c>
      <c r="AG85">
        <v>0</v>
      </c>
      <c r="AH85" t="s">
        <v>70</v>
      </c>
    </row>
    <row r="86" spans="1:34" x14ac:dyDescent="0.3">
      <c r="A86" t="s">
        <v>284</v>
      </c>
      <c r="B86" t="s">
        <v>285</v>
      </c>
      <c r="C86" t="s">
        <v>52</v>
      </c>
      <c r="D86" t="s">
        <v>104</v>
      </c>
      <c r="E86" s="1">
        <v>46025</v>
      </c>
      <c r="F86" s="1">
        <v>46039</v>
      </c>
      <c r="G86" t="s">
        <v>41</v>
      </c>
      <c r="H86">
        <v>6317</v>
      </c>
      <c r="I86" t="s">
        <v>39</v>
      </c>
      <c r="J86" t="b">
        <v>0</v>
      </c>
      <c r="K86">
        <v>14</v>
      </c>
      <c r="L86">
        <v>1</v>
      </c>
      <c r="M86">
        <v>2026</v>
      </c>
      <c r="N86">
        <v>5</v>
      </c>
      <c r="O86">
        <v>1</v>
      </c>
      <c r="P86">
        <v>2026</v>
      </c>
      <c r="Q86">
        <v>5</v>
      </c>
      <c r="R86" t="s">
        <v>66</v>
      </c>
      <c r="S86" t="s">
        <v>45</v>
      </c>
      <c r="T86" t="s">
        <v>286</v>
      </c>
      <c r="U86" t="s">
        <v>40</v>
      </c>
      <c r="V86" t="s">
        <v>56</v>
      </c>
      <c r="W86" t="s">
        <v>57</v>
      </c>
      <c r="X86" t="s">
        <v>45</v>
      </c>
      <c r="Y86">
        <v>120</v>
      </c>
      <c r="Z86" t="s">
        <v>107</v>
      </c>
      <c r="AA86" t="s">
        <v>108</v>
      </c>
      <c r="AB86" s="1">
        <v>46039</v>
      </c>
      <c r="AC86" t="s">
        <v>66</v>
      </c>
      <c r="AD86" t="s">
        <v>40</v>
      </c>
      <c r="AE86" t="s">
        <v>86</v>
      </c>
      <c r="AF86" t="s">
        <v>40</v>
      </c>
      <c r="AG86">
        <v>0</v>
      </c>
      <c r="AH86" t="s">
        <v>70</v>
      </c>
    </row>
    <row r="87" spans="1:34" x14ac:dyDescent="0.3">
      <c r="A87" t="s">
        <v>287</v>
      </c>
      <c r="B87" t="s">
        <v>288</v>
      </c>
      <c r="C87" t="s">
        <v>52</v>
      </c>
      <c r="D87" t="s">
        <v>53</v>
      </c>
      <c r="E87" s="1">
        <v>45717</v>
      </c>
      <c r="F87" s="1">
        <v>45777</v>
      </c>
      <c r="G87" t="s">
        <v>41</v>
      </c>
      <c r="H87">
        <v>8989</v>
      </c>
      <c r="I87" t="s">
        <v>54</v>
      </c>
      <c r="J87" t="b">
        <v>0</v>
      </c>
      <c r="K87">
        <v>60</v>
      </c>
      <c r="L87">
        <v>4</v>
      </c>
      <c r="M87">
        <v>2025</v>
      </c>
      <c r="N87">
        <v>2</v>
      </c>
      <c r="O87">
        <v>3</v>
      </c>
      <c r="P87">
        <v>2025</v>
      </c>
      <c r="Q87">
        <v>5</v>
      </c>
      <c r="R87" t="s">
        <v>40</v>
      </c>
      <c r="S87" t="s">
        <v>67</v>
      </c>
      <c r="T87" t="s">
        <v>42</v>
      </c>
      <c r="U87" t="s">
        <v>40</v>
      </c>
      <c r="V87" t="s">
        <v>56</v>
      </c>
      <c r="W87" t="s">
        <v>57</v>
      </c>
      <c r="X87" t="s">
        <v>45</v>
      </c>
      <c r="Y87">
        <v>120</v>
      </c>
      <c r="Z87" t="s">
        <v>58</v>
      </c>
      <c r="AA87" t="s">
        <v>59</v>
      </c>
      <c r="AB87" s="1">
        <v>45777</v>
      </c>
      <c r="AC87" t="s">
        <v>40</v>
      </c>
      <c r="AD87" t="s">
        <v>40</v>
      </c>
      <c r="AE87" t="s">
        <v>69</v>
      </c>
      <c r="AF87" t="s">
        <v>40</v>
      </c>
      <c r="AG87">
        <v>1</v>
      </c>
      <c r="AH87" t="s">
        <v>61</v>
      </c>
    </row>
    <row r="88" spans="1:34" x14ac:dyDescent="0.3">
      <c r="A88" t="s">
        <v>289</v>
      </c>
      <c r="B88" t="s">
        <v>290</v>
      </c>
      <c r="C88" t="s">
        <v>169</v>
      </c>
      <c r="D88" t="s">
        <v>80</v>
      </c>
      <c r="E88" s="1">
        <v>45715</v>
      </c>
      <c r="F88" s="1">
        <v>45775</v>
      </c>
      <c r="G88" t="s">
        <v>38</v>
      </c>
      <c r="H88">
        <v>5090</v>
      </c>
      <c r="I88" t="s">
        <v>39</v>
      </c>
      <c r="J88" t="b">
        <v>0</v>
      </c>
      <c r="K88">
        <v>60</v>
      </c>
      <c r="L88">
        <v>4</v>
      </c>
      <c r="M88">
        <v>2025</v>
      </c>
      <c r="N88">
        <v>0</v>
      </c>
      <c r="O88">
        <v>2</v>
      </c>
      <c r="P88">
        <v>2025</v>
      </c>
      <c r="Q88">
        <v>3</v>
      </c>
      <c r="R88" t="s">
        <v>40</v>
      </c>
      <c r="S88" t="s">
        <v>55</v>
      </c>
      <c r="T88" t="s">
        <v>42</v>
      </c>
      <c r="U88" t="s">
        <v>40</v>
      </c>
      <c r="V88" t="s">
        <v>170</v>
      </c>
      <c r="W88" t="s">
        <v>171</v>
      </c>
      <c r="X88" t="s">
        <v>126</v>
      </c>
      <c r="Y88">
        <v>90</v>
      </c>
      <c r="Z88" t="s">
        <v>84</v>
      </c>
      <c r="AA88" t="s">
        <v>85</v>
      </c>
      <c r="AB88" s="1">
        <v>45775</v>
      </c>
      <c r="AC88" t="s">
        <v>40</v>
      </c>
      <c r="AD88" t="s">
        <v>40</v>
      </c>
      <c r="AE88" t="s">
        <v>69</v>
      </c>
      <c r="AF88" t="s">
        <v>40</v>
      </c>
      <c r="AG88">
        <v>0</v>
      </c>
      <c r="AH88" t="s">
        <v>61</v>
      </c>
    </row>
    <row r="89" spans="1:34" x14ac:dyDescent="0.3">
      <c r="A89" t="s">
        <v>291</v>
      </c>
      <c r="B89" t="s">
        <v>292</v>
      </c>
      <c r="C89" t="s">
        <v>79</v>
      </c>
      <c r="D89" t="s">
        <v>37</v>
      </c>
      <c r="E89" s="1">
        <v>46025</v>
      </c>
      <c r="F89" s="1">
        <v>46175</v>
      </c>
      <c r="G89" t="s">
        <v>64</v>
      </c>
      <c r="H89">
        <v>4140</v>
      </c>
      <c r="I89" t="s">
        <v>54</v>
      </c>
      <c r="J89" t="b">
        <v>0</v>
      </c>
      <c r="K89">
        <v>150</v>
      </c>
      <c r="L89">
        <v>6</v>
      </c>
      <c r="M89">
        <v>2026</v>
      </c>
      <c r="N89">
        <v>1</v>
      </c>
      <c r="O89">
        <v>1</v>
      </c>
      <c r="P89">
        <v>2026</v>
      </c>
      <c r="Q89">
        <v>5</v>
      </c>
      <c r="R89" t="s">
        <v>40</v>
      </c>
      <c r="S89" t="s">
        <v>67</v>
      </c>
      <c r="T89" t="s">
        <v>42</v>
      </c>
      <c r="U89" t="s">
        <v>40</v>
      </c>
      <c r="V89" t="s">
        <v>82</v>
      </c>
      <c r="W89" t="s">
        <v>83</v>
      </c>
      <c r="X89" t="s">
        <v>76</v>
      </c>
      <c r="Y89">
        <v>100</v>
      </c>
      <c r="Z89" t="s">
        <v>46</v>
      </c>
      <c r="AA89" t="s">
        <v>47</v>
      </c>
      <c r="AB89" s="1">
        <v>46175</v>
      </c>
      <c r="AC89" t="s">
        <v>40</v>
      </c>
      <c r="AD89" t="s">
        <v>40</v>
      </c>
      <c r="AE89" t="s">
        <v>60</v>
      </c>
      <c r="AF89" t="s">
        <v>40</v>
      </c>
      <c r="AG89">
        <v>1</v>
      </c>
      <c r="AH89" t="s">
        <v>49</v>
      </c>
    </row>
    <row r="90" spans="1:34" x14ac:dyDescent="0.3">
      <c r="A90" t="s">
        <v>293</v>
      </c>
      <c r="B90" t="s">
        <v>294</v>
      </c>
      <c r="C90" t="s">
        <v>146</v>
      </c>
      <c r="D90" t="s">
        <v>53</v>
      </c>
      <c r="E90" s="1">
        <v>45837</v>
      </c>
      <c r="F90" s="1">
        <v>45867</v>
      </c>
      <c r="G90" t="s">
        <v>64</v>
      </c>
      <c r="H90">
        <v>2676</v>
      </c>
      <c r="I90" t="s">
        <v>54</v>
      </c>
      <c r="J90" t="b">
        <v>0</v>
      </c>
      <c r="K90">
        <v>30</v>
      </c>
      <c r="L90">
        <v>7</v>
      </c>
      <c r="M90">
        <v>2025</v>
      </c>
      <c r="N90">
        <v>1</v>
      </c>
      <c r="O90">
        <v>6</v>
      </c>
      <c r="P90">
        <v>2025</v>
      </c>
      <c r="Q90">
        <v>6</v>
      </c>
      <c r="R90" t="s">
        <v>40</v>
      </c>
      <c r="S90" t="s">
        <v>41</v>
      </c>
      <c r="T90" t="s">
        <v>68</v>
      </c>
      <c r="U90" t="s">
        <v>40</v>
      </c>
      <c r="V90" t="s">
        <v>147</v>
      </c>
      <c r="W90" t="s">
        <v>148</v>
      </c>
      <c r="X90" t="s">
        <v>45</v>
      </c>
      <c r="Y90">
        <v>160</v>
      </c>
      <c r="Z90" t="s">
        <v>58</v>
      </c>
      <c r="AA90" t="s">
        <v>59</v>
      </c>
      <c r="AB90" s="1">
        <v>45867</v>
      </c>
      <c r="AC90" t="s">
        <v>40</v>
      </c>
      <c r="AD90" t="s">
        <v>40</v>
      </c>
      <c r="AE90" t="s">
        <v>86</v>
      </c>
      <c r="AF90" t="s">
        <v>40</v>
      </c>
      <c r="AG90">
        <v>1</v>
      </c>
      <c r="AH90" t="s">
        <v>70</v>
      </c>
    </row>
    <row r="91" spans="1:34" x14ac:dyDescent="0.3">
      <c r="A91" t="s">
        <v>295</v>
      </c>
      <c r="B91" t="s">
        <v>154</v>
      </c>
      <c r="C91" t="s">
        <v>73</v>
      </c>
      <c r="D91" t="s">
        <v>90</v>
      </c>
      <c r="E91" s="1">
        <v>46006</v>
      </c>
      <c r="F91" s="1">
        <v>46066</v>
      </c>
      <c r="G91" t="s">
        <v>81</v>
      </c>
      <c r="H91">
        <v>11305</v>
      </c>
      <c r="I91" t="s">
        <v>65</v>
      </c>
      <c r="J91" t="b">
        <v>0</v>
      </c>
      <c r="K91">
        <v>60</v>
      </c>
      <c r="L91">
        <v>2</v>
      </c>
      <c r="M91">
        <v>2026</v>
      </c>
      <c r="N91">
        <v>4</v>
      </c>
      <c r="O91">
        <v>12</v>
      </c>
      <c r="P91">
        <v>2025</v>
      </c>
      <c r="Q91">
        <v>0</v>
      </c>
      <c r="R91" t="s">
        <v>40</v>
      </c>
      <c r="S91" t="s">
        <v>55</v>
      </c>
      <c r="T91" t="s">
        <v>42</v>
      </c>
      <c r="U91" t="s">
        <v>40</v>
      </c>
      <c r="V91" t="s">
        <v>74</v>
      </c>
      <c r="W91" t="s">
        <v>75</v>
      </c>
      <c r="X91" t="s">
        <v>76</v>
      </c>
      <c r="Y91">
        <v>75</v>
      </c>
      <c r="Z91" t="s">
        <v>93</v>
      </c>
      <c r="AA91" t="s">
        <v>94</v>
      </c>
      <c r="AB91" s="1">
        <v>46066</v>
      </c>
      <c r="AC91" t="s">
        <v>40</v>
      </c>
      <c r="AD91" t="s">
        <v>40</v>
      </c>
      <c r="AE91" t="s">
        <v>60</v>
      </c>
      <c r="AF91" t="s">
        <v>40</v>
      </c>
      <c r="AG91">
        <v>0</v>
      </c>
      <c r="AH91" t="s">
        <v>61</v>
      </c>
    </row>
    <row r="92" spans="1:34" x14ac:dyDescent="0.3">
      <c r="A92" t="s">
        <v>296</v>
      </c>
      <c r="B92" t="s">
        <v>297</v>
      </c>
      <c r="C92" t="s">
        <v>36</v>
      </c>
      <c r="D92" t="s">
        <v>53</v>
      </c>
      <c r="E92" s="1">
        <v>46336</v>
      </c>
      <c r="F92" s="1">
        <v>46350</v>
      </c>
      <c r="G92" t="s">
        <v>64</v>
      </c>
      <c r="H92">
        <v>2818</v>
      </c>
      <c r="I92" t="s">
        <v>65</v>
      </c>
      <c r="J92" t="b">
        <v>0</v>
      </c>
      <c r="K92">
        <v>14</v>
      </c>
      <c r="L92">
        <v>11</v>
      </c>
      <c r="M92">
        <v>2026</v>
      </c>
      <c r="N92">
        <v>1</v>
      </c>
      <c r="O92">
        <v>11</v>
      </c>
      <c r="P92">
        <v>2026</v>
      </c>
      <c r="Q92">
        <v>1</v>
      </c>
      <c r="R92" t="s">
        <v>40</v>
      </c>
      <c r="S92" t="s">
        <v>41</v>
      </c>
      <c r="T92" t="s">
        <v>286</v>
      </c>
      <c r="U92" t="s">
        <v>40</v>
      </c>
      <c r="V92" t="s">
        <v>43</v>
      </c>
      <c r="W92" t="s">
        <v>44</v>
      </c>
      <c r="X92" t="s">
        <v>45</v>
      </c>
      <c r="Y92">
        <v>150</v>
      </c>
      <c r="Z92" t="s">
        <v>58</v>
      </c>
      <c r="AA92" t="s">
        <v>59</v>
      </c>
      <c r="AB92" s="1">
        <v>46350</v>
      </c>
      <c r="AC92" t="s">
        <v>40</v>
      </c>
      <c r="AD92" t="s">
        <v>40</v>
      </c>
      <c r="AE92" t="s">
        <v>86</v>
      </c>
      <c r="AF92" t="s">
        <v>40</v>
      </c>
      <c r="AG92">
        <v>0</v>
      </c>
      <c r="AH92" t="s">
        <v>70</v>
      </c>
    </row>
    <row r="93" spans="1:34" x14ac:dyDescent="0.3">
      <c r="A93" t="s">
        <v>298</v>
      </c>
      <c r="B93" t="s">
        <v>299</v>
      </c>
      <c r="C93" t="s">
        <v>129</v>
      </c>
      <c r="D93" t="s">
        <v>53</v>
      </c>
      <c r="E93" s="1">
        <v>45836</v>
      </c>
      <c r="F93" s="1">
        <v>45896</v>
      </c>
      <c r="G93" t="s">
        <v>81</v>
      </c>
      <c r="H93">
        <v>7936</v>
      </c>
      <c r="I93" t="s">
        <v>39</v>
      </c>
      <c r="J93" t="b">
        <v>0</v>
      </c>
      <c r="K93">
        <v>60</v>
      </c>
      <c r="L93">
        <v>8</v>
      </c>
      <c r="M93">
        <v>2025</v>
      </c>
      <c r="N93">
        <v>2</v>
      </c>
      <c r="O93">
        <v>6</v>
      </c>
      <c r="P93">
        <v>2025</v>
      </c>
      <c r="Q93">
        <v>5</v>
      </c>
      <c r="R93" t="s">
        <v>40</v>
      </c>
      <c r="S93" t="s">
        <v>67</v>
      </c>
      <c r="T93" t="s">
        <v>68</v>
      </c>
      <c r="U93" t="s">
        <v>66</v>
      </c>
      <c r="V93" t="s">
        <v>131</v>
      </c>
      <c r="W93" t="s">
        <v>132</v>
      </c>
      <c r="X93" t="s">
        <v>45</v>
      </c>
      <c r="Y93">
        <v>110</v>
      </c>
      <c r="Z93" t="s">
        <v>58</v>
      </c>
      <c r="AA93" t="s">
        <v>59</v>
      </c>
      <c r="AB93" s="1">
        <v>45896</v>
      </c>
      <c r="AC93" t="s">
        <v>40</v>
      </c>
      <c r="AD93" t="s">
        <v>40</v>
      </c>
      <c r="AE93" t="s">
        <v>86</v>
      </c>
      <c r="AF93" t="s">
        <v>40</v>
      </c>
      <c r="AG93">
        <v>0</v>
      </c>
      <c r="AH93" t="s">
        <v>61</v>
      </c>
    </row>
    <row r="94" spans="1:34" x14ac:dyDescent="0.3">
      <c r="A94" t="s">
        <v>300</v>
      </c>
      <c r="B94" t="s">
        <v>301</v>
      </c>
      <c r="C94" t="s">
        <v>89</v>
      </c>
      <c r="D94" t="s">
        <v>80</v>
      </c>
      <c r="E94" s="1">
        <v>46058</v>
      </c>
      <c r="F94" s="1">
        <v>46158</v>
      </c>
      <c r="G94" t="s">
        <v>64</v>
      </c>
      <c r="H94">
        <v>3433</v>
      </c>
      <c r="I94" t="s">
        <v>54</v>
      </c>
      <c r="J94" t="b">
        <v>0</v>
      </c>
      <c r="K94">
        <v>100</v>
      </c>
      <c r="L94">
        <v>5</v>
      </c>
      <c r="M94">
        <v>2026</v>
      </c>
      <c r="N94">
        <v>5</v>
      </c>
      <c r="O94">
        <v>2</v>
      </c>
      <c r="P94">
        <v>2026</v>
      </c>
      <c r="Q94">
        <v>3</v>
      </c>
      <c r="R94" t="s">
        <v>66</v>
      </c>
      <c r="S94" t="s">
        <v>55</v>
      </c>
      <c r="T94" t="s">
        <v>113</v>
      </c>
      <c r="U94" t="s">
        <v>40</v>
      </c>
      <c r="V94" t="s">
        <v>91</v>
      </c>
      <c r="W94" t="s">
        <v>92</v>
      </c>
      <c r="X94" t="s">
        <v>76</v>
      </c>
      <c r="Y94">
        <v>65</v>
      </c>
      <c r="Z94" t="s">
        <v>84</v>
      </c>
      <c r="AA94" t="s">
        <v>85</v>
      </c>
      <c r="AB94" s="1">
        <v>46158</v>
      </c>
      <c r="AC94" t="s">
        <v>66</v>
      </c>
      <c r="AD94" t="s">
        <v>40</v>
      </c>
      <c r="AE94" t="s">
        <v>69</v>
      </c>
      <c r="AF94" t="s">
        <v>40</v>
      </c>
      <c r="AG94">
        <v>1</v>
      </c>
      <c r="AH94" t="s">
        <v>49</v>
      </c>
    </row>
    <row r="95" spans="1:34" x14ac:dyDescent="0.3">
      <c r="A95" t="s">
        <v>302</v>
      </c>
      <c r="B95" t="s">
        <v>303</v>
      </c>
      <c r="C95" t="s">
        <v>97</v>
      </c>
      <c r="D95" t="s">
        <v>53</v>
      </c>
      <c r="E95" s="1">
        <v>45737</v>
      </c>
      <c r="F95" s="1">
        <v>45744</v>
      </c>
      <c r="G95" t="s">
        <v>81</v>
      </c>
      <c r="H95">
        <v>11988</v>
      </c>
      <c r="I95" t="s">
        <v>39</v>
      </c>
      <c r="J95" t="b">
        <v>0</v>
      </c>
      <c r="K95">
        <v>7</v>
      </c>
      <c r="L95">
        <v>3</v>
      </c>
      <c r="M95">
        <v>2025</v>
      </c>
      <c r="N95">
        <v>4</v>
      </c>
      <c r="O95">
        <v>3</v>
      </c>
      <c r="P95">
        <v>2025</v>
      </c>
      <c r="Q95">
        <v>4</v>
      </c>
      <c r="R95" t="s">
        <v>40</v>
      </c>
      <c r="S95" t="s">
        <v>45</v>
      </c>
      <c r="T95" t="s">
        <v>42</v>
      </c>
      <c r="U95" t="s">
        <v>66</v>
      </c>
      <c r="V95" t="s">
        <v>98</v>
      </c>
      <c r="W95" t="s">
        <v>99</v>
      </c>
      <c r="X95" t="s">
        <v>76</v>
      </c>
      <c r="Y95">
        <v>80</v>
      </c>
      <c r="Z95" t="s">
        <v>58</v>
      </c>
      <c r="AA95" t="s">
        <v>59</v>
      </c>
      <c r="AB95" s="1">
        <v>45744</v>
      </c>
      <c r="AC95" t="s">
        <v>40</v>
      </c>
      <c r="AD95" t="s">
        <v>40</v>
      </c>
      <c r="AE95" t="s">
        <v>60</v>
      </c>
      <c r="AF95" t="s">
        <v>40</v>
      </c>
      <c r="AG95">
        <v>0</v>
      </c>
      <c r="AH95" t="s">
        <v>100</v>
      </c>
    </row>
    <row r="96" spans="1:34" x14ac:dyDescent="0.3">
      <c r="A96" t="s">
        <v>304</v>
      </c>
      <c r="B96" t="s">
        <v>305</v>
      </c>
      <c r="C96" t="s">
        <v>73</v>
      </c>
      <c r="D96" t="s">
        <v>37</v>
      </c>
      <c r="E96" s="1">
        <v>45727</v>
      </c>
      <c r="F96" s="1">
        <v>45741</v>
      </c>
      <c r="G96" t="s">
        <v>64</v>
      </c>
      <c r="H96">
        <v>2298</v>
      </c>
      <c r="I96" t="s">
        <v>39</v>
      </c>
      <c r="J96" t="b">
        <v>0</v>
      </c>
      <c r="K96">
        <v>14</v>
      </c>
      <c r="L96">
        <v>3</v>
      </c>
      <c r="M96">
        <v>2025</v>
      </c>
      <c r="N96">
        <v>1</v>
      </c>
      <c r="O96">
        <v>3</v>
      </c>
      <c r="P96">
        <v>2025</v>
      </c>
      <c r="Q96">
        <v>1</v>
      </c>
      <c r="R96" t="s">
        <v>40</v>
      </c>
      <c r="S96" t="s">
        <v>41</v>
      </c>
      <c r="T96" t="s">
        <v>42</v>
      </c>
      <c r="U96" t="s">
        <v>40</v>
      </c>
      <c r="V96" t="s">
        <v>74</v>
      </c>
      <c r="W96" t="s">
        <v>75</v>
      </c>
      <c r="X96" t="s">
        <v>76</v>
      </c>
      <c r="Y96">
        <v>75</v>
      </c>
      <c r="Z96" t="s">
        <v>46</v>
      </c>
      <c r="AA96" t="s">
        <v>47</v>
      </c>
      <c r="AB96" s="1">
        <v>45741</v>
      </c>
      <c r="AC96" t="s">
        <v>40</v>
      </c>
      <c r="AD96" t="s">
        <v>40</v>
      </c>
      <c r="AE96" t="s">
        <v>60</v>
      </c>
      <c r="AF96" t="s">
        <v>40</v>
      </c>
      <c r="AG96">
        <v>0</v>
      </c>
      <c r="AH96" t="s">
        <v>70</v>
      </c>
    </row>
    <row r="97" spans="1:34" x14ac:dyDescent="0.3">
      <c r="A97" t="s">
        <v>306</v>
      </c>
      <c r="B97" t="s">
        <v>307</v>
      </c>
      <c r="C97" t="s">
        <v>79</v>
      </c>
      <c r="D97" t="s">
        <v>80</v>
      </c>
      <c r="E97" s="1">
        <v>46042</v>
      </c>
      <c r="F97" s="1">
        <v>46045</v>
      </c>
      <c r="G97" t="s">
        <v>41</v>
      </c>
      <c r="H97">
        <v>6848</v>
      </c>
      <c r="I97" t="s">
        <v>39</v>
      </c>
      <c r="J97" t="b">
        <v>0</v>
      </c>
      <c r="K97">
        <v>3</v>
      </c>
      <c r="L97">
        <v>1</v>
      </c>
      <c r="M97">
        <v>2026</v>
      </c>
      <c r="N97">
        <v>4</v>
      </c>
      <c r="O97">
        <v>1</v>
      </c>
      <c r="P97">
        <v>2026</v>
      </c>
      <c r="Q97">
        <v>1</v>
      </c>
      <c r="R97" t="s">
        <v>40</v>
      </c>
      <c r="S97" t="s">
        <v>55</v>
      </c>
      <c r="T97" t="s">
        <v>42</v>
      </c>
      <c r="U97" t="s">
        <v>40</v>
      </c>
      <c r="V97" t="s">
        <v>82</v>
      </c>
      <c r="W97" t="s">
        <v>83</v>
      </c>
      <c r="X97" t="s">
        <v>76</v>
      </c>
      <c r="Y97">
        <v>100</v>
      </c>
      <c r="Z97" t="s">
        <v>84</v>
      </c>
      <c r="AA97" t="s">
        <v>85</v>
      </c>
      <c r="AB97" s="1">
        <v>46045</v>
      </c>
      <c r="AC97" t="s">
        <v>40</v>
      </c>
      <c r="AD97" t="s">
        <v>40</v>
      </c>
      <c r="AE97" t="s">
        <v>86</v>
      </c>
      <c r="AF97" t="s">
        <v>40</v>
      </c>
      <c r="AG97">
        <v>0</v>
      </c>
      <c r="AH97" t="s">
        <v>100</v>
      </c>
    </row>
    <row r="98" spans="1:34" x14ac:dyDescent="0.3">
      <c r="A98" t="s">
        <v>308</v>
      </c>
      <c r="B98" t="s">
        <v>309</v>
      </c>
      <c r="C98" t="s">
        <v>169</v>
      </c>
      <c r="D98" t="s">
        <v>130</v>
      </c>
      <c r="E98" s="1">
        <v>45733</v>
      </c>
      <c r="F98" s="1">
        <v>45747</v>
      </c>
      <c r="G98" t="s">
        <v>41</v>
      </c>
      <c r="H98">
        <v>8857</v>
      </c>
      <c r="I98" t="s">
        <v>39</v>
      </c>
      <c r="J98" t="b">
        <v>0</v>
      </c>
      <c r="K98">
        <v>14</v>
      </c>
      <c r="L98">
        <v>3</v>
      </c>
      <c r="M98">
        <v>2025</v>
      </c>
      <c r="N98">
        <v>0</v>
      </c>
      <c r="O98">
        <v>3</v>
      </c>
      <c r="P98">
        <v>2025</v>
      </c>
      <c r="Q98">
        <v>0</v>
      </c>
      <c r="R98" t="s">
        <v>40</v>
      </c>
      <c r="S98" t="s">
        <v>55</v>
      </c>
      <c r="T98" t="s">
        <v>42</v>
      </c>
      <c r="U98" t="s">
        <v>66</v>
      </c>
      <c r="V98" t="s">
        <v>170</v>
      </c>
      <c r="W98" t="s">
        <v>171</v>
      </c>
      <c r="X98" t="s">
        <v>126</v>
      </c>
      <c r="Y98">
        <v>90</v>
      </c>
      <c r="Z98" t="s">
        <v>133</v>
      </c>
      <c r="AA98" t="s">
        <v>134</v>
      </c>
      <c r="AB98" s="1">
        <v>45747</v>
      </c>
      <c r="AC98" t="s">
        <v>40</v>
      </c>
      <c r="AD98" t="s">
        <v>40</v>
      </c>
      <c r="AE98" t="s">
        <v>60</v>
      </c>
      <c r="AF98" t="s">
        <v>40</v>
      </c>
      <c r="AG98">
        <v>0</v>
      </c>
      <c r="AH98" t="s">
        <v>70</v>
      </c>
    </row>
    <row r="99" spans="1:34" x14ac:dyDescent="0.3">
      <c r="A99" t="s">
        <v>310</v>
      </c>
      <c r="B99" t="s">
        <v>154</v>
      </c>
      <c r="C99" t="s">
        <v>122</v>
      </c>
      <c r="D99" t="s">
        <v>37</v>
      </c>
      <c r="E99" s="1">
        <v>45689</v>
      </c>
      <c r="F99" s="1">
        <v>45703</v>
      </c>
      <c r="G99" t="s">
        <v>38</v>
      </c>
      <c r="H99">
        <v>5278</v>
      </c>
      <c r="I99" t="s">
        <v>39</v>
      </c>
      <c r="J99" t="b">
        <v>0</v>
      </c>
      <c r="K99">
        <v>14</v>
      </c>
      <c r="L99">
        <v>2</v>
      </c>
      <c r="M99">
        <v>2025</v>
      </c>
      <c r="N99">
        <v>5</v>
      </c>
      <c r="O99">
        <v>2</v>
      </c>
      <c r="P99">
        <v>2025</v>
      </c>
      <c r="Q99">
        <v>5</v>
      </c>
      <c r="R99" t="s">
        <v>66</v>
      </c>
      <c r="S99" t="s">
        <v>55</v>
      </c>
      <c r="T99" t="s">
        <v>42</v>
      </c>
      <c r="U99" t="s">
        <v>40</v>
      </c>
      <c r="V99" t="s">
        <v>124</v>
      </c>
      <c r="W99" t="s">
        <v>125</v>
      </c>
      <c r="X99" t="s">
        <v>126</v>
      </c>
      <c r="Y99">
        <v>85</v>
      </c>
      <c r="Z99" t="s">
        <v>46</v>
      </c>
      <c r="AA99" t="s">
        <v>47</v>
      </c>
      <c r="AB99" s="1">
        <v>45703</v>
      </c>
      <c r="AC99" t="s">
        <v>66</v>
      </c>
      <c r="AD99" t="s">
        <v>40</v>
      </c>
      <c r="AE99" t="s">
        <v>60</v>
      </c>
      <c r="AF99" t="s">
        <v>40</v>
      </c>
      <c r="AG99">
        <v>0</v>
      </c>
      <c r="AH99" t="s">
        <v>70</v>
      </c>
    </row>
    <row r="100" spans="1:34" x14ac:dyDescent="0.3">
      <c r="A100" t="s">
        <v>311</v>
      </c>
      <c r="B100" t="s">
        <v>312</v>
      </c>
      <c r="C100" t="s">
        <v>89</v>
      </c>
      <c r="D100" t="s">
        <v>37</v>
      </c>
      <c r="E100" s="1">
        <v>46211</v>
      </c>
      <c r="F100" s="1">
        <v>46218</v>
      </c>
      <c r="G100" t="s">
        <v>81</v>
      </c>
      <c r="H100">
        <v>6906</v>
      </c>
      <c r="I100" t="s">
        <v>39</v>
      </c>
      <c r="J100" t="b">
        <v>0</v>
      </c>
      <c r="K100">
        <v>7</v>
      </c>
      <c r="L100">
        <v>7</v>
      </c>
      <c r="M100">
        <v>2026</v>
      </c>
      <c r="N100">
        <v>2</v>
      </c>
      <c r="O100">
        <v>7</v>
      </c>
      <c r="P100">
        <v>2026</v>
      </c>
      <c r="Q100">
        <v>2</v>
      </c>
      <c r="R100" t="s">
        <v>40</v>
      </c>
      <c r="S100" t="s">
        <v>45</v>
      </c>
      <c r="T100" t="s">
        <v>42</v>
      </c>
      <c r="U100" t="s">
        <v>40</v>
      </c>
      <c r="V100" t="s">
        <v>91</v>
      </c>
      <c r="W100" t="s">
        <v>92</v>
      </c>
      <c r="X100" t="s">
        <v>76</v>
      </c>
      <c r="Y100">
        <v>65</v>
      </c>
      <c r="Z100" t="s">
        <v>46</v>
      </c>
      <c r="AA100" t="s">
        <v>47</v>
      </c>
      <c r="AB100" s="1">
        <v>46218</v>
      </c>
      <c r="AC100" t="s">
        <v>40</v>
      </c>
      <c r="AD100" t="s">
        <v>40</v>
      </c>
      <c r="AE100" t="s">
        <v>86</v>
      </c>
      <c r="AF100" t="s">
        <v>40</v>
      </c>
      <c r="AG100">
        <v>0</v>
      </c>
      <c r="AH100" t="s">
        <v>100</v>
      </c>
    </row>
    <row r="101" spans="1:34" x14ac:dyDescent="0.3">
      <c r="A101" t="s">
        <v>313</v>
      </c>
      <c r="B101" t="s">
        <v>162</v>
      </c>
      <c r="C101" t="s">
        <v>52</v>
      </c>
      <c r="D101" t="s">
        <v>104</v>
      </c>
      <c r="E101" s="1">
        <v>45747</v>
      </c>
      <c r="F101" s="1">
        <v>45754</v>
      </c>
      <c r="G101" t="s">
        <v>41</v>
      </c>
      <c r="H101">
        <v>5699</v>
      </c>
      <c r="I101" t="s">
        <v>39</v>
      </c>
      <c r="J101" t="b">
        <v>0</v>
      </c>
      <c r="K101">
        <v>7</v>
      </c>
      <c r="L101">
        <v>4</v>
      </c>
      <c r="M101">
        <v>2025</v>
      </c>
      <c r="N101">
        <v>0</v>
      </c>
      <c r="O101">
        <v>3</v>
      </c>
      <c r="P101">
        <v>2025</v>
      </c>
      <c r="Q101">
        <v>0</v>
      </c>
      <c r="R101" t="s">
        <v>40</v>
      </c>
      <c r="S101" t="s">
        <v>67</v>
      </c>
      <c r="T101" t="s">
        <v>42</v>
      </c>
      <c r="U101" t="s">
        <v>40</v>
      </c>
      <c r="V101" t="s">
        <v>56</v>
      </c>
      <c r="W101" t="s">
        <v>57</v>
      </c>
      <c r="X101" t="s">
        <v>45</v>
      </c>
      <c r="Y101">
        <v>120</v>
      </c>
      <c r="Z101" t="s">
        <v>107</v>
      </c>
      <c r="AA101" t="s">
        <v>108</v>
      </c>
      <c r="AB101" s="1">
        <v>45754</v>
      </c>
      <c r="AC101" t="s">
        <v>40</v>
      </c>
      <c r="AD101" t="s">
        <v>40</v>
      </c>
      <c r="AE101" t="s">
        <v>69</v>
      </c>
      <c r="AF101" t="s">
        <v>40</v>
      </c>
      <c r="AG101">
        <v>0</v>
      </c>
      <c r="AH101" t="s">
        <v>100</v>
      </c>
    </row>
    <row r="102" spans="1:34" x14ac:dyDescent="0.3">
      <c r="A102" t="s">
        <v>314</v>
      </c>
      <c r="B102" t="s">
        <v>253</v>
      </c>
      <c r="C102" t="s">
        <v>169</v>
      </c>
      <c r="D102" t="s">
        <v>104</v>
      </c>
      <c r="E102" s="1">
        <v>46140</v>
      </c>
      <c r="F102" s="1">
        <v>46154</v>
      </c>
      <c r="G102" t="s">
        <v>81</v>
      </c>
      <c r="H102">
        <v>9674</v>
      </c>
      <c r="I102" t="s">
        <v>39</v>
      </c>
      <c r="J102" t="b">
        <v>0</v>
      </c>
      <c r="K102">
        <v>14</v>
      </c>
      <c r="L102">
        <v>5</v>
      </c>
      <c r="M102">
        <v>2026</v>
      </c>
      <c r="N102">
        <v>1</v>
      </c>
      <c r="O102">
        <v>4</v>
      </c>
      <c r="P102">
        <v>2026</v>
      </c>
      <c r="Q102">
        <v>1</v>
      </c>
      <c r="R102" t="s">
        <v>40</v>
      </c>
      <c r="S102" t="s">
        <v>67</v>
      </c>
      <c r="T102" t="s">
        <v>42</v>
      </c>
      <c r="U102" t="s">
        <v>40</v>
      </c>
      <c r="V102" t="s">
        <v>170</v>
      </c>
      <c r="W102" t="s">
        <v>171</v>
      </c>
      <c r="X102" t="s">
        <v>126</v>
      </c>
      <c r="Y102">
        <v>90</v>
      </c>
      <c r="Z102" t="s">
        <v>107</v>
      </c>
      <c r="AA102" t="s">
        <v>108</v>
      </c>
      <c r="AB102" s="1">
        <v>46154</v>
      </c>
      <c r="AC102" t="s">
        <v>40</v>
      </c>
      <c r="AD102" t="s">
        <v>40</v>
      </c>
      <c r="AE102" t="s">
        <v>69</v>
      </c>
      <c r="AF102" t="s">
        <v>40</v>
      </c>
      <c r="AG102">
        <v>0</v>
      </c>
      <c r="AH102" t="s">
        <v>70</v>
      </c>
    </row>
    <row r="103" spans="1:34" x14ac:dyDescent="0.3">
      <c r="A103" t="s">
        <v>315</v>
      </c>
      <c r="B103" t="s">
        <v>316</v>
      </c>
      <c r="C103" t="s">
        <v>169</v>
      </c>
      <c r="D103" t="s">
        <v>104</v>
      </c>
      <c r="E103" s="1">
        <v>46134</v>
      </c>
      <c r="F103" s="1">
        <v>46141</v>
      </c>
      <c r="G103" t="s">
        <v>81</v>
      </c>
      <c r="H103">
        <v>11967</v>
      </c>
      <c r="I103" t="s">
        <v>39</v>
      </c>
      <c r="J103" t="b">
        <v>0</v>
      </c>
      <c r="K103">
        <v>7</v>
      </c>
      <c r="L103">
        <v>4</v>
      </c>
      <c r="M103">
        <v>2026</v>
      </c>
      <c r="N103">
        <v>2</v>
      </c>
      <c r="O103">
        <v>4</v>
      </c>
      <c r="P103">
        <v>2026</v>
      </c>
      <c r="Q103">
        <v>2</v>
      </c>
      <c r="R103" t="s">
        <v>40</v>
      </c>
      <c r="S103" t="s">
        <v>45</v>
      </c>
      <c r="T103" t="s">
        <v>48</v>
      </c>
      <c r="U103" t="s">
        <v>40</v>
      </c>
      <c r="V103" t="s">
        <v>170</v>
      </c>
      <c r="W103" t="s">
        <v>171</v>
      </c>
      <c r="X103" t="s">
        <v>126</v>
      </c>
      <c r="Y103">
        <v>90</v>
      </c>
      <c r="Z103" t="s">
        <v>107</v>
      </c>
      <c r="AA103" t="s">
        <v>108</v>
      </c>
      <c r="AB103" s="1">
        <v>46141</v>
      </c>
      <c r="AC103" t="s">
        <v>40</v>
      </c>
      <c r="AD103" t="s">
        <v>40</v>
      </c>
      <c r="AE103" t="s">
        <v>69</v>
      </c>
      <c r="AF103" t="s">
        <v>40</v>
      </c>
      <c r="AG103">
        <v>0</v>
      </c>
      <c r="AH103" t="s">
        <v>100</v>
      </c>
    </row>
    <row r="104" spans="1:34" x14ac:dyDescent="0.3">
      <c r="A104" t="s">
        <v>317</v>
      </c>
      <c r="B104" t="s">
        <v>318</v>
      </c>
      <c r="C104" t="s">
        <v>73</v>
      </c>
      <c r="D104" t="s">
        <v>80</v>
      </c>
      <c r="E104" s="1">
        <v>45720</v>
      </c>
      <c r="F104" s="1">
        <v>45820</v>
      </c>
      <c r="G104" t="s">
        <v>41</v>
      </c>
      <c r="H104">
        <v>8611</v>
      </c>
      <c r="I104" t="s">
        <v>54</v>
      </c>
      <c r="J104" t="b">
        <v>0</v>
      </c>
      <c r="K104">
        <v>100</v>
      </c>
      <c r="L104">
        <v>6</v>
      </c>
      <c r="M104">
        <v>2025</v>
      </c>
      <c r="N104">
        <v>3</v>
      </c>
      <c r="O104">
        <v>3</v>
      </c>
      <c r="P104">
        <v>2025</v>
      </c>
      <c r="Q104">
        <v>1</v>
      </c>
      <c r="R104" t="s">
        <v>40</v>
      </c>
      <c r="S104" t="s">
        <v>67</v>
      </c>
      <c r="T104" t="s">
        <v>42</v>
      </c>
      <c r="U104" t="s">
        <v>40</v>
      </c>
      <c r="V104" t="s">
        <v>74</v>
      </c>
      <c r="W104" t="s">
        <v>75</v>
      </c>
      <c r="X104" t="s">
        <v>76</v>
      </c>
      <c r="Y104">
        <v>75</v>
      </c>
      <c r="Z104" t="s">
        <v>84</v>
      </c>
      <c r="AA104" t="s">
        <v>85</v>
      </c>
      <c r="AB104" s="1">
        <v>45820</v>
      </c>
      <c r="AC104" t="s">
        <v>40</v>
      </c>
      <c r="AD104" t="s">
        <v>40</v>
      </c>
      <c r="AE104" t="s">
        <v>60</v>
      </c>
      <c r="AF104" t="s">
        <v>40</v>
      </c>
      <c r="AG104">
        <v>1</v>
      </c>
      <c r="AH104" t="s">
        <v>49</v>
      </c>
    </row>
    <row r="105" spans="1:34" x14ac:dyDescent="0.3">
      <c r="A105" t="s">
        <v>319</v>
      </c>
      <c r="B105" t="s">
        <v>320</v>
      </c>
      <c r="C105" t="s">
        <v>89</v>
      </c>
      <c r="D105" t="s">
        <v>130</v>
      </c>
      <c r="E105" s="1">
        <v>46172</v>
      </c>
      <c r="F105" s="1">
        <v>46202</v>
      </c>
      <c r="G105" t="s">
        <v>38</v>
      </c>
      <c r="H105">
        <v>5339</v>
      </c>
      <c r="I105" t="s">
        <v>65</v>
      </c>
      <c r="J105" t="b">
        <v>0</v>
      </c>
      <c r="K105">
        <v>30</v>
      </c>
      <c r="L105">
        <v>6</v>
      </c>
      <c r="M105">
        <v>2026</v>
      </c>
      <c r="N105">
        <v>0</v>
      </c>
      <c r="O105">
        <v>5</v>
      </c>
      <c r="P105">
        <v>2026</v>
      </c>
      <c r="Q105">
        <v>5</v>
      </c>
      <c r="R105" t="s">
        <v>40</v>
      </c>
      <c r="S105" t="s">
        <v>67</v>
      </c>
      <c r="T105" t="s">
        <v>42</v>
      </c>
      <c r="U105" t="s">
        <v>40</v>
      </c>
      <c r="V105" t="s">
        <v>91</v>
      </c>
      <c r="W105" t="s">
        <v>92</v>
      </c>
      <c r="X105" t="s">
        <v>76</v>
      </c>
      <c r="Y105">
        <v>65</v>
      </c>
      <c r="Z105" t="s">
        <v>133</v>
      </c>
      <c r="AA105" t="s">
        <v>134</v>
      </c>
      <c r="AB105" s="1">
        <v>46202</v>
      </c>
      <c r="AC105" t="s">
        <v>40</v>
      </c>
      <c r="AD105" t="s">
        <v>40</v>
      </c>
      <c r="AE105" t="s">
        <v>60</v>
      </c>
      <c r="AF105" t="s">
        <v>40</v>
      </c>
      <c r="AG105">
        <v>0</v>
      </c>
      <c r="AH105" t="s">
        <v>70</v>
      </c>
    </row>
    <row r="106" spans="1:34" x14ac:dyDescent="0.3">
      <c r="A106" t="s">
        <v>321</v>
      </c>
      <c r="B106" t="s">
        <v>322</v>
      </c>
      <c r="C106" t="s">
        <v>52</v>
      </c>
      <c r="D106" t="s">
        <v>104</v>
      </c>
      <c r="E106" s="1">
        <v>45738</v>
      </c>
      <c r="F106" s="1">
        <v>45958</v>
      </c>
      <c r="G106" t="s">
        <v>41</v>
      </c>
      <c r="H106">
        <v>6056</v>
      </c>
      <c r="I106" t="s">
        <v>65</v>
      </c>
      <c r="J106" t="b">
        <v>0</v>
      </c>
      <c r="K106">
        <v>220</v>
      </c>
      <c r="L106">
        <v>10</v>
      </c>
      <c r="M106">
        <v>2025</v>
      </c>
      <c r="N106">
        <v>1</v>
      </c>
      <c r="O106">
        <v>3</v>
      </c>
      <c r="P106">
        <v>2025</v>
      </c>
      <c r="Q106">
        <v>5</v>
      </c>
      <c r="R106" t="s">
        <v>40</v>
      </c>
      <c r="S106" t="s">
        <v>45</v>
      </c>
      <c r="T106" t="s">
        <v>68</v>
      </c>
      <c r="U106" t="s">
        <v>40</v>
      </c>
      <c r="V106" t="s">
        <v>56</v>
      </c>
      <c r="W106" t="s">
        <v>57</v>
      </c>
      <c r="X106" t="s">
        <v>45</v>
      </c>
      <c r="Y106">
        <v>120</v>
      </c>
      <c r="Z106" t="s">
        <v>107</v>
      </c>
      <c r="AA106" t="s">
        <v>108</v>
      </c>
      <c r="AB106" s="1">
        <v>45958</v>
      </c>
      <c r="AC106" t="s">
        <v>40</v>
      </c>
      <c r="AD106" t="s">
        <v>40</v>
      </c>
      <c r="AE106" t="s">
        <v>60</v>
      </c>
      <c r="AF106" t="s">
        <v>40</v>
      </c>
      <c r="AG106">
        <v>0</v>
      </c>
      <c r="AH106" t="s">
        <v>142</v>
      </c>
    </row>
    <row r="107" spans="1:34" x14ac:dyDescent="0.3">
      <c r="A107" t="s">
        <v>323</v>
      </c>
      <c r="B107" t="s">
        <v>324</v>
      </c>
      <c r="C107" t="s">
        <v>103</v>
      </c>
      <c r="D107" t="s">
        <v>80</v>
      </c>
      <c r="E107" s="1">
        <v>46064</v>
      </c>
      <c r="F107" s="1">
        <v>46094</v>
      </c>
      <c r="G107" t="s">
        <v>81</v>
      </c>
      <c r="H107">
        <v>11604</v>
      </c>
      <c r="I107" t="s">
        <v>39</v>
      </c>
      <c r="J107" t="b">
        <v>0</v>
      </c>
      <c r="K107">
        <v>30</v>
      </c>
      <c r="L107">
        <v>3</v>
      </c>
      <c r="M107">
        <v>2026</v>
      </c>
      <c r="N107">
        <v>4</v>
      </c>
      <c r="O107">
        <v>2</v>
      </c>
      <c r="P107">
        <v>2026</v>
      </c>
      <c r="Q107">
        <v>2</v>
      </c>
      <c r="R107" t="s">
        <v>40</v>
      </c>
      <c r="S107" t="s">
        <v>67</v>
      </c>
      <c r="T107" t="s">
        <v>42</v>
      </c>
      <c r="U107" t="s">
        <v>66</v>
      </c>
      <c r="V107" t="s">
        <v>105</v>
      </c>
      <c r="W107" t="s">
        <v>106</v>
      </c>
      <c r="X107" t="s">
        <v>45</v>
      </c>
      <c r="Y107">
        <v>140</v>
      </c>
      <c r="Z107" t="s">
        <v>84</v>
      </c>
      <c r="AA107" t="s">
        <v>85</v>
      </c>
      <c r="AB107" s="1">
        <v>46094</v>
      </c>
      <c r="AC107" t="s">
        <v>40</v>
      </c>
      <c r="AD107" t="s">
        <v>40</v>
      </c>
      <c r="AE107" t="s">
        <v>60</v>
      </c>
      <c r="AF107" t="s">
        <v>40</v>
      </c>
      <c r="AG107">
        <v>0</v>
      </c>
      <c r="AH107" t="s">
        <v>70</v>
      </c>
    </row>
    <row r="108" spans="1:34" x14ac:dyDescent="0.3">
      <c r="A108" t="s">
        <v>325</v>
      </c>
      <c r="B108" t="s">
        <v>326</v>
      </c>
      <c r="C108" t="s">
        <v>155</v>
      </c>
      <c r="D108" t="s">
        <v>80</v>
      </c>
      <c r="E108" s="1">
        <v>46254</v>
      </c>
      <c r="F108" s="1">
        <v>46314</v>
      </c>
      <c r="G108" t="s">
        <v>64</v>
      </c>
      <c r="H108">
        <v>3352</v>
      </c>
      <c r="I108" t="s">
        <v>39</v>
      </c>
      <c r="J108" t="b">
        <v>0</v>
      </c>
      <c r="K108">
        <v>60</v>
      </c>
      <c r="L108">
        <v>10</v>
      </c>
      <c r="M108">
        <v>2026</v>
      </c>
      <c r="N108">
        <v>0</v>
      </c>
      <c r="O108">
        <v>8</v>
      </c>
      <c r="P108">
        <v>2026</v>
      </c>
      <c r="Q108">
        <v>3</v>
      </c>
      <c r="R108" t="s">
        <v>40</v>
      </c>
      <c r="S108" t="s">
        <v>55</v>
      </c>
      <c r="T108" t="s">
        <v>42</v>
      </c>
      <c r="U108" t="s">
        <v>40</v>
      </c>
      <c r="V108" t="s">
        <v>156</v>
      </c>
      <c r="W108" t="s">
        <v>157</v>
      </c>
      <c r="X108" t="s">
        <v>158</v>
      </c>
      <c r="Y108">
        <v>70</v>
      </c>
      <c r="Z108" t="s">
        <v>84</v>
      </c>
      <c r="AA108" t="s">
        <v>85</v>
      </c>
      <c r="AB108" s="1">
        <v>46314</v>
      </c>
      <c r="AC108" t="s">
        <v>40</v>
      </c>
      <c r="AD108" t="s">
        <v>40</v>
      </c>
      <c r="AE108" t="s">
        <v>60</v>
      </c>
      <c r="AF108" t="s">
        <v>40</v>
      </c>
      <c r="AG108">
        <v>0</v>
      </c>
      <c r="AH108" t="s">
        <v>61</v>
      </c>
    </row>
    <row r="109" spans="1:34" x14ac:dyDescent="0.3">
      <c r="A109" t="s">
        <v>327</v>
      </c>
      <c r="B109" t="s">
        <v>328</v>
      </c>
      <c r="C109" t="s">
        <v>129</v>
      </c>
      <c r="D109" t="s">
        <v>104</v>
      </c>
      <c r="E109" s="1">
        <v>46243</v>
      </c>
      <c r="F109" s="1">
        <v>46273</v>
      </c>
      <c r="G109" t="s">
        <v>64</v>
      </c>
      <c r="H109">
        <v>2764</v>
      </c>
      <c r="I109" t="s">
        <v>39</v>
      </c>
      <c r="J109" t="b">
        <v>0</v>
      </c>
      <c r="K109">
        <v>30</v>
      </c>
      <c r="L109">
        <v>9</v>
      </c>
      <c r="M109">
        <v>2026</v>
      </c>
      <c r="N109">
        <v>1</v>
      </c>
      <c r="O109">
        <v>8</v>
      </c>
      <c r="P109">
        <v>2026</v>
      </c>
      <c r="Q109">
        <v>6</v>
      </c>
      <c r="R109" t="s">
        <v>40</v>
      </c>
      <c r="S109" t="s">
        <v>55</v>
      </c>
      <c r="T109" t="s">
        <v>42</v>
      </c>
      <c r="U109" t="s">
        <v>40</v>
      </c>
      <c r="V109" t="s">
        <v>131</v>
      </c>
      <c r="W109" t="s">
        <v>132</v>
      </c>
      <c r="X109" t="s">
        <v>45</v>
      </c>
      <c r="Y109">
        <v>110</v>
      </c>
      <c r="Z109" t="s">
        <v>107</v>
      </c>
      <c r="AA109" t="s">
        <v>108</v>
      </c>
      <c r="AB109" s="1">
        <v>46273</v>
      </c>
      <c r="AC109" t="s">
        <v>40</v>
      </c>
      <c r="AD109" t="s">
        <v>40</v>
      </c>
      <c r="AE109" t="s">
        <v>60</v>
      </c>
      <c r="AF109" t="s">
        <v>40</v>
      </c>
      <c r="AG109">
        <v>0</v>
      </c>
      <c r="AH109" t="s">
        <v>70</v>
      </c>
    </row>
    <row r="110" spans="1:34" x14ac:dyDescent="0.3">
      <c r="A110" t="s">
        <v>329</v>
      </c>
      <c r="B110" t="s">
        <v>330</v>
      </c>
      <c r="C110" t="s">
        <v>89</v>
      </c>
      <c r="D110" t="s">
        <v>90</v>
      </c>
      <c r="E110" s="1">
        <v>45708</v>
      </c>
      <c r="F110" s="1">
        <v>45768</v>
      </c>
      <c r="G110" t="s">
        <v>81</v>
      </c>
      <c r="H110">
        <v>8982</v>
      </c>
      <c r="I110" t="s">
        <v>65</v>
      </c>
      <c r="J110" t="b">
        <v>0</v>
      </c>
      <c r="K110">
        <v>60</v>
      </c>
      <c r="L110">
        <v>4</v>
      </c>
      <c r="M110">
        <v>2025</v>
      </c>
      <c r="N110">
        <v>0</v>
      </c>
      <c r="O110">
        <v>2</v>
      </c>
      <c r="P110">
        <v>2025</v>
      </c>
      <c r="Q110">
        <v>3</v>
      </c>
      <c r="R110" t="s">
        <v>40</v>
      </c>
      <c r="S110" t="s">
        <v>45</v>
      </c>
      <c r="T110" t="s">
        <v>42</v>
      </c>
      <c r="U110" t="s">
        <v>40</v>
      </c>
      <c r="V110" t="s">
        <v>91</v>
      </c>
      <c r="W110" t="s">
        <v>92</v>
      </c>
      <c r="X110" t="s">
        <v>76</v>
      </c>
      <c r="Y110">
        <v>65</v>
      </c>
      <c r="Z110" t="s">
        <v>93</v>
      </c>
      <c r="AA110" t="s">
        <v>94</v>
      </c>
      <c r="AB110" s="1">
        <v>45768</v>
      </c>
      <c r="AC110" t="s">
        <v>40</v>
      </c>
      <c r="AD110" t="s">
        <v>40</v>
      </c>
      <c r="AE110" t="s">
        <v>69</v>
      </c>
      <c r="AF110" t="s">
        <v>40</v>
      </c>
      <c r="AG110">
        <v>0</v>
      </c>
      <c r="AH110" t="s">
        <v>61</v>
      </c>
    </row>
    <row r="111" spans="1:34" x14ac:dyDescent="0.3">
      <c r="A111" t="s">
        <v>331</v>
      </c>
      <c r="B111" t="s">
        <v>332</v>
      </c>
      <c r="C111" t="s">
        <v>73</v>
      </c>
      <c r="D111" t="s">
        <v>90</v>
      </c>
      <c r="E111" s="1">
        <v>45965</v>
      </c>
      <c r="F111" s="1">
        <v>46185</v>
      </c>
      <c r="G111" t="s">
        <v>41</v>
      </c>
      <c r="H111">
        <v>7644</v>
      </c>
      <c r="I111" t="s">
        <v>65</v>
      </c>
      <c r="J111" t="b">
        <v>0</v>
      </c>
      <c r="K111">
        <v>220</v>
      </c>
      <c r="L111">
        <v>6</v>
      </c>
      <c r="M111">
        <v>2026</v>
      </c>
      <c r="N111">
        <v>4</v>
      </c>
      <c r="O111">
        <v>11</v>
      </c>
      <c r="P111">
        <v>2025</v>
      </c>
      <c r="Q111">
        <v>1</v>
      </c>
      <c r="R111" t="s">
        <v>40</v>
      </c>
      <c r="S111" t="s">
        <v>67</v>
      </c>
      <c r="T111" t="s">
        <v>42</v>
      </c>
      <c r="U111" t="s">
        <v>40</v>
      </c>
      <c r="V111" t="s">
        <v>74</v>
      </c>
      <c r="W111" t="s">
        <v>75</v>
      </c>
      <c r="X111" t="s">
        <v>76</v>
      </c>
      <c r="Y111">
        <v>75</v>
      </c>
      <c r="Z111" t="s">
        <v>93</v>
      </c>
      <c r="AA111" t="s">
        <v>94</v>
      </c>
      <c r="AB111" s="1">
        <v>46185</v>
      </c>
      <c r="AC111" t="s">
        <v>40</v>
      </c>
      <c r="AD111" t="s">
        <v>40</v>
      </c>
      <c r="AE111" t="s">
        <v>60</v>
      </c>
      <c r="AF111" t="s">
        <v>40</v>
      </c>
      <c r="AG111">
        <v>0</v>
      </c>
      <c r="AH111" t="s">
        <v>142</v>
      </c>
    </row>
    <row r="112" spans="1:34" x14ac:dyDescent="0.3">
      <c r="A112" t="s">
        <v>333</v>
      </c>
      <c r="B112" t="s">
        <v>334</v>
      </c>
      <c r="C112" t="s">
        <v>89</v>
      </c>
      <c r="D112" t="s">
        <v>104</v>
      </c>
      <c r="E112" s="1">
        <v>46186</v>
      </c>
      <c r="F112" s="1">
        <v>46286</v>
      </c>
      <c r="G112" t="s">
        <v>64</v>
      </c>
      <c r="H112">
        <v>3820</v>
      </c>
      <c r="I112" t="s">
        <v>65</v>
      </c>
      <c r="J112" t="b">
        <v>0</v>
      </c>
      <c r="K112">
        <v>100</v>
      </c>
      <c r="L112">
        <v>9</v>
      </c>
      <c r="M112">
        <v>2026</v>
      </c>
      <c r="N112">
        <v>0</v>
      </c>
      <c r="O112">
        <v>6</v>
      </c>
      <c r="P112">
        <v>2026</v>
      </c>
      <c r="Q112">
        <v>5</v>
      </c>
      <c r="R112" t="s">
        <v>40</v>
      </c>
      <c r="S112" t="s">
        <v>67</v>
      </c>
      <c r="T112" t="s">
        <v>42</v>
      </c>
      <c r="U112" t="s">
        <v>40</v>
      </c>
      <c r="V112" t="s">
        <v>91</v>
      </c>
      <c r="W112" t="s">
        <v>92</v>
      </c>
      <c r="X112" t="s">
        <v>76</v>
      </c>
      <c r="Y112">
        <v>65</v>
      </c>
      <c r="Z112" t="s">
        <v>107</v>
      </c>
      <c r="AA112" t="s">
        <v>108</v>
      </c>
      <c r="AB112" s="1">
        <v>46286</v>
      </c>
      <c r="AC112" t="s">
        <v>40</v>
      </c>
      <c r="AD112" t="s">
        <v>40</v>
      </c>
      <c r="AE112" t="s">
        <v>60</v>
      </c>
      <c r="AF112" t="s">
        <v>40</v>
      </c>
      <c r="AG112">
        <v>0</v>
      </c>
      <c r="AH112" t="s">
        <v>49</v>
      </c>
    </row>
    <row r="113" spans="1:34" x14ac:dyDescent="0.3">
      <c r="A113" t="s">
        <v>335</v>
      </c>
      <c r="B113" t="s">
        <v>336</v>
      </c>
      <c r="C113" t="s">
        <v>155</v>
      </c>
      <c r="D113" t="s">
        <v>130</v>
      </c>
      <c r="E113" s="1">
        <v>45835</v>
      </c>
      <c r="F113" s="1">
        <v>45842</v>
      </c>
      <c r="G113" t="s">
        <v>38</v>
      </c>
      <c r="H113">
        <v>3635</v>
      </c>
      <c r="I113" t="s">
        <v>39</v>
      </c>
      <c r="J113" t="b">
        <v>0</v>
      </c>
      <c r="K113">
        <v>7</v>
      </c>
      <c r="L113">
        <v>7</v>
      </c>
      <c r="M113">
        <v>2025</v>
      </c>
      <c r="N113">
        <v>4</v>
      </c>
      <c r="O113">
        <v>6</v>
      </c>
      <c r="P113">
        <v>2025</v>
      </c>
      <c r="Q113">
        <v>4</v>
      </c>
      <c r="R113" t="s">
        <v>40</v>
      </c>
      <c r="S113" t="s">
        <v>55</v>
      </c>
      <c r="T113" t="s">
        <v>42</v>
      </c>
      <c r="U113" t="s">
        <v>40</v>
      </c>
      <c r="V113" t="s">
        <v>156</v>
      </c>
      <c r="W113" t="s">
        <v>157</v>
      </c>
      <c r="X113" t="s">
        <v>158</v>
      </c>
      <c r="Y113">
        <v>70</v>
      </c>
      <c r="Z113" t="s">
        <v>133</v>
      </c>
      <c r="AA113" t="s">
        <v>134</v>
      </c>
      <c r="AB113" s="1">
        <v>45842</v>
      </c>
      <c r="AC113" t="s">
        <v>40</v>
      </c>
      <c r="AD113" t="s">
        <v>40</v>
      </c>
      <c r="AE113" t="s">
        <v>86</v>
      </c>
      <c r="AF113" t="s">
        <v>40</v>
      </c>
      <c r="AG113">
        <v>0</v>
      </c>
      <c r="AH113" t="s">
        <v>100</v>
      </c>
    </row>
    <row r="114" spans="1:34" x14ac:dyDescent="0.3">
      <c r="A114" t="s">
        <v>337</v>
      </c>
      <c r="B114" t="s">
        <v>338</v>
      </c>
      <c r="C114" t="s">
        <v>146</v>
      </c>
      <c r="D114" t="s">
        <v>104</v>
      </c>
      <c r="E114" s="1">
        <v>46308</v>
      </c>
      <c r="F114" s="1">
        <v>46458</v>
      </c>
      <c r="G114" t="s">
        <v>64</v>
      </c>
      <c r="H114">
        <v>2962</v>
      </c>
      <c r="I114" t="s">
        <v>39</v>
      </c>
      <c r="J114" t="b">
        <v>0</v>
      </c>
      <c r="K114">
        <v>150</v>
      </c>
      <c r="L114">
        <v>3</v>
      </c>
      <c r="M114">
        <v>2027</v>
      </c>
      <c r="N114">
        <v>4</v>
      </c>
      <c r="O114">
        <v>10</v>
      </c>
      <c r="P114">
        <v>2026</v>
      </c>
      <c r="Q114">
        <v>1</v>
      </c>
      <c r="R114" t="s">
        <v>40</v>
      </c>
      <c r="S114" t="s">
        <v>45</v>
      </c>
      <c r="T114" t="s">
        <v>42</v>
      </c>
      <c r="U114" t="s">
        <v>40</v>
      </c>
      <c r="V114" t="s">
        <v>147</v>
      </c>
      <c r="W114" t="s">
        <v>148</v>
      </c>
      <c r="X114" t="s">
        <v>45</v>
      </c>
      <c r="Y114">
        <v>160</v>
      </c>
      <c r="Z114" t="s">
        <v>107</v>
      </c>
      <c r="AA114" t="s">
        <v>108</v>
      </c>
      <c r="AB114" s="1"/>
      <c r="AC114" t="s">
        <v>48</v>
      </c>
      <c r="AD114" t="s">
        <v>48</v>
      </c>
      <c r="AE114" t="s">
        <v>48</v>
      </c>
      <c r="AF114" t="s">
        <v>48</v>
      </c>
      <c r="AG114">
        <v>0</v>
      </c>
      <c r="AH114" t="s">
        <v>49</v>
      </c>
    </row>
    <row r="115" spans="1:34" x14ac:dyDescent="0.3">
      <c r="A115" t="s">
        <v>339</v>
      </c>
      <c r="B115" t="s">
        <v>340</v>
      </c>
      <c r="C115" t="s">
        <v>79</v>
      </c>
      <c r="D115" t="s">
        <v>90</v>
      </c>
      <c r="E115" s="1">
        <v>45922</v>
      </c>
      <c r="F115" s="1">
        <v>45982</v>
      </c>
      <c r="G115" t="s">
        <v>64</v>
      </c>
      <c r="H115">
        <v>2256</v>
      </c>
      <c r="I115" t="s">
        <v>39</v>
      </c>
      <c r="J115" t="b">
        <v>0</v>
      </c>
      <c r="K115">
        <v>60</v>
      </c>
      <c r="L115">
        <v>11</v>
      </c>
      <c r="M115">
        <v>2025</v>
      </c>
      <c r="N115">
        <v>4</v>
      </c>
      <c r="O115">
        <v>9</v>
      </c>
      <c r="P115">
        <v>2025</v>
      </c>
      <c r="Q115">
        <v>0</v>
      </c>
      <c r="R115" t="s">
        <v>40</v>
      </c>
      <c r="S115" t="s">
        <v>41</v>
      </c>
      <c r="T115" t="s">
        <v>286</v>
      </c>
      <c r="U115" t="s">
        <v>40</v>
      </c>
      <c r="V115" t="s">
        <v>82</v>
      </c>
      <c r="W115" t="s">
        <v>83</v>
      </c>
      <c r="X115" t="s">
        <v>76</v>
      </c>
      <c r="Y115">
        <v>100</v>
      </c>
      <c r="Z115" t="s">
        <v>93</v>
      </c>
      <c r="AA115" t="s">
        <v>94</v>
      </c>
      <c r="AB115" s="1">
        <v>45982</v>
      </c>
      <c r="AC115" t="s">
        <v>40</v>
      </c>
      <c r="AD115" t="s">
        <v>40</v>
      </c>
      <c r="AE115" t="s">
        <v>86</v>
      </c>
      <c r="AF115" t="s">
        <v>40</v>
      </c>
      <c r="AG115">
        <v>0</v>
      </c>
      <c r="AH115" t="s">
        <v>61</v>
      </c>
    </row>
    <row r="116" spans="1:34" x14ac:dyDescent="0.3">
      <c r="A116" t="s">
        <v>341</v>
      </c>
      <c r="B116" t="s">
        <v>342</v>
      </c>
      <c r="C116" t="s">
        <v>129</v>
      </c>
      <c r="D116" t="s">
        <v>90</v>
      </c>
      <c r="E116" s="1">
        <v>46351</v>
      </c>
      <c r="F116" s="1">
        <v>46358</v>
      </c>
      <c r="G116" t="s">
        <v>41</v>
      </c>
      <c r="H116">
        <v>8733</v>
      </c>
      <c r="I116" t="s">
        <v>65</v>
      </c>
      <c r="J116" t="b">
        <v>0</v>
      </c>
      <c r="K116">
        <v>7</v>
      </c>
      <c r="L116">
        <v>12</v>
      </c>
      <c r="M116">
        <v>2026</v>
      </c>
      <c r="N116">
        <v>2</v>
      </c>
      <c r="O116">
        <v>11</v>
      </c>
      <c r="P116">
        <v>2026</v>
      </c>
      <c r="Q116">
        <v>2</v>
      </c>
      <c r="R116" t="s">
        <v>40</v>
      </c>
      <c r="S116" t="s">
        <v>55</v>
      </c>
      <c r="T116" t="s">
        <v>42</v>
      </c>
      <c r="U116" t="s">
        <v>40</v>
      </c>
      <c r="V116" t="s">
        <v>131</v>
      </c>
      <c r="W116" t="s">
        <v>132</v>
      </c>
      <c r="X116" t="s">
        <v>45</v>
      </c>
      <c r="Y116">
        <v>110</v>
      </c>
      <c r="Z116" t="s">
        <v>93</v>
      </c>
      <c r="AA116" t="s">
        <v>94</v>
      </c>
      <c r="AB116" s="1">
        <v>46358</v>
      </c>
      <c r="AC116" t="s">
        <v>40</v>
      </c>
      <c r="AD116" t="s">
        <v>40</v>
      </c>
      <c r="AE116" t="s">
        <v>69</v>
      </c>
      <c r="AF116" t="s">
        <v>40</v>
      </c>
      <c r="AG116">
        <v>0</v>
      </c>
      <c r="AH116" t="s">
        <v>100</v>
      </c>
    </row>
    <row r="117" spans="1:34" x14ac:dyDescent="0.3">
      <c r="A117" t="s">
        <v>343</v>
      </c>
      <c r="B117" t="s">
        <v>344</v>
      </c>
      <c r="C117" t="s">
        <v>169</v>
      </c>
      <c r="D117" t="s">
        <v>80</v>
      </c>
      <c r="E117" s="1">
        <v>45970</v>
      </c>
      <c r="F117" s="1">
        <v>46030</v>
      </c>
      <c r="G117" t="s">
        <v>81</v>
      </c>
      <c r="H117">
        <v>9356</v>
      </c>
      <c r="I117" t="s">
        <v>65</v>
      </c>
      <c r="J117" t="b">
        <v>0</v>
      </c>
      <c r="K117">
        <v>60</v>
      </c>
      <c r="L117">
        <v>1</v>
      </c>
      <c r="M117">
        <v>2026</v>
      </c>
      <c r="N117">
        <v>3</v>
      </c>
      <c r="O117">
        <v>11</v>
      </c>
      <c r="P117">
        <v>2025</v>
      </c>
      <c r="Q117">
        <v>6</v>
      </c>
      <c r="R117" t="s">
        <v>40</v>
      </c>
      <c r="S117" t="s">
        <v>55</v>
      </c>
      <c r="T117" t="s">
        <v>42</v>
      </c>
      <c r="U117" t="s">
        <v>40</v>
      </c>
      <c r="V117" t="s">
        <v>170</v>
      </c>
      <c r="W117" t="s">
        <v>171</v>
      </c>
      <c r="X117" t="s">
        <v>126</v>
      </c>
      <c r="Y117">
        <v>90</v>
      </c>
      <c r="Z117" t="s">
        <v>84</v>
      </c>
      <c r="AA117" t="s">
        <v>85</v>
      </c>
      <c r="AB117" s="1">
        <v>46030</v>
      </c>
      <c r="AC117" t="s">
        <v>40</v>
      </c>
      <c r="AD117" t="s">
        <v>40</v>
      </c>
      <c r="AE117" t="s">
        <v>86</v>
      </c>
      <c r="AF117" t="s">
        <v>40</v>
      </c>
      <c r="AG117">
        <v>0</v>
      </c>
      <c r="AH117" t="s">
        <v>61</v>
      </c>
    </row>
    <row r="118" spans="1:34" x14ac:dyDescent="0.3">
      <c r="A118" t="s">
        <v>345</v>
      </c>
      <c r="B118" t="s">
        <v>346</v>
      </c>
      <c r="C118" t="s">
        <v>103</v>
      </c>
      <c r="D118" t="s">
        <v>80</v>
      </c>
      <c r="E118" s="1">
        <v>45762</v>
      </c>
      <c r="F118" s="1">
        <v>45763</v>
      </c>
      <c r="G118" t="s">
        <v>81</v>
      </c>
      <c r="H118">
        <v>11489</v>
      </c>
      <c r="I118" t="s">
        <v>39</v>
      </c>
      <c r="J118" t="b">
        <v>0</v>
      </c>
      <c r="K118">
        <v>1</v>
      </c>
      <c r="L118">
        <v>4</v>
      </c>
      <c r="M118">
        <v>2025</v>
      </c>
      <c r="N118">
        <v>2</v>
      </c>
      <c r="O118">
        <v>4</v>
      </c>
      <c r="P118">
        <v>2025</v>
      </c>
      <c r="Q118">
        <v>1</v>
      </c>
      <c r="R118" t="s">
        <v>40</v>
      </c>
      <c r="S118" t="s">
        <v>45</v>
      </c>
      <c r="T118" t="s">
        <v>42</v>
      </c>
      <c r="U118" t="s">
        <v>66</v>
      </c>
      <c r="V118" t="s">
        <v>105</v>
      </c>
      <c r="W118" t="s">
        <v>106</v>
      </c>
      <c r="X118" t="s">
        <v>45</v>
      </c>
      <c r="Y118">
        <v>140</v>
      </c>
      <c r="Z118" t="s">
        <v>84</v>
      </c>
      <c r="AA118" t="s">
        <v>85</v>
      </c>
      <c r="AB118" s="1">
        <v>45763</v>
      </c>
      <c r="AC118" t="s">
        <v>40</v>
      </c>
      <c r="AD118" t="s">
        <v>40</v>
      </c>
      <c r="AE118" t="s">
        <v>69</v>
      </c>
      <c r="AF118" t="s">
        <v>40</v>
      </c>
      <c r="AG118">
        <v>0</v>
      </c>
      <c r="AH118" t="s">
        <v>100</v>
      </c>
    </row>
    <row r="119" spans="1:34" x14ac:dyDescent="0.3">
      <c r="A119" t="s">
        <v>347</v>
      </c>
      <c r="B119" t="s">
        <v>348</v>
      </c>
      <c r="C119" t="s">
        <v>129</v>
      </c>
      <c r="D119" t="s">
        <v>53</v>
      </c>
      <c r="E119" s="1">
        <v>45941</v>
      </c>
      <c r="F119" s="1">
        <v>45948</v>
      </c>
      <c r="G119" t="s">
        <v>81</v>
      </c>
      <c r="H119">
        <v>8468</v>
      </c>
      <c r="I119" t="s">
        <v>65</v>
      </c>
      <c r="J119" t="b">
        <v>0</v>
      </c>
      <c r="K119">
        <v>7</v>
      </c>
      <c r="L119">
        <v>10</v>
      </c>
      <c r="M119">
        <v>2025</v>
      </c>
      <c r="N119">
        <v>5</v>
      </c>
      <c r="O119">
        <v>10</v>
      </c>
      <c r="P119">
        <v>2025</v>
      </c>
      <c r="Q119">
        <v>5</v>
      </c>
      <c r="R119" t="s">
        <v>66</v>
      </c>
      <c r="S119" t="s">
        <v>41</v>
      </c>
      <c r="T119" t="s">
        <v>286</v>
      </c>
      <c r="U119" t="s">
        <v>66</v>
      </c>
      <c r="V119" t="s">
        <v>131</v>
      </c>
      <c r="W119" t="s">
        <v>132</v>
      </c>
      <c r="X119" t="s">
        <v>45</v>
      </c>
      <c r="Y119">
        <v>110</v>
      </c>
      <c r="Z119" t="s">
        <v>58</v>
      </c>
      <c r="AA119" t="s">
        <v>59</v>
      </c>
      <c r="AB119" s="1">
        <v>45948</v>
      </c>
      <c r="AC119" t="s">
        <v>66</v>
      </c>
      <c r="AD119" t="s">
        <v>40</v>
      </c>
      <c r="AE119" t="s">
        <v>60</v>
      </c>
      <c r="AF119" t="s">
        <v>40</v>
      </c>
      <c r="AG119">
        <v>0</v>
      </c>
      <c r="AH119" t="s">
        <v>100</v>
      </c>
    </row>
    <row r="120" spans="1:34" x14ac:dyDescent="0.3">
      <c r="A120" t="s">
        <v>349</v>
      </c>
      <c r="B120" t="s">
        <v>350</v>
      </c>
      <c r="C120" t="s">
        <v>129</v>
      </c>
      <c r="D120" t="s">
        <v>53</v>
      </c>
      <c r="E120" s="1">
        <v>46355</v>
      </c>
      <c r="F120" s="1">
        <v>46358</v>
      </c>
      <c r="G120" t="s">
        <v>64</v>
      </c>
      <c r="H120">
        <v>2805</v>
      </c>
      <c r="I120" t="s">
        <v>54</v>
      </c>
      <c r="J120" t="b">
        <v>0</v>
      </c>
      <c r="K120">
        <v>3</v>
      </c>
      <c r="L120">
        <v>12</v>
      </c>
      <c r="M120">
        <v>2026</v>
      </c>
      <c r="N120">
        <v>2</v>
      </c>
      <c r="O120">
        <v>11</v>
      </c>
      <c r="P120">
        <v>2026</v>
      </c>
      <c r="Q120">
        <v>6</v>
      </c>
      <c r="R120" t="s">
        <v>40</v>
      </c>
      <c r="S120" t="s">
        <v>55</v>
      </c>
      <c r="T120" t="s">
        <v>42</v>
      </c>
      <c r="U120" t="s">
        <v>40</v>
      </c>
      <c r="V120" t="s">
        <v>131</v>
      </c>
      <c r="W120" t="s">
        <v>132</v>
      </c>
      <c r="X120" t="s">
        <v>45</v>
      </c>
      <c r="Y120">
        <v>110</v>
      </c>
      <c r="Z120" t="s">
        <v>58</v>
      </c>
      <c r="AA120" t="s">
        <v>59</v>
      </c>
      <c r="AB120" s="1">
        <v>46358</v>
      </c>
      <c r="AC120" t="s">
        <v>40</v>
      </c>
      <c r="AD120" t="s">
        <v>40</v>
      </c>
      <c r="AE120" t="s">
        <v>69</v>
      </c>
      <c r="AF120" t="s">
        <v>40</v>
      </c>
      <c r="AG120">
        <v>1</v>
      </c>
      <c r="AH120" t="s">
        <v>100</v>
      </c>
    </row>
    <row r="121" spans="1:34" x14ac:dyDescent="0.3">
      <c r="A121" t="s">
        <v>351</v>
      </c>
      <c r="B121" t="s">
        <v>352</v>
      </c>
      <c r="C121" t="s">
        <v>97</v>
      </c>
      <c r="D121" t="s">
        <v>37</v>
      </c>
      <c r="E121" s="1">
        <v>45922</v>
      </c>
      <c r="F121" s="1">
        <v>45982</v>
      </c>
      <c r="G121" t="s">
        <v>38</v>
      </c>
      <c r="H121">
        <v>3865</v>
      </c>
      <c r="I121" t="s">
        <v>39</v>
      </c>
      <c r="J121" t="b">
        <v>0</v>
      </c>
      <c r="K121">
        <v>60</v>
      </c>
      <c r="L121">
        <v>11</v>
      </c>
      <c r="M121">
        <v>2025</v>
      </c>
      <c r="N121">
        <v>4</v>
      </c>
      <c r="O121">
        <v>9</v>
      </c>
      <c r="P121">
        <v>2025</v>
      </c>
      <c r="Q121">
        <v>0</v>
      </c>
      <c r="R121" t="s">
        <v>40</v>
      </c>
      <c r="S121" t="s">
        <v>55</v>
      </c>
      <c r="T121" t="s">
        <v>123</v>
      </c>
      <c r="U121" t="s">
        <v>40</v>
      </c>
      <c r="V121" t="s">
        <v>98</v>
      </c>
      <c r="W121" t="s">
        <v>99</v>
      </c>
      <c r="X121" t="s">
        <v>76</v>
      </c>
      <c r="Y121">
        <v>80</v>
      </c>
      <c r="Z121" t="s">
        <v>46</v>
      </c>
      <c r="AA121" t="s">
        <v>47</v>
      </c>
      <c r="AB121" s="1">
        <v>45982</v>
      </c>
      <c r="AC121" t="s">
        <v>40</v>
      </c>
      <c r="AD121" t="s">
        <v>40</v>
      </c>
      <c r="AE121" t="s">
        <v>86</v>
      </c>
      <c r="AF121" t="s">
        <v>40</v>
      </c>
      <c r="AG121">
        <v>0</v>
      </c>
      <c r="AH121" t="s">
        <v>61</v>
      </c>
    </row>
    <row r="122" spans="1:34" x14ac:dyDescent="0.3">
      <c r="A122" t="s">
        <v>353</v>
      </c>
      <c r="B122" t="s">
        <v>330</v>
      </c>
      <c r="C122" t="s">
        <v>79</v>
      </c>
      <c r="D122" t="s">
        <v>53</v>
      </c>
      <c r="E122" s="1">
        <v>46257</v>
      </c>
      <c r="F122" s="1">
        <v>46264</v>
      </c>
      <c r="G122" t="s">
        <v>64</v>
      </c>
      <c r="H122">
        <v>2309</v>
      </c>
      <c r="I122" t="s">
        <v>39</v>
      </c>
      <c r="J122" t="b">
        <v>0</v>
      </c>
      <c r="K122">
        <v>7</v>
      </c>
      <c r="L122">
        <v>8</v>
      </c>
      <c r="M122">
        <v>2026</v>
      </c>
      <c r="N122">
        <v>6</v>
      </c>
      <c r="O122">
        <v>8</v>
      </c>
      <c r="P122">
        <v>2026</v>
      </c>
      <c r="Q122">
        <v>6</v>
      </c>
      <c r="R122" t="s">
        <v>66</v>
      </c>
      <c r="S122" t="s">
        <v>45</v>
      </c>
      <c r="T122" t="s">
        <v>42</v>
      </c>
      <c r="U122" t="s">
        <v>40</v>
      </c>
      <c r="V122" t="s">
        <v>82</v>
      </c>
      <c r="W122" t="s">
        <v>83</v>
      </c>
      <c r="X122" t="s">
        <v>76</v>
      </c>
      <c r="Y122">
        <v>100</v>
      </c>
      <c r="Z122" t="s">
        <v>58</v>
      </c>
      <c r="AA122" t="s">
        <v>59</v>
      </c>
      <c r="AB122" s="1">
        <v>46264</v>
      </c>
      <c r="AC122" t="s">
        <v>66</v>
      </c>
      <c r="AD122" t="s">
        <v>40</v>
      </c>
      <c r="AE122" t="s">
        <v>86</v>
      </c>
      <c r="AF122" t="s">
        <v>40</v>
      </c>
      <c r="AG122">
        <v>0</v>
      </c>
      <c r="AH122" t="s">
        <v>100</v>
      </c>
    </row>
    <row r="123" spans="1:34" x14ac:dyDescent="0.3">
      <c r="A123" t="s">
        <v>354</v>
      </c>
      <c r="B123" t="s">
        <v>355</v>
      </c>
      <c r="C123" t="s">
        <v>129</v>
      </c>
      <c r="D123" t="s">
        <v>104</v>
      </c>
      <c r="E123" s="1">
        <v>46200</v>
      </c>
      <c r="F123" s="1">
        <v>46207</v>
      </c>
      <c r="G123" t="s">
        <v>64</v>
      </c>
      <c r="H123">
        <v>2481</v>
      </c>
      <c r="I123" t="s">
        <v>212</v>
      </c>
      <c r="J123" t="b">
        <v>0</v>
      </c>
      <c r="K123">
        <v>7</v>
      </c>
      <c r="L123">
        <v>7</v>
      </c>
      <c r="M123">
        <v>2026</v>
      </c>
      <c r="N123">
        <v>5</v>
      </c>
      <c r="O123">
        <v>6</v>
      </c>
      <c r="P123">
        <v>2026</v>
      </c>
      <c r="Q123">
        <v>5</v>
      </c>
      <c r="R123" t="s">
        <v>66</v>
      </c>
      <c r="S123" t="s">
        <v>55</v>
      </c>
      <c r="T123" t="s">
        <v>113</v>
      </c>
      <c r="U123" t="s">
        <v>66</v>
      </c>
      <c r="V123" t="s">
        <v>131</v>
      </c>
      <c r="W123" t="s">
        <v>132</v>
      </c>
      <c r="X123" t="s">
        <v>45</v>
      </c>
      <c r="Y123">
        <v>110</v>
      </c>
      <c r="Z123" t="s">
        <v>107</v>
      </c>
      <c r="AA123" t="s">
        <v>108</v>
      </c>
      <c r="AB123" s="1">
        <v>46207</v>
      </c>
      <c r="AC123" t="s">
        <v>66</v>
      </c>
      <c r="AD123" t="s">
        <v>40</v>
      </c>
      <c r="AE123" t="s">
        <v>86</v>
      </c>
      <c r="AF123" t="s">
        <v>40</v>
      </c>
      <c r="AG123">
        <v>0</v>
      </c>
      <c r="AH123" t="s">
        <v>100</v>
      </c>
    </row>
    <row r="124" spans="1:34" x14ac:dyDescent="0.3">
      <c r="A124" t="s">
        <v>356</v>
      </c>
      <c r="B124" t="s">
        <v>357</v>
      </c>
      <c r="C124" t="s">
        <v>79</v>
      </c>
      <c r="D124" t="s">
        <v>37</v>
      </c>
      <c r="E124" s="1">
        <v>45842</v>
      </c>
      <c r="F124" s="1">
        <v>45902</v>
      </c>
      <c r="G124" t="s">
        <v>41</v>
      </c>
      <c r="H124">
        <v>7598</v>
      </c>
      <c r="I124" t="s">
        <v>39</v>
      </c>
      <c r="J124" t="b">
        <v>0</v>
      </c>
      <c r="K124">
        <v>60</v>
      </c>
      <c r="L124">
        <v>9</v>
      </c>
      <c r="M124">
        <v>2025</v>
      </c>
      <c r="N124">
        <v>1</v>
      </c>
      <c r="O124">
        <v>7</v>
      </c>
      <c r="P124">
        <v>2025</v>
      </c>
      <c r="Q124">
        <v>4</v>
      </c>
      <c r="R124" t="s">
        <v>40</v>
      </c>
      <c r="S124" t="s">
        <v>45</v>
      </c>
      <c r="T124" t="s">
        <v>123</v>
      </c>
      <c r="U124" t="s">
        <v>40</v>
      </c>
      <c r="V124" t="s">
        <v>82</v>
      </c>
      <c r="W124" t="s">
        <v>83</v>
      </c>
      <c r="X124" t="s">
        <v>76</v>
      </c>
      <c r="Y124">
        <v>100</v>
      </c>
      <c r="Z124" t="s">
        <v>46</v>
      </c>
      <c r="AA124" t="s">
        <v>47</v>
      </c>
      <c r="AB124" s="1">
        <v>45902</v>
      </c>
      <c r="AC124" t="s">
        <v>40</v>
      </c>
      <c r="AD124" t="s">
        <v>40</v>
      </c>
      <c r="AE124" t="s">
        <v>60</v>
      </c>
      <c r="AF124" t="s">
        <v>40</v>
      </c>
      <c r="AG124">
        <v>0</v>
      </c>
      <c r="AH124" t="s">
        <v>61</v>
      </c>
    </row>
    <row r="125" spans="1:34" x14ac:dyDescent="0.3">
      <c r="A125" t="s">
        <v>358</v>
      </c>
      <c r="B125" t="s">
        <v>359</v>
      </c>
      <c r="C125" t="s">
        <v>155</v>
      </c>
      <c r="D125" t="s">
        <v>90</v>
      </c>
      <c r="E125" s="1">
        <v>46159</v>
      </c>
      <c r="F125" s="1">
        <v>46219</v>
      </c>
      <c r="G125" t="s">
        <v>64</v>
      </c>
      <c r="H125">
        <v>3458</v>
      </c>
      <c r="I125" t="s">
        <v>39</v>
      </c>
      <c r="J125" t="b">
        <v>0</v>
      </c>
      <c r="K125">
        <v>60</v>
      </c>
      <c r="L125">
        <v>7</v>
      </c>
      <c r="M125">
        <v>2026</v>
      </c>
      <c r="N125">
        <v>3</v>
      </c>
      <c r="O125">
        <v>5</v>
      </c>
      <c r="P125">
        <v>2026</v>
      </c>
      <c r="Q125">
        <v>6</v>
      </c>
      <c r="R125" t="s">
        <v>40</v>
      </c>
      <c r="S125" t="s">
        <v>55</v>
      </c>
      <c r="T125" t="s">
        <v>42</v>
      </c>
      <c r="U125" t="s">
        <v>66</v>
      </c>
      <c r="V125" t="s">
        <v>156</v>
      </c>
      <c r="W125" t="s">
        <v>157</v>
      </c>
      <c r="X125" t="s">
        <v>158</v>
      </c>
      <c r="Y125">
        <v>70</v>
      </c>
      <c r="Z125" t="s">
        <v>93</v>
      </c>
      <c r="AA125" t="s">
        <v>94</v>
      </c>
      <c r="AB125" s="1">
        <v>46219</v>
      </c>
      <c r="AC125" t="s">
        <v>40</v>
      </c>
      <c r="AD125" t="s">
        <v>40</v>
      </c>
      <c r="AE125" t="s">
        <v>86</v>
      </c>
      <c r="AF125" t="s">
        <v>40</v>
      </c>
      <c r="AG125">
        <v>0</v>
      </c>
      <c r="AH125" t="s">
        <v>61</v>
      </c>
    </row>
    <row r="126" spans="1:34" x14ac:dyDescent="0.3">
      <c r="A126" t="s">
        <v>360</v>
      </c>
      <c r="B126" t="s">
        <v>361</v>
      </c>
      <c r="C126" t="s">
        <v>146</v>
      </c>
      <c r="D126" t="s">
        <v>90</v>
      </c>
      <c r="E126" s="1">
        <v>46040</v>
      </c>
      <c r="F126" s="1">
        <v>46190</v>
      </c>
      <c r="G126" t="s">
        <v>81</v>
      </c>
      <c r="H126">
        <v>6533</v>
      </c>
      <c r="I126" t="s">
        <v>54</v>
      </c>
      <c r="J126" t="b">
        <v>0</v>
      </c>
      <c r="K126">
        <v>150</v>
      </c>
      <c r="L126">
        <v>6</v>
      </c>
      <c r="M126">
        <v>2026</v>
      </c>
      <c r="N126">
        <v>2</v>
      </c>
      <c r="O126">
        <v>1</v>
      </c>
      <c r="P126">
        <v>2026</v>
      </c>
      <c r="Q126">
        <v>6</v>
      </c>
      <c r="R126" t="s">
        <v>40</v>
      </c>
      <c r="S126" t="s">
        <v>67</v>
      </c>
      <c r="T126" t="s">
        <v>286</v>
      </c>
      <c r="U126" t="s">
        <v>40</v>
      </c>
      <c r="V126" t="s">
        <v>147</v>
      </c>
      <c r="W126" t="s">
        <v>148</v>
      </c>
      <c r="X126" t="s">
        <v>45</v>
      </c>
      <c r="Y126">
        <v>160</v>
      </c>
      <c r="Z126" t="s">
        <v>93</v>
      </c>
      <c r="AA126" t="s">
        <v>94</v>
      </c>
      <c r="AB126" s="1">
        <v>46190</v>
      </c>
      <c r="AC126" t="s">
        <v>40</v>
      </c>
      <c r="AD126" t="s">
        <v>40</v>
      </c>
      <c r="AE126" t="s">
        <v>60</v>
      </c>
      <c r="AF126" t="s">
        <v>40</v>
      </c>
      <c r="AG126">
        <v>1</v>
      </c>
      <c r="AH126" t="s">
        <v>49</v>
      </c>
    </row>
    <row r="127" spans="1:34" x14ac:dyDescent="0.3">
      <c r="A127" t="s">
        <v>362</v>
      </c>
      <c r="B127" t="s">
        <v>363</v>
      </c>
      <c r="C127" t="s">
        <v>169</v>
      </c>
      <c r="D127" t="s">
        <v>90</v>
      </c>
      <c r="E127" s="1">
        <v>45763</v>
      </c>
      <c r="F127" s="1">
        <v>45777</v>
      </c>
      <c r="G127" t="s">
        <v>81</v>
      </c>
      <c r="H127">
        <v>8942</v>
      </c>
      <c r="I127" t="s">
        <v>39</v>
      </c>
      <c r="J127" t="b">
        <v>0</v>
      </c>
      <c r="K127">
        <v>14</v>
      </c>
      <c r="L127">
        <v>4</v>
      </c>
      <c r="M127">
        <v>2025</v>
      </c>
      <c r="N127">
        <v>2</v>
      </c>
      <c r="O127">
        <v>4</v>
      </c>
      <c r="P127">
        <v>2025</v>
      </c>
      <c r="Q127">
        <v>2</v>
      </c>
      <c r="R127" t="s">
        <v>40</v>
      </c>
      <c r="S127" t="s">
        <v>45</v>
      </c>
      <c r="T127" t="s">
        <v>42</v>
      </c>
      <c r="U127" t="s">
        <v>40</v>
      </c>
      <c r="V127" t="s">
        <v>170</v>
      </c>
      <c r="W127" t="s">
        <v>171</v>
      </c>
      <c r="X127" t="s">
        <v>126</v>
      </c>
      <c r="Y127">
        <v>90</v>
      </c>
      <c r="Z127" t="s">
        <v>93</v>
      </c>
      <c r="AA127" t="s">
        <v>94</v>
      </c>
      <c r="AB127" s="1">
        <v>45777</v>
      </c>
      <c r="AC127" t="s">
        <v>40</v>
      </c>
      <c r="AD127" t="s">
        <v>40</v>
      </c>
      <c r="AE127" t="s">
        <v>69</v>
      </c>
      <c r="AF127" t="s">
        <v>40</v>
      </c>
      <c r="AG127">
        <v>0</v>
      </c>
      <c r="AH127" t="s">
        <v>70</v>
      </c>
    </row>
    <row r="128" spans="1:34" x14ac:dyDescent="0.3">
      <c r="A128" t="s">
        <v>364</v>
      </c>
      <c r="B128" t="s">
        <v>365</v>
      </c>
      <c r="C128" t="s">
        <v>103</v>
      </c>
      <c r="D128" t="s">
        <v>37</v>
      </c>
      <c r="E128" s="1">
        <v>45795</v>
      </c>
      <c r="F128" s="1">
        <v>45809</v>
      </c>
      <c r="G128" t="s">
        <v>41</v>
      </c>
      <c r="H128">
        <v>8883</v>
      </c>
      <c r="I128" t="s">
        <v>39</v>
      </c>
      <c r="J128" t="b">
        <v>0</v>
      </c>
      <c r="K128">
        <v>14</v>
      </c>
      <c r="L128">
        <v>6</v>
      </c>
      <c r="M128">
        <v>2025</v>
      </c>
      <c r="N128">
        <v>6</v>
      </c>
      <c r="O128">
        <v>5</v>
      </c>
      <c r="P128">
        <v>2025</v>
      </c>
      <c r="Q128">
        <v>6</v>
      </c>
      <c r="R128" t="s">
        <v>66</v>
      </c>
      <c r="S128" t="s">
        <v>41</v>
      </c>
      <c r="T128" t="s">
        <v>42</v>
      </c>
      <c r="U128" t="s">
        <v>40</v>
      </c>
      <c r="V128" t="s">
        <v>105</v>
      </c>
      <c r="W128" t="s">
        <v>106</v>
      </c>
      <c r="X128" t="s">
        <v>45</v>
      </c>
      <c r="Y128">
        <v>140</v>
      </c>
      <c r="Z128" t="s">
        <v>46</v>
      </c>
      <c r="AA128" t="s">
        <v>47</v>
      </c>
      <c r="AB128" s="1">
        <v>45809</v>
      </c>
      <c r="AC128" t="s">
        <v>66</v>
      </c>
      <c r="AD128" t="s">
        <v>40</v>
      </c>
      <c r="AE128" t="s">
        <v>60</v>
      </c>
      <c r="AF128" t="s">
        <v>40</v>
      </c>
      <c r="AG128">
        <v>0</v>
      </c>
      <c r="AH128" t="s">
        <v>70</v>
      </c>
    </row>
    <row r="129" spans="1:34" x14ac:dyDescent="0.3">
      <c r="A129" t="s">
        <v>366</v>
      </c>
      <c r="B129" t="s">
        <v>344</v>
      </c>
      <c r="C129" t="s">
        <v>89</v>
      </c>
      <c r="D129" t="s">
        <v>90</v>
      </c>
      <c r="E129" s="1">
        <v>45874</v>
      </c>
      <c r="F129" s="1">
        <v>45934</v>
      </c>
      <c r="G129" t="s">
        <v>38</v>
      </c>
      <c r="H129">
        <v>3653</v>
      </c>
      <c r="I129" t="s">
        <v>39</v>
      </c>
      <c r="J129" t="b">
        <v>0</v>
      </c>
      <c r="K129">
        <v>60</v>
      </c>
      <c r="L129">
        <v>10</v>
      </c>
      <c r="M129">
        <v>2025</v>
      </c>
      <c r="N129">
        <v>5</v>
      </c>
      <c r="O129">
        <v>8</v>
      </c>
      <c r="P129">
        <v>2025</v>
      </c>
      <c r="Q129">
        <v>1</v>
      </c>
      <c r="R129" t="s">
        <v>66</v>
      </c>
      <c r="S129" t="s">
        <v>55</v>
      </c>
      <c r="T129" t="s">
        <v>42</v>
      </c>
      <c r="U129" t="s">
        <v>40</v>
      </c>
      <c r="V129" t="s">
        <v>91</v>
      </c>
      <c r="W129" t="s">
        <v>92</v>
      </c>
      <c r="X129" t="s">
        <v>76</v>
      </c>
      <c r="Y129">
        <v>65</v>
      </c>
      <c r="Z129" t="s">
        <v>93</v>
      </c>
      <c r="AA129" t="s">
        <v>94</v>
      </c>
      <c r="AB129" s="1">
        <v>45934</v>
      </c>
      <c r="AC129" t="s">
        <v>66</v>
      </c>
      <c r="AD129" t="s">
        <v>40</v>
      </c>
      <c r="AE129" t="s">
        <v>60</v>
      </c>
      <c r="AF129" t="s">
        <v>40</v>
      </c>
      <c r="AG129">
        <v>0</v>
      </c>
      <c r="AH129" t="s">
        <v>61</v>
      </c>
    </row>
    <row r="130" spans="1:34" x14ac:dyDescent="0.3">
      <c r="A130" t="s">
        <v>367</v>
      </c>
      <c r="B130" t="s">
        <v>368</v>
      </c>
      <c r="C130" t="s">
        <v>52</v>
      </c>
      <c r="D130" t="s">
        <v>37</v>
      </c>
      <c r="E130" s="1">
        <v>45768</v>
      </c>
      <c r="F130" s="1">
        <v>45798</v>
      </c>
      <c r="G130" t="s">
        <v>64</v>
      </c>
      <c r="H130">
        <v>3612</v>
      </c>
      <c r="I130" t="s">
        <v>39</v>
      </c>
      <c r="J130" t="b">
        <v>0</v>
      </c>
      <c r="K130">
        <v>30</v>
      </c>
      <c r="L130">
        <v>5</v>
      </c>
      <c r="M130">
        <v>2025</v>
      </c>
      <c r="N130">
        <v>2</v>
      </c>
      <c r="O130">
        <v>4</v>
      </c>
      <c r="P130">
        <v>2025</v>
      </c>
      <c r="Q130">
        <v>0</v>
      </c>
      <c r="R130" t="s">
        <v>40</v>
      </c>
      <c r="S130" t="s">
        <v>67</v>
      </c>
      <c r="T130" t="s">
        <v>42</v>
      </c>
      <c r="U130" t="s">
        <v>40</v>
      </c>
      <c r="V130" t="s">
        <v>56</v>
      </c>
      <c r="W130" t="s">
        <v>57</v>
      </c>
      <c r="X130" t="s">
        <v>45</v>
      </c>
      <c r="Y130">
        <v>120</v>
      </c>
      <c r="Z130" t="s">
        <v>46</v>
      </c>
      <c r="AA130" t="s">
        <v>47</v>
      </c>
      <c r="AB130" s="1">
        <v>45798</v>
      </c>
      <c r="AC130" t="s">
        <v>40</v>
      </c>
      <c r="AD130" t="s">
        <v>40</v>
      </c>
      <c r="AE130" t="s">
        <v>69</v>
      </c>
      <c r="AF130" t="s">
        <v>40</v>
      </c>
      <c r="AG130">
        <v>0</v>
      </c>
      <c r="AH130" t="s">
        <v>70</v>
      </c>
    </row>
    <row r="131" spans="1:34" x14ac:dyDescent="0.3">
      <c r="A131" t="s">
        <v>369</v>
      </c>
      <c r="B131" t="s">
        <v>370</v>
      </c>
      <c r="C131" t="s">
        <v>73</v>
      </c>
      <c r="D131" t="s">
        <v>37</v>
      </c>
      <c r="E131" s="1">
        <v>46303</v>
      </c>
      <c r="F131" s="1">
        <v>46304</v>
      </c>
      <c r="G131" t="s">
        <v>41</v>
      </c>
      <c r="H131">
        <v>7550</v>
      </c>
      <c r="I131" t="s">
        <v>65</v>
      </c>
      <c r="J131" t="b">
        <v>0</v>
      </c>
      <c r="K131">
        <v>1</v>
      </c>
      <c r="L131">
        <v>10</v>
      </c>
      <c r="M131">
        <v>2026</v>
      </c>
      <c r="N131">
        <v>4</v>
      </c>
      <c r="O131">
        <v>10</v>
      </c>
      <c r="P131">
        <v>2026</v>
      </c>
      <c r="Q131">
        <v>3</v>
      </c>
      <c r="R131" t="s">
        <v>40</v>
      </c>
      <c r="S131" t="s">
        <v>41</v>
      </c>
      <c r="T131" t="s">
        <v>42</v>
      </c>
      <c r="U131" t="s">
        <v>40</v>
      </c>
      <c r="V131" t="s">
        <v>74</v>
      </c>
      <c r="W131" t="s">
        <v>75</v>
      </c>
      <c r="X131" t="s">
        <v>76</v>
      </c>
      <c r="Y131">
        <v>75</v>
      </c>
      <c r="Z131" t="s">
        <v>46</v>
      </c>
      <c r="AA131" t="s">
        <v>47</v>
      </c>
      <c r="AB131" s="1">
        <v>46304</v>
      </c>
      <c r="AC131" t="s">
        <v>40</v>
      </c>
      <c r="AD131" t="s">
        <v>40</v>
      </c>
      <c r="AE131" t="s">
        <v>60</v>
      </c>
      <c r="AF131" t="s">
        <v>40</v>
      </c>
      <c r="AG131">
        <v>0</v>
      </c>
      <c r="AH131" t="s">
        <v>100</v>
      </c>
    </row>
    <row r="132" spans="1:34" x14ac:dyDescent="0.3">
      <c r="A132" t="s">
        <v>371</v>
      </c>
      <c r="B132" t="s">
        <v>189</v>
      </c>
      <c r="C132" t="s">
        <v>146</v>
      </c>
      <c r="D132" t="s">
        <v>37</v>
      </c>
      <c r="E132" s="1">
        <v>46290</v>
      </c>
      <c r="F132" s="1">
        <v>46293</v>
      </c>
      <c r="G132" t="s">
        <v>64</v>
      </c>
      <c r="H132">
        <v>3219</v>
      </c>
      <c r="I132" t="s">
        <v>212</v>
      </c>
      <c r="J132" t="b">
        <v>0</v>
      </c>
      <c r="K132">
        <v>3</v>
      </c>
      <c r="L132">
        <v>9</v>
      </c>
      <c r="M132">
        <v>2026</v>
      </c>
      <c r="N132">
        <v>0</v>
      </c>
      <c r="O132">
        <v>9</v>
      </c>
      <c r="P132">
        <v>2026</v>
      </c>
      <c r="Q132">
        <v>4</v>
      </c>
      <c r="R132" t="s">
        <v>40</v>
      </c>
      <c r="S132" t="s">
        <v>67</v>
      </c>
      <c r="T132" t="s">
        <v>123</v>
      </c>
      <c r="U132" t="s">
        <v>40</v>
      </c>
      <c r="V132" t="s">
        <v>147</v>
      </c>
      <c r="W132" t="s">
        <v>148</v>
      </c>
      <c r="X132" t="s">
        <v>45</v>
      </c>
      <c r="Y132">
        <v>160</v>
      </c>
      <c r="Z132" t="s">
        <v>46</v>
      </c>
      <c r="AA132" t="s">
        <v>47</v>
      </c>
      <c r="AB132" s="1">
        <v>46293</v>
      </c>
      <c r="AC132" t="s">
        <v>40</v>
      </c>
      <c r="AD132" t="s">
        <v>40</v>
      </c>
      <c r="AE132" t="s">
        <v>60</v>
      </c>
      <c r="AF132" t="s">
        <v>40</v>
      </c>
      <c r="AG132">
        <v>0</v>
      </c>
      <c r="AH132" t="s">
        <v>100</v>
      </c>
    </row>
    <row r="133" spans="1:34" x14ac:dyDescent="0.3">
      <c r="A133" t="s">
        <v>372</v>
      </c>
      <c r="B133" t="s">
        <v>373</v>
      </c>
      <c r="C133" t="s">
        <v>89</v>
      </c>
      <c r="D133" t="s">
        <v>104</v>
      </c>
      <c r="E133" s="1">
        <v>45960</v>
      </c>
      <c r="F133" s="1">
        <v>45963</v>
      </c>
      <c r="G133" t="s">
        <v>41</v>
      </c>
      <c r="H133">
        <v>39475</v>
      </c>
      <c r="I133" t="s">
        <v>54</v>
      </c>
      <c r="J133" t="b">
        <v>1</v>
      </c>
      <c r="K133">
        <v>3</v>
      </c>
      <c r="L133">
        <v>11</v>
      </c>
      <c r="M133">
        <v>2025</v>
      </c>
      <c r="N133">
        <v>6</v>
      </c>
      <c r="O133">
        <v>10</v>
      </c>
      <c r="P133">
        <v>2025</v>
      </c>
      <c r="Q133">
        <v>3</v>
      </c>
      <c r="R133" t="s">
        <v>66</v>
      </c>
      <c r="S133" t="s">
        <v>45</v>
      </c>
      <c r="T133" t="s">
        <v>42</v>
      </c>
      <c r="U133" t="s">
        <v>40</v>
      </c>
      <c r="V133" t="s">
        <v>91</v>
      </c>
      <c r="W133" t="s">
        <v>92</v>
      </c>
      <c r="X133" t="s">
        <v>76</v>
      </c>
      <c r="Y133">
        <v>65</v>
      </c>
      <c r="Z133" t="s">
        <v>107</v>
      </c>
      <c r="AA133" t="s">
        <v>108</v>
      </c>
      <c r="AB133" s="1">
        <v>45963</v>
      </c>
      <c r="AC133" t="s">
        <v>66</v>
      </c>
      <c r="AD133" t="s">
        <v>40</v>
      </c>
      <c r="AE133" t="s">
        <v>86</v>
      </c>
      <c r="AF133" t="s">
        <v>40</v>
      </c>
      <c r="AG133">
        <v>1</v>
      </c>
      <c r="AH133" t="s">
        <v>100</v>
      </c>
    </row>
    <row r="134" spans="1:34" x14ac:dyDescent="0.3">
      <c r="A134" t="s">
        <v>374</v>
      </c>
      <c r="B134" t="s">
        <v>375</v>
      </c>
      <c r="C134" t="s">
        <v>155</v>
      </c>
      <c r="D134" t="s">
        <v>37</v>
      </c>
      <c r="E134" s="1">
        <v>46163</v>
      </c>
      <c r="F134" s="1">
        <v>46166</v>
      </c>
      <c r="G134" t="s">
        <v>64</v>
      </c>
      <c r="H134">
        <v>2353</v>
      </c>
      <c r="I134" t="s">
        <v>39</v>
      </c>
      <c r="J134" t="b">
        <v>0</v>
      </c>
      <c r="K134">
        <v>3</v>
      </c>
      <c r="L134">
        <v>5</v>
      </c>
      <c r="M134">
        <v>2026</v>
      </c>
      <c r="N134">
        <v>6</v>
      </c>
      <c r="O134">
        <v>5</v>
      </c>
      <c r="P134">
        <v>2026</v>
      </c>
      <c r="Q134">
        <v>3</v>
      </c>
      <c r="R134" t="s">
        <v>66</v>
      </c>
      <c r="S134" t="s">
        <v>55</v>
      </c>
      <c r="T134" t="s">
        <v>123</v>
      </c>
      <c r="U134" t="s">
        <v>66</v>
      </c>
      <c r="V134" t="s">
        <v>156</v>
      </c>
      <c r="W134" t="s">
        <v>157</v>
      </c>
      <c r="X134" t="s">
        <v>158</v>
      </c>
      <c r="Y134">
        <v>70</v>
      </c>
      <c r="Z134" t="s">
        <v>46</v>
      </c>
      <c r="AA134" t="s">
        <v>47</v>
      </c>
      <c r="AB134" s="1">
        <v>46166</v>
      </c>
      <c r="AC134" t="s">
        <v>66</v>
      </c>
      <c r="AD134" t="s">
        <v>40</v>
      </c>
      <c r="AE134" t="s">
        <v>69</v>
      </c>
      <c r="AF134" t="s">
        <v>40</v>
      </c>
      <c r="AG134">
        <v>0</v>
      </c>
      <c r="AH134" t="s">
        <v>100</v>
      </c>
    </row>
    <row r="135" spans="1:34" x14ac:dyDescent="0.3">
      <c r="A135" t="s">
        <v>376</v>
      </c>
      <c r="B135" t="s">
        <v>338</v>
      </c>
      <c r="C135" t="s">
        <v>52</v>
      </c>
      <c r="D135" t="s">
        <v>130</v>
      </c>
      <c r="E135" s="1">
        <v>45836</v>
      </c>
      <c r="F135" s="1">
        <v>45936</v>
      </c>
      <c r="G135" t="s">
        <v>81</v>
      </c>
      <c r="H135">
        <v>9989</v>
      </c>
      <c r="I135" t="s">
        <v>65</v>
      </c>
      <c r="J135" t="b">
        <v>0</v>
      </c>
      <c r="K135">
        <v>100</v>
      </c>
      <c r="L135">
        <v>10</v>
      </c>
      <c r="M135">
        <v>2025</v>
      </c>
      <c r="N135">
        <v>0</v>
      </c>
      <c r="O135">
        <v>6</v>
      </c>
      <c r="P135">
        <v>2025</v>
      </c>
      <c r="Q135">
        <v>5</v>
      </c>
      <c r="R135" t="s">
        <v>40</v>
      </c>
      <c r="S135" t="s">
        <v>45</v>
      </c>
      <c r="T135" t="s">
        <v>42</v>
      </c>
      <c r="U135" t="s">
        <v>40</v>
      </c>
      <c r="V135" t="s">
        <v>56</v>
      </c>
      <c r="W135" t="s">
        <v>57</v>
      </c>
      <c r="X135" t="s">
        <v>45</v>
      </c>
      <c r="Y135">
        <v>120</v>
      </c>
      <c r="Z135" t="s">
        <v>133</v>
      </c>
      <c r="AA135" t="s">
        <v>134</v>
      </c>
      <c r="AB135" s="1">
        <v>45936</v>
      </c>
      <c r="AC135" t="s">
        <v>40</v>
      </c>
      <c r="AD135" t="s">
        <v>40</v>
      </c>
      <c r="AE135" t="s">
        <v>60</v>
      </c>
      <c r="AF135" t="s">
        <v>40</v>
      </c>
      <c r="AG135">
        <v>0</v>
      </c>
      <c r="AH135" t="s">
        <v>49</v>
      </c>
    </row>
    <row r="136" spans="1:34" x14ac:dyDescent="0.3">
      <c r="A136" t="s">
        <v>377</v>
      </c>
      <c r="B136" t="s">
        <v>378</v>
      </c>
      <c r="C136" t="s">
        <v>97</v>
      </c>
      <c r="D136" t="s">
        <v>37</v>
      </c>
      <c r="E136" s="1">
        <v>46320</v>
      </c>
      <c r="F136" s="1">
        <v>46323</v>
      </c>
      <c r="G136" t="s">
        <v>81</v>
      </c>
      <c r="H136">
        <v>7261</v>
      </c>
      <c r="I136" t="s">
        <v>39</v>
      </c>
      <c r="J136" t="b">
        <v>0</v>
      </c>
      <c r="K136">
        <v>3</v>
      </c>
      <c r="L136">
        <v>10</v>
      </c>
      <c r="M136">
        <v>2026</v>
      </c>
      <c r="N136">
        <v>2</v>
      </c>
      <c r="O136">
        <v>10</v>
      </c>
      <c r="P136">
        <v>2026</v>
      </c>
      <c r="Q136">
        <v>6</v>
      </c>
      <c r="R136" t="s">
        <v>40</v>
      </c>
      <c r="S136" t="s">
        <v>55</v>
      </c>
      <c r="T136" t="s">
        <v>286</v>
      </c>
      <c r="U136" t="s">
        <v>40</v>
      </c>
      <c r="V136" t="s">
        <v>98</v>
      </c>
      <c r="W136" t="s">
        <v>99</v>
      </c>
      <c r="X136" t="s">
        <v>76</v>
      </c>
      <c r="Y136">
        <v>80</v>
      </c>
      <c r="Z136" t="s">
        <v>46</v>
      </c>
      <c r="AA136" t="s">
        <v>47</v>
      </c>
      <c r="AB136" s="1">
        <v>46323</v>
      </c>
      <c r="AC136" t="s">
        <v>40</v>
      </c>
      <c r="AD136" t="s">
        <v>40</v>
      </c>
      <c r="AE136" t="s">
        <v>60</v>
      </c>
      <c r="AF136" t="s">
        <v>40</v>
      </c>
      <c r="AG136">
        <v>0</v>
      </c>
      <c r="AH136" t="s">
        <v>100</v>
      </c>
    </row>
    <row r="137" spans="1:34" x14ac:dyDescent="0.3">
      <c r="A137" t="s">
        <v>379</v>
      </c>
      <c r="B137" t="s">
        <v>380</v>
      </c>
      <c r="C137" t="s">
        <v>169</v>
      </c>
      <c r="D137" t="s">
        <v>104</v>
      </c>
      <c r="E137" s="1">
        <v>46147</v>
      </c>
      <c r="F137" s="1">
        <v>46207</v>
      </c>
      <c r="G137" t="s">
        <v>38</v>
      </c>
      <c r="H137">
        <v>3740</v>
      </c>
      <c r="I137" t="s">
        <v>65</v>
      </c>
      <c r="J137" t="b">
        <v>0</v>
      </c>
      <c r="K137">
        <v>60</v>
      </c>
      <c r="L137">
        <v>7</v>
      </c>
      <c r="M137">
        <v>2026</v>
      </c>
      <c r="N137">
        <v>5</v>
      </c>
      <c r="O137">
        <v>5</v>
      </c>
      <c r="P137">
        <v>2026</v>
      </c>
      <c r="Q137">
        <v>1</v>
      </c>
      <c r="R137" t="s">
        <v>66</v>
      </c>
      <c r="S137" t="s">
        <v>55</v>
      </c>
      <c r="T137" t="s">
        <v>42</v>
      </c>
      <c r="U137" t="s">
        <v>40</v>
      </c>
      <c r="V137" t="s">
        <v>170</v>
      </c>
      <c r="W137" t="s">
        <v>171</v>
      </c>
      <c r="X137" t="s">
        <v>126</v>
      </c>
      <c r="Y137">
        <v>90</v>
      </c>
      <c r="Z137" t="s">
        <v>107</v>
      </c>
      <c r="AA137" t="s">
        <v>108</v>
      </c>
      <c r="AB137" s="1">
        <v>46207</v>
      </c>
      <c r="AC137" t="s">
        <v>66</v>
      </c>
      <c r="AD137" t="s">
        <v>40</v>
      </c>
      <c r="AE137" t="s">
        <v>86</v>
      </c>
      <c r="AF137" t="s">
        <v>40</v>
      </c>
      <c r="AG137">
        <v>0</v>
      </c>
      <c r="AH137" t="s">
        <v>61</v>
      </c>
    </row>
    <row r="138" spans="1:34" x14ac:dyDescent="0.3">
      <c r="A138" t="s">
        <v>381</v>
      </c>
      <c r="B138" t="s">
        <v>191</v>
      </c>
      <c r="C138" t="s">
        <v>97</v>
      </c>
      <c r="D138" t="s">
        <v>80</v>
      </c>
      <c r="E138" s="1">
        <v>46046</v>
      </c>
      <c r="F138" s="1">
        <v>46106</v>
      </c>
      <c r="G138" t="s">
        <v>64</v>
      </c>
      <c r="H138">
        <v>3189</v>
      </c>
      <c r="I138" t="s">
        <v>54</v>
      </c>
      <c r="J138" t="b">
        <v>0</v>
      </c>
      <c r="K138">
        <v>60</v>
      </c>
      <c r="L138">
        <v>3</v>
      </c>
      <c r="M138">
        <v>2026</v>
      </c>
      <c r="N138">
        <v>2</v>
      </c>
      <c r="O138">
        <v>1</v>
      </c>
      <c r="P138">
        <v>2026</v>
      </c>
      <c r="Q138">
        <v>5</v>
      </c>
      <c r="R138" t="s">
        <v>40</v>
      </c>
      <c r="S138" t="s">
        <v>41</v>
      </c>
      <c r="T138" t="s">
        <v>42</v>
      </c>
      <c r="U138" t="s">
        <v>40</v>
      </c>
      <c r="V138" t="s">
        <v>98</v>
      </c>
      <c r="W138" t="s">
        <v>99</v>
      </c>
      <c r="X138" t="s">
        <v>76</v>
      </c>
      <c r="Y138">
        <v>80</v>
      </c>
      <c r="Z138" t="s">
        <v>84</v>
      </c>
      <c r="AA138" t="s">
        <v>85</v>
      </c>
      <c r="AB138" s="1">
        <v>46106</v>
      </c>
      <c r="AC138" t="s">
        <v>40</v>
      </c>
      <c r="AD138" t="s">
        <v>40</v>
      </c>
      <c r="AE138" t="s">
        <v>60</v>
      </c>
      <c r="AF138" t="s">
        <v>40</v>
      </c>
      <c r="AG138">
        <v>1</v>
      </c>
      <c r="AH138" t="s">
        <v>61</v>
      </c>
    </row>
    <row r="139" spans="1:34" x14ac:dyDescent="0.3">
      <c r="A139" t="s">
        <v>382</v>
      </c>
      <c r="B139" t="s">
        <v>383</v>
      </c>
      <c r="C139" t="s">
        <v>129</v>
      </c>
      <c r="D139" t="s">
        <v>53</v>
      </c>
      <c r="E139" s="1">
        <v>45670</v>
      </c>
      <c r="F139" s="1">
        <v>45730</v>
      </c>
      <c r="G139" t="s">
        <v>38</v>
      </c>
      <c r="H139">
        <v>5642</v>
      </c>
      <c r="I139" t="s">
        <v>39</v>
      </c>
      <c r="J139" t="b">
        <v>0</v>
      </c>
      <c r="K139">
        <v>60</v>
      </c>
      <c r="L139">
        <v>3</v>
      </c>
      <c r="M139">
        <v>2025</v>
      </c>
      <c r="N139">
        <v>4</v>
      </c>
      <c r="O139">
        <v>1</v>
      </c>
      <c r="P139">
        <v>2025</v>
      </c>
      <c r="Q139">
        <v>0</v>
      </c>
      <c r="R139" t="s">
        <v>40</v>
      </c>
      <c r="S139" t="s">
        <v>55</v>
      </c>
      <c r="T139" t="s">
        <v>42</v>
      </c>
      <c r="U139" t="s">
        <v>40</v>
      </c>
      <c r="V139" t="s">
        <v>131</v>
      </c>
      <c r="W139" t="s">
        <v>132</v>
      </c>
      <c r="X139" t="s">
        <v>45</v>
      </c>
      <c r="Y139">
        <v>110</v>
      </c>
      <c r="Z139" t="s">
        <v>58</v>
      </c>
      <c r="AA139" t="s">
        <v>59</v>
      </c>
      <c r="AB139" s="1">
        <v>45730</v>
      </c>
      <c r="AC139" t="s">
        <v>40</v>
      </c>
      <c r="AD139" t="s">
        <v>40</v>
      </c>
      <c r="AE139" t="s">
        <v>60</v>
      </c>
      <c r="AF139" t="s">
        <v>40</v>
      </c>
      <c r="AG139">
        <v>0</v>
      </c>
      <c r="AH139" t="s">
        <v>61</v>
      </c>
    </row>
    <row r="140" spans="1:34" x14ac:dyDescent="0.3">
      <c r="A140" t="s">
        <v>384</v>
      </c>
      <c r="B140" t="s">
        <v>385</v>
      </c>
      <c r="C140" t="s">
        <v>97</v>
      </c>
      <c r="D140" t="s">
        <v>80</v>
      </c>
      <c r="E140" s="1">
        <v>46285</v>
      </c>
      <c r="F140" s="1">
        <v>46286</v>
      </c>
      <c r="G140" t="s">
        <v>38</v>
      </c>
      <c r="H140">
        <v>5422</v>
      </c>
      <c r="I140" t="s">
        <v>39</v>
      </c>
      <c r="J140" t="b">
        <v>0</v>
      </c>
      <c r="K140">
        <v>1</v>
      </c>
      <c r="L140">
        <v>9</v>
      </c>
      <c r="M140">
        <v>2026</v>
      </c>
      <c r="N140">
        <v>0</v>
      </c>
      <c r="O140">
        <v>9</v>
      </c>
      <c r="P140">
        <v>2026</v>
      </c>
      <c r="Q140">
        <v>6</v>
      </c>
      <c r="R140" t="s">
        <v>40</v>
      </c>
      <c r="S140" t="s">
        <v>55</v>
      </c>
      <c r="T140" t="s">
        <v>286</v>
      </c>
      <c r="U140" t="s">
        <v>66</v>
      </c>
      <c r="V140" t="s">
        <v>98</v>
      </c>
      <c r="W140" t="s">
        <v>99</v>
      </c>
      <c r="X140" t="s">
        <v>76</v>
      </c>
      <c r="Y140">
        <v>80</v>
      </c>
      <c r="Z140" t="s">
        <v>84</v>
      </c>
      <c r="AA140" t="s">
        <v>85</v>
      </c>
      <c r="AB140" s="1">
        <v>46286</v>
      </c>
      <c r="AC140" t="s">
        <v>40</v>
      </c>
      <c r="AD140" t="s">
        <v>40</v>
      </c>
      <c r="AE140" t="s">
        <v>60</v>
      </c>
      <c r="AF140" t="s">
        <v>40</v>
      </c>
      <c r="AG140">
        <v>0</v>
      </c>
      <c r="AH140" t="s">
        <v>100</v>
      </c>
    </row>
    <row r="141" spans="1:34" x14ac:dyDescent="0.3">
      <c r="A141" t="s">
        <v>386</v>
      </c>
      <c r="B141" t="s">
        <v>387</v>
      </c>
      <c r="C141" t="s">
        <v>169</v>
      </c>
      <c r="D141" t="s">
        <v>130</v>
      </c>
      <c r="E141" s="1">
        <v>46177</v>
      </c>
      <c r="F141" s="1">
        <v>46184</v>
      </c>
      <c r="G141" t="s">
        <v>41</v>
      </c>
      <c r="H141">
        <v>6880</v>
      </c>
      <c r="I141" t="s">
        <v>39</v>
      </c>
      <c r="J141" t="b">
        <v>0</v>
      </c>
      <c r="K141">
        <v>7</v>
      </c>
      <c r="L141">
        <v>6</v>
      </c>
      <c r="M141">
        <v>2026</v>
      </c>
      <c r="N141">
        <v>3</v>
      </c>
      <c r="O141">
        <v>6</v>
      </c>
      <c r="P141">
        <v>2026</v>
      </c>
      <c r="Q141">
        <v>3</v>
      </c>
      <c r="R141" t="s">
        <v>40</v>
      </c>
      <c r="S141" t="s">
        <v>41</v>
      </c>
      <c r="T141" t="s">
        <v>42</v>
      </c>
      <c r="U141" t="s">
        <v>66</v>
      </c>
      <c r="V141" t="s">
        <v>170</v>
      </c>
      <c r="W141" t="s">
        <v>171</v>
      </c>
      <c r="X141" t="s">
        <v>126</v>
      </c>
      <c r="Y141">
        <v>90</v>
      </c>
      <c r="Z141" t="s">
        <v>133</v>
      </c>
      <c r="AA141" t="s">
        <v>134</v>
      </c>
      <c r="AB141" s="1">
        <v>46184</v>
      </c>
      <c r="AC141" t="s">
        <v>40</v>
      </c>
      <c r="AD141" t="s">
        <v>40</v>
      </c>
      <c r="AE141" t="s">
        <v>60</v>
      </c>
      <c r="AF141" t="s">
        <v>40</v>
      </c>
      <c r="AG141">
        <v>0</v>
      </c>
      <c r="AH141" t="s">
        <v>100</v>
      </c>
    </row>
    <row r="142" spans="1:34" x14ac:dyDescent="0.3">
      <c r="A142" t="s">
        <v>388</v>
      </c>
      <c r="B142" t="s">
        <v>389</v>
      </c>
      <c r="C142" t="s">
        <v>122</v>
      </c>
      <c r="D142" t="s">
        <v>53</v>
      </c>
      <c r="E142" s="1">
        <v>45779</v>
      </c>
      <c r="F142" s="1">
        <v>45999</v>
      </c>
      <c r="G142" t="s">
        <v>64</v>
      </c>
      <c r="H142">
        <v>3026</v>
      </c>
      <c r="I142" t="s">
        <v>65</v>
      </c>
      <c r="J142" t="b">
        <v>0</v>
      </c>
      <c r="K142">
        <v>220</v>
      </c>
      <c r="L142">
        <v>12</v>
      </c>
      <c r="M142">
        <v>2025</v>
      </c>
      <c r="N142">
        <v>0</v>
      </c>
      <c r="O142">
        <v>5</v>
      </c>
      <c r="P142">
        <v>2025</v>
      </c>
      <c r="Q142">
        <v>4</v>
      </c>
      <c r="R142" t="s">
        <v>40</v>
      </c>
      <c r="S142" t="s">
        <v>55</v>
      </c>
      <c r="T142" t="s">
        <v>139</v>
      </c>
      <c r="U142" t="s">
        <v>40</v>
      </c>
      <c r="V142" t="s">
        <v>124</v>
      </c>
      <c r="W142" t="s">
        <v>125</v>
      </c>
      <c r="X142" t="s">
        <v>126</v>
      </c>
      <c r="Y142">
        <v>85</v>
      </c>
      <c r="Z142" t="s">
        <v>58</v>
      </c>
      <c r="AA142" t="s">
        <v>59</v>
      </c>
      <c r="AB142" s="1">
        <v>45999</v>
      </c>
      <c r="AC142" t="s">
        <v>40</v>
      </c>
      <c r="AD142" t="s">
        <v>40</v>
      </c>
      <c r="AE142" t="s">
        <v>69</v>
      </c>
      <c r="AF142" t="s">
        <v>40</v>
      </c>
      <c r="AG142">
        <v>0</v>
      </c>
      <c r="AH142" t="s">
        <v>142</v>
      </c>
    </row>
    <row r="143" spans="1:34" x14ac:dyDescent="0.3">
      <c r="A143" t="s">
        <v>390</v>
      </c>
      <c r="B143" t="s">
        <v>391</v>
      </c>
      <c r="C143" t="s">
        <v>129</v>
      </c>
      <c r="D143" t="s">
        <v>53</v>
      </c>
      <c r="E143" s="1">
        <v>46178</v>
      </c>
      <c r="F143" s="1">
        <v>46208</v>
      </c>
      <c r="G143" t="s">
        <v>41</v>
      </c>
      <c r="H143">
        <v>8458</v>
      </c>
      <c r="I143" t="s">
        <v>39</v>
      </c>
      <c r="J143" t="b">
        <v>0</v>
      </c>
      <c r="K143">
        <v>30</v>
      </c>
      <c r="L143">
        <v>7</v>
      </c>
      <c r="M143">
        <v>2026</v>
      </c>
      <c r="N143">
        <v>6</v>
      </c>
      <c r="O143">
        <v>6</v>
      </c>
      <c r="P143">
        <v>2026</v>
      </c>
      <c r="Q143">
        <v>4</v>
      </c>
      <c r="R143" t="s">
        <v>66</v>
      </c>
      <c r="S143" t="s">
        <v>55</v>
      </c>
      <c r="T143" t="s">
        <v>42</v>
      </c>
      <c r="U143" t="s">
        <v>40</v>
      </c>
      <c r="V143" t="s">
        <v>131</v>
      </c>
      <c r="W143" t="s">
        <v>132</v>
      </c>
      <c r="X143" t="s">
        <v>45</v>
      </c>
      <c r="Y143">
        <v>110</v>
      </c>
      <c r="Z143" t="s">
        <v>58</v>
      </c>
      <c r="AA143" t="s">
        <v>59</v>
      </c>
      <c r="AB143" s="1">
        <v>46208</v>
      </c>
      <c r="AC143" t="s">
        <v>66</v>
      </c>
      <c r="AD143" t="s">
        <v>40</v>
      </c>
      <c r="AE143" t="s">
        <v>86</v>
      </c>
      <c r="AF143" t="s">
        <v>40</v>
      </c>
      <c r="AG143">
        <v>0</v>
      </c>
      <c r="AH143" t="s">
        <v>70</v>
      </c>
    </row>
    <row r="144" spans="1:34" x14ac:dyDescent="0.3">
      <c r="A144" t="s">
        <v>392</v>
      </c>
      <c r="B144" t="s">
        <v>393</v>
      </c>
      <c r="C144" t="s">
        <v>89</v>
      </c>
      <c r="D144" t="s">
        <v>37</v>
      </c>
      <c r="E144" s="1">
        <v>46030</v>
      </c>
      <c r="F144" s="1">
        <v>46090</v>
      </c>
      <c r="G144" t="s">
        <v>64</v>
      </c>
      <c r="H144">
        <v>3755</v>
      </c>
      <c r="I144" t="s">
        <v>65</v>
      </c>
      <c r="J144" t="b">
        <v>0</v>
      </c>
      <c r="K144">
        <v>60</v>
      </c>
      <c r="L144">
        <v>3</v>
      </c>
      <c r="M144">
        <v>2026</v>
      </c>
      <c r="N144">
        <v>0</v>
      </c>
      <c r="O144">
        <v>1</v>
      </c>
      <c r="P144">
        <v>2026</v>
      </c>
      <c r="Q144">
        <v>3</v>
      </c>
      <c r="R144" t="s">
        <v>40</v>
      </c>
      <c r="S144" t="s">
        <v>55</v>
      </c>
      <c r="T144" t="s">
        <v>68</v>
      </c>
      <c r="U144" t="s">
        <v>40</v>
      </c>
      <c r="V144" t="s">
        <v>91</v>
      </c>
      <c r="W144" t="s">
        <v>92</v>
      </c>
      <c r="X144" t="s">
        <v>76</v>
      </c>
      <c r="Y144">
        <v>65</v>
      </c>
      <c r="Z144" t="s">
        <v>46</v>
      </c>
      <c r="AA144" t="s">
        <v>47</v>
      </c>
      <c r="AB144" s="1">
        <v>46090</v>
      </c>
      <c r="AC144" t="s">
        <v>40</v>
      </c>
      <c r="AD144" t="s">
        <v>40</v>
      </c>
      <c r="AE144" t="s">
        <v>60</v>
      </c>
      <c r="AF144" t="s">
        <v>40</v>
      </c>
      <c r="AG144">
        <v>0</v>
      </c>
      <c r="AH144" t="s">
        <v>61</v>
      </c>
    </row>
    <row r="145" spans="1:34" x14ac:dyDescent="0.3">
      <c r="A145" t="s">
        <v>394</v>
      </c>
      <c r="B145" t="s">
        <v>395</v>
      </c>
      <c r="C145" t="s">
        <v>146</v>
      </c>
      <c r="D145" t="s">
        <v>53</v>
      </c>
      <c r="E145" s="1">
        <v>45766</v>
      </c>
      <c r="F145" s="1">
        <v>45767</v>
      </c>
      <c r="G145" t="s">
        <v>38</v>
      </c>
      <c r="H145">
        <v>5176</v>
      </c>
      <c r="I145" t="s">
        <v>54</v>
      </c>
      <c r="J145" t="b">
        <v>0</v>
      </c>
      <c r="K145">
        <v>1</v>
      </c>
      <c r="L145">
        <v>4</v>
      </c>
      <c r="M145">
        <v>2025</v>
      </c>
      <c r="N145">
        <v>6</v>
      </c>
      <c r="O145">
        <v>4</v>
      </c>
      <c r="P145">
        <v>2025</v>
      </c>
      <c r="Q145">
        <v>5</v>
      </c>
      <c r="R145" t="s">
        <v>66</v>
      </c>
      <c r="S145" t="s">
        <v>45</v>
      </c>
      <c r="T145" t="s">
        <v>123</v>
      </c>
      <c r="U145" t="s">
        <v>40</v>
      </c>
      <c r="V145" t="s">
        <v>147</v>
      </c>
      <c r="W145" t="s">
        <v>148</v>
      </c>
      <c r="X145" t="s">
        <v>45</v>
      </c>
      <c r="Y145">
        <v>160</v>
      </c>
      <c r="Z145" t="s">
        <v>58</v>
      </c>
      <c r="AA145" t="s">
        <v>59</v>
      </c>
      <c r="AB145" s="1">
        <v>45767</v>
      </c>
      <c r="AC145" t="s">
        <v>66</v>
      </c>
      <c r="AD145" t="s">
        <v>40</v>
      </c>
      <c r="AE145" t="s">
        <v>69</v>
      </c>
      <c r="AF145" t="s">
        <v>40</v>
      </c>
      <c r="AG145">
        <v>1</v>
      </c>
      <c r="AH145" t="s">
        <v>100</v>
      </c>
    </row>
    <row r="146" spans="1:34" x14ac:dyDescent="0.3">
      <c r="A146" t="s">
        <v>396</v>
      </c>
      <c r="B146" t="s">
        <v>397</v>
      </c>
      <c r="C146" t="s">
        <v>73</v>
      </c>
      <c r="D146" t="s">
        <v>104</v>
      </c>
      <c r="E146" s="1">
        <v>45853</v>
      </c>
      <c r="F146" s="1">
        <v>45913</v>
      </c>
      <c r="G146" t="s">
        <v>64</v>
      </c>
      <c r="H146">
        <v>2295</v>
      </c>
      <c r="I146" t="s">
        <v>39</v>
      </c>
      <c r="J146" t="b">
        <v>0</v>
      </c>
      <c r="K146">
        <v>60</v>
      </c>
      <c r="L146">
        <v>9</v>
      </c>
      <c r="M146">
        <v>2025</v>
      </c>
      <c r="N146">
        <v>5</v>
      </c>
      <c r="O146">
        <v>7</v>
      </c>
      <c r="P146">
        <v>2025</v>
      </c>
      <c r="Q146">
        <v>1</v>
      </c>
      <c r="R146" t="s">
        <v>66</v>
      </c>
      <c r="S146" t="s">
        <v>55</v>
      </c>
      <c r="T146" t="s">
        <v>42</v>
      </c>
      <c r="U146" t="s">
        <v>66</v>
      </c>
      <c r="V146" t="s">
        <v>74</v>
      </c>
      <c r="W146" t="s">
        <v>75</v>
      </c>
      <c r="X146" t="s">
        <v>76</v>
      </c>
      <c r="Y146">
        <v>75</v>
      </c>
      <c r="Z146" t="s">
        <v>107</v>
      </c>
      <c r="AA146" t="s">
        <v>108</v>
      </c>
      <c r="AB146" s="1">
        <v>45913</v>
      </c>
      <c r="AC146" t="s">
        <v>66</v>
      </c>
      <c r="AD146" t="s">
        <v>40</v>
      </c>
      <c r="AE146" t="s">
        <v>60</v>
      </c>
      <c r="AF146" t="s">
        <v>40</v>
      </c>
      <c r="AG146">
        <v>0</v>
      </c>
      <c r="AH146" t="s">
        <v>61</v>
      </c>
    </row>
    <row r="147" spans="1:34" x14ac:dyDescent="0.3">
      <c r="A147" t="s">
        <v>398</v>
      </c>
      <c r="B147" t="s">
        <v>399</v>
      </c>
      <c r="C147" t="s">
        <v>97</v>
      </c>
      <c r="D147" t="s">
        <v>104</v>
      </c>
      <c r="E147" s="1">
        <v>45662</v>
      </c>
      <c r="F147" s="1">
        <v>45692</v>
      </c>
      <c r="G147" t="s">
        <v>64</v>
      </c>
      <c r="H147">
        <v>4115</v>
      </c>
      <c r="I147" t="s">
        <v>65</v>
      </c>
      <c r="J147" t="b">
        <v>0</v>
      </c>
      <c r="K147">
        <v>30</v>
      </c>
      <c r="L147">
        <v>2</v>
      </c>
      <c r="M147">
        <v>2025</v>
      </c>
      <c r="N147">
        <v>1</v>
      </c>
      <c r="O147">
        <v>1</v>
      </c>
      <c r="P147">
        <v>2025</v>
      </c>
      <c r="Q147">
        <v>6</v>
      </c>
      <c r="R147" t="s">
        <v>40</v>
      </c>
      <c r="S147" t="s">
        <v>67</v>
      </c>
      <c r="T147" t="s">
        <v>42</v>
      </c>
      <c r="U147" t="s">
        <v>40</v>
      </c>
      <c r="V147" t="s">
        <v>98</v>
      </c>
      <c r="W147" t="s">
        <v>99</v>
      </c>
      <c r="X147" t="s">
        <v>76</v>
      </c>
      <c r="Y147">
        <v>80</v>
      </c>
      <c r="Z147" t="s">
        <v>107</v>
      </c>
      <c r="AA147" t="s">
        <v>108</v>
      </c>
      <c r="AB147" s="1">
        <v>45692</v>
      </c>
      <c r="AC147" t="s">
        <v>40</v>
      </c>
      <c r="AD147" t="s">
        <v>40</v>
      </c>
      <c r="AE147" t="s">
        <v>60</v>
      </c>
      <c r="AF147" t="s">
        <v>40</v>
      </c>
      <c r="AG147">
        <v>0</v>
      </c>
      <c r="AH147" t="s">
        <v>70</v>
      </c>
    </row>
    <row r="148" spans="1:34" x14ac:dyDescent="0.3">
      <c r="A148" t="s">
        <v>400</v>
      </c>
      <c r="B148" t="s">
        <v>401</v>
      </c>
      <c r="C148" t="s">
        <v>97</v>
      </c>
      <c r="D148" t="s">
        <v>37</v>
      </c>
      <c r="E148" s="1">
        <v>45789</v>
      </c>
      <c r="F148" s="1">
        <v>45792</v>
      </c>
      <c r="G148" t="s">
        <v>81</v>
      </c>
      <c r="H148">
        <v>9929</v>
      </c>
      <c r="I148" t="s">
        <v>39</v>
      </c>
      <c r="J148" t="b">
        <v>0</v>
      </c>
      <c r="K148">
        <v>3</v>
      </c>
      <c r="L148">
        <v>5</v>
      </c>
      <c r="M148">
        <v>2025</v>
      </c>
      <c r="N148">
        <v>3</v>
      </c>
      <c r="O148">
        <v>5</v>
      </c>
      <c r="P148">
        <v>2025</v>
      </c>
      <c r="Q148">
        <v>0</v>
      </c>
      <c r="R148" t="s">
        <v>40</v>
      </c>
      <c r="S148" t="s">
        <v>55</v>
      </c>
      <c r="T148" t="s">
        <v>42</v>
      </c>
      <c r="U148" t="s">
        <v>40</v>
      </c>
      <c r="V148" t="s">
        <v>98</v>
      </c>
      <c r="W148" t="s">
        <v>99</v>
      </c>
      <c r="X148" t="s">
        <v>76</v>
      </c>
      <c r="Y148">
        <v>80</v>
      </c>
      <c r="Z148" t="s">
        <v>46</v>
      </c>
      <c r="AA148" t="s">
        <v>47</v>
      </c>
      <c r="AB148" s="1">
        <v>45792</v>
      </c>
      <c r="AC148" t="s">
        <v>40</v>
      </c>
      <c r="AD148" t="s">
        <v>40</v>
      </c>
      <c r="AE148" t="s">
        <v>69</v>
      </c>
      <c r="AF148" t="s">
        <v>40</v>
      </c>
      <c r="AG148">
        <v>0</v>
      </c>
      <c r="AH148" t="s">
        <v>100</v>
      </c>
    </row>
    <row r="149" spans="1:34" x14ac:dyDescent="0.3">
      <c r="A149" t="s">
        <v>402</v>
      </c>
      <c r="B149" t="s">
        <v>230</v>
      </c>
      <c r="C149" t="s">
        <v>169</v>
      </c>
      <c r="D149" t="s">
        <v>104</v>
      </c>
      <c r="E149" s="1">
        <v>45794</v>
      </c>
      <c r="F149" s="1">
        <v>45797</v>
      </c>
      <c r="G149" t="s">
        <v>81</v>
      </c>
      <c r="H149">
        <v>11034</v>
      </c>
      <c r="I149" t="s">
        <v>65</v>
      </c>
      <c r="J149" t="b">
        <v>0</v>
      </c>
      <c r="K149">
        <v>3</v>
      </c>
      <c r="L149">
        <v>5</v>
      </c>
      <c r="M149">
        <v>2025</v>
      </c>
      <c r="N149">
        <v>1</v>
      </c>
      <c r="O149">
        <v>5</v>
      </c>
      <c r="P149">
        <v>2025</v>
      </c>
      <c r="Q149">
        <v>5</v>
      </c>
      <c r="R149" t="s">
        <v>40</v>
      </c>
      <c r="S149" t="s">
        <v>45</v>
      </c>
      <c r="T149" t="s">
        <v>68</v>
      </c>
      <c r="U149" t="s">
        <v>66</v>
      </c>
      <c r="V149" t="s">
        <v>170</v>
      </c>
      <c r="W149" t="s">
        <v>171</v>
      </c>
      <c r="X149" t="s">
        <v>126</v>
      </c>
      <c r="Y149">
        <v>90</v>
      </c>
      <c r="Z149" t="s">
        <v>107</v>
      </c>
      <c r="AA149" t="s">
        <v>108</v>
      </c>
      <c r="AB149" s="1">
        <v>45797</v>
      </c>
      <c r="AC149" t="s">
        <v>40</v>
      </c>
      <c r="AD149" t="s">
        <v>40</v>
      </c>
      <c r="AE149" t="s">
        <v>69</v>
      </c>
      <c r="AF149" t="s">
        <v>40</v>
      </c>
      <c r="AG149">
        <v>0</v>
      </c>
      <c r="AH149" t="s">
        <v>100</v>
      </c>
    </row>
    <row r="150" spans="1:34" x14ac:dyDescent="0.3">
      <c r="A150" t="s">
        <v>403</v>
      </c>
      <c r="B150" t="s">
        <v>404</v>
      </c>
      <c r="C150" t="s">
        <v>129</v>
      </c>
      <c r="D150" t="s">
        <v>90</v>
      </c>
      <c r="E150" s="1">
        <v>46323</v>
      </c>
      <c r="F150" s="1">
        <v>46543</v>
      </c>
      <c r="G150" t="s">
        <v>38</v>
      </c>
      <c r="H150">
        <v>4820</v>
      </c>
      <c r="I150" t="s">
        <v>39</v>
      </c>
      <c r="J150" t="b">
        <v>0</v>
      </c>
      <c r="K150">
        <v>220</v>
      </c>
      <c r="L150">
        <v>6</v>
      </c>
      <c r="M150">
        <v>2027</v>
      </c>
      <c r="N150">
        <v>5</v>
      </c>
      <c r="O150">
        <v>10</v>
      </c>
      <c r="P150">
        <v>2026</v>
      </c>
      <c r="Q150">
        <v>2</v>
      </c>
      <c r="R150" t="s">
        <v>66</v>
      </c>
      <c r="S150" t="s">
        <v>45</v>
      </c>
      <c r="T150" t="s">
        <v>139</v>
      </c>
      <c r="U150" t="s">
        <v>66</v>
      </c>
      <c r="V150" t="s">
        <v>131</v>
      </c>
      <c r="W150" t="s">
        <v>132</v>
      </c>
      <c r="X150" t="s">
        <v>45</v>
      </c>
      <c r="Y150">
        <v>110</v>
      </c>
      <c r="Z150" t="s">
        <v>93</v>
      </c>
      <c r="AA150" t="s">
        <v>94</v>
      </c>
      <c r="AB150" s="1"/>
      <c r="AC150" t="s">
        <v>48</v>
      </c>
      <c r="AD150" t="s">
        <v>48</v>
      </c>
      <c r="AE150" t="s">
        <v>48</v>
      </c>
      <c r="AF150" t="s">
        <v>48</v>
      </c>
      <c r="AG150">
        <v>0</v>
      </c>
      <c r="AH150" t="s">
        <v>142</v>
      </c>
    </row>
    <row r="151" spans="1:34" x14ac:dyDescent="0.3">
      <c r="A151" t="s">
        <v>405</v>
      </c>
      <c r="B151" t="s">
        <v>406</v>
      </c>
      <c r="C151" t="s">
        <v>129</v>
      </c>
      <c r="D151" t="s">
        <v>37</v>
      </c>
      <c r="E151" s="1">
        <v>46204</v>
      </c>
      <c r="F151" s="1">
        <v>46211</v>
      </c>
      <c r="G151" t="s">
        <v>41</v>
      </c>
      <c r="H151">
        <v>6560</v>
      </c>
      <c r="I151" t="s">
        <v>39</v>
      </c>
      <c r="J151" t="b">
        <v>0</v>
      </c>
      <c r="K151">
        <v>7</v>
      </c>
      <c r="L151">
        <v>7</v>
      </c>
      <c r="M151">
        <v>2026</v>
      </c>
      <c r="N151">
        <v>2</v>
      </c>
      <c r="O151">
        <v>7</v>
      </c>
      <c r="P151">
        <v>2026</v>
      </c>
      <c r="Q151">
        <v>2</v>
      </c>
      <c r="R151" t="s">
        <v>40</v>
      </c>
      <c r="S151" t="s">
        <v>55</v>
      </c>
      <c r="T151" t="s">
        <v>42</v>
      </c>
      <c r="U151" t="s">
        <v>40</v>
      </c>
      <c r="V151" t="s">
        <v>131</v>
      </c>
      <c r="W151" t="s">
        <v>132</v>
      </c>
      <c r="X151" t="s">
        <v>45</v>
      </c>
      <c r="Y151">
        <v>110</v>
      </c>
      <c r="Z151" t="s">
        <v>46</v>
      </c>
      <c r="AA151" t="s">
        <v>47</v>
      </c>
      <c r="AB151" s="1">
        <v>46211</v>
      </c>
      <c r="AC151" t="s">
        <v>40</v>
      </c>
      <c r="AD151" t="s">
        <v>40</v>
      </c>
      <c r="AE151" t="s">
        <v>86</v>
      </c>
      <c r="AF151" t="s">
        <v>40</v>
      </c>
      <c r="AG151">
        <v>0</v>
      </c>
      <c r="AH151" t="s">
        <v>100</v>
      </c>
    </row>
    <row r="152" spans="1:34" x14ac:dyDescent="0.3">
      <c r="A152" t="s">
        <v>407</v>
      </c>
      <c r="B152" t="s">
        <v>408</v>
      </c>
      <c r="C152" t="s">
        <v>169</v>
      </c>
      <c r="D152" t="s">
        <v>37</v>
      </c>
      <c r="E152" s="1">
        <v>45914</v>
      </c>
      <c r="F152" s="1">
        <v>45917</v>
      </c>
      <c r="G152" t="s">
        <v>64</v>
      </c>
      <c r="H152">
        <v>2617</v>
      </c>
      <c r="I152" t="s">
        <v>54</v>
      </c>
      <c r="J152" t="b">
        <v>0</v>
      </c>
      <c r="K152">
        <v>3</v>
      </c>
      <c r="L152">
        <v>9</v>
      </c>
      <c r="M152">
        <v>2025</v>
      </c>
      <c r="N152">
        <v>2</v>
      </c>
      <c r="O152">
        <v>9</v>
      </c>
      <c r="P152">
        <v>2025</v>
      </c>
      <c r="Q152">
        <v>6</v>
      </c>
      <c r="R152" t="s">
        <v>40</v>
      </c>
      <c r="S152" t="s">
        <v>45</v>
      </c>
      <c r="T152" t="s">
        <v>42</v>
      </c>
      <c r="U152" t="s">
        <v>40</v>
      </c>
      <c r="V152" t="s">
        <v>170</v>
      </c>
      <c r="W152" t="s">
        <v>171</v>
      </c>
      <c r="X152" t="s">
        <v>126</v>
      </c>
      <c r="Y152">
        <v>90</v>
      </c>
      <c r="Z152" t="s">
        <v>46</v>
      </c>
      <c r="AA152" t="s">
        <v>47</v>
      </c>
      <c r="AB152" s="1">
        <v>45917</v>
      </c>
      <c r="AC152" t="s">
        <v>40</v>
      </c>
      <c r="AD152" t="s">
        <v>40</v>
      </c>
      <c r="AE152" t="s">
        <v>60</v>
      </c>
      <c r="AF152" t="s">
        <v>40</v>
      </c>
      <c r="AG152">
        <v>1</v>
      </c>
      <c r="AH152" t="s">
        <v>100</v>
      </c>
    </row>
    <row r="153" spans="1:34" x14ac:dyDescent="0.3">
      <c r="A153" t="s">
        <v>409</v>
      </c>
      <c r="B153" t="s">
        <v>102</v>
      </c>
      <c r="C153" t="s">
        <v>73</v>
      </c>
      <c r="D153" t="s">
        <v>37</v>
      </c>
      <c r="E153" s="1">
        <v>46320</v>
      </c>
      <c r="F153" s="1">
        <v>46350</v>
      </c>
      <c r="G153" t="s">
        <v>38</v>
      </c>
      <c r="H153">
        <v>4678</v>
      </c>
      <c r="I153" t="s">
        <v>212</v>
      </c>
      <c r="J153" t="b">
        <v>0</v>
      </c>
      <c r="K153">
        <v>30</v>
      </c>
      <c r="L153">
        <v>11</v>
      </c>
      <c r="M153">
        <v>2026</v>
      </c>
      <c r="N153">
        <v>1</v>
      </c>
      <c r="O153">
        <v>10</v>
      </c>
      <c r="P153">
        <v>2026</v>
      </c>
      <c r="Q153">
        <v>6</v>
      </c>
      <c r="R153" t="s">
        <v>40</v>
      </c>
      <c r="S153" t="s">
        <v>41</v>
      </c>
      <c r="T153" t="s">
        <v>42</v>
      </c>
      <c r="U153" t="s">
        <v>40</v>
      </c>
      <c r="V153" t="s">
        <v>74</v>
      </c>
      <c r="W153" t="s">
        <v>75</v>
      </c>
      <c r="X153" t="s">
        <v>76</v>
      </c>
      <c r="Y153">
        <v>75</v>
      </c>
      <c r="Z153" t="s">
        <v>46</v>
      </c>
      <c r="AA153" t="s">
        <v>47</v>
      </c>
      <c r="AB153" s="1">
        <v>46350</v>
      </c>
      <c r="AC153" t="s">
        <v>40</v>
      </c>
      <c r="AD153" t="s">
        <v>40</v>
      </c>
      <c r="AE153" t="s">
        <v>86</v>
      </c>
      <c r="AF153" t="s">
        <v>40</v>
      </c>
      <c r="AG153">
        <v>0</v>
      </c>
      <c r="AH153" t="s">
        <v>70</v>
      </c>
    </row>
    <row r="154" spans="1:34" x14ac:dyDescent="0.3">
      <c r="A154" t="s">
        <v>410</v>
      </c>
      <c r="B154" t="s">
        <v>411</v>
      </c>
      <c r="C154" t="s">
        <v>146</v>
      </c>
      <c r="D154" t="s">
        <v>130</v>
      </c>
      <c r="E154" s="1">
        <v>45671</v>
      </c>
      <c r="F154" s="1">
        <v>45731</v>
      </c>
      <c r="G154" t="s">
        <v>38</v>
      </c>
      <c r="H154">
        <v>5314</v>
      </c>
      <c r="I154" t="s">
        <v>39</v>
      </c>
      <c r="J154" t="b">
        <v>0</v>
      </c>
      <c r="K154">
        <v>60</v>
      </c>
      <c r="L154">
        <v>3</v>
      </c>
      <c r="M154">
        <v>2025</v>
      </c>
      <c r="N154">
        <v>5</v>
      </c>
      <c r="O154">
        <v>1</v>
      </c>
      <c r="P154">
        <v>2025</v>
      </c>
      <c r="Q154">
        <v>1</v>
      </c>
      <c r="R154" t="s">
        <v>66</v>
      </c>
      <c r="S154" t="s">
        <v>41</v>
      </c>
      <c r="T154" t="s">
        <v>42</v>
      </c>
      <c r="U154" t="s">
        <v>40</v>
      </c>
      <c r="V154" t="s">
        <v>147</v>
      </c>
      <c r="W154" t="s">
        <v>148</v>
      </c>
      <c r="X154" t="s">
        <v>45</v>
      </c>
      <c r="Y154">
        <v>160</v>
      </c>
      <c r="Z154" t="s">
        <v>133</v>
      </c>
      <c r="AA154" t="s">
        <v>134</v>
      </c>
      <c r="AB154" s="1">
        <v>45731</v>
      </c>
      <c r="AC154" t="s">
        <v>66</v>
      </c>
      <c r="AD154" t="s">
        <v>40</v>
      </c>
      <c r="AE154" t="s">
        <v>60</v>
      </c>
      <c r="AF154" t="s">
        <v>40</v>
      </c>
      <c r="AG154">
        <v>0</v>
      </c>
      <c r="AH154" t="s">
        <v>61</v>
      </c>
    </row>
    <row r="155" spans="1:34" x14ac:dyDescent="0.3">
      <c r="A155" t="s">
        <v>412</v>
      </c>
      <c r="B155" t="s">
        <v>413</v>
      </c>
      <c r="C155" t="s">
        <v>146</v>
      </c>
      <c r="D155" t="s">
        <v>37</v>
      </c>
      <c r="E155" s="1">
        <v>46275</v>
      </c>
      <c r="F155" s="1">
        <v>46282</v>
      </c>
      <c r="G155" t="s">
        <v>38</v>
      </c>
      <c r="H155">
        <v>4226</v>
      </c>
      <c r="I155" t="s">
        <v>39</v>
      </c>
      <c r="J155" t="b">
        <v>0</v>
      </c>
      <c r="K155">
        <v>7</v>
      </c>
      <c r="L155">
        <v>9</v>
      </c>
      <c r="M155">
        <v>2026</v>
      </c>
      <c r="N155">
        <v>3</v>
      </c>
      <c r="O155">
        <v>9</v>
      </c>
      <c r="P155">
        <v>2026</v>
      </c>
      <c r="Q155">
        <v>3</v>
      </c>
      <c r="R155" t="s">
        <v>40</v>
      </c>
      <c r="S155" t="s">
        <v>41</v>
      </c>
      <c r="T155" t="s">
        <v>42</v>
      </c>
      <c r="U155" t="s">
        <v>40</v>
      </c>
      <c r="V155" t="s">
        <v>147</v>
      </c>
      <c r="W155" t="s">
        <v>148</v>
      </c>
      <c r="X155" t="s">
        <v>45</v>
      </c>
      <c r="Y155">
        <v>160</v>
      </c>
      <c r="Z155" t="s">
        <v>46</v>
      </c>
      <c r="AA155" t="s">
        <v>47</v>
      </c>
      <c r="AB155" s="1">
        <v>46282</v>
      </c>
      <c r="AC155" t="s">
        <v>40</v>
      </c>
      <c r="AD155" t="s">
        <v>40</v>
      </c>
      <c r="AE155" t="s">
        <v>60</v>
      </c>
      <c r="AF155" t="s">
        <v>40</v>
      </c>
      <c r="AG155">
        <v>0</v>
      </c>
      <c r="AH155" t="s">
        <v>100</v>
      </c>
    </row>
    <row r="156" spans="1:34" x14ac:dyDescent="0.3">
      <c r="A156" t="s">
        <v>414</v>
      </c>
      <c r="B156" t="s">
        <v>415</v>
      </c>
      <c r="C156" t="s">
        <v>103</v>
      </c>
      <c r="D156" t="s">
        <v>53</v>
      </c>
      <c r="E156" s="1">
        <v>46227</v>
      </c>
      <c r="F156" s="1">
        <v>46234</v>
      </c>
      <c r="G156" t="s">
        <v>38</v>
      </c>
      <c r="H156">
        <v>4544</v>
      </c>
      <c r="I156" t="s">
        <v>39</v>
      </c>
      <c r="J156" t="b">
        <v>0</v>
      </c>
      <c r="K156">
        <v>7</v>
      </c>
      <c r="L156">
        <v>7</v>
      </c>
      <c r="M156">
        <v>2026</v>
      </c>
      <c r="N156">
        <v>4</v>
      </c>
      <c r="O156">
        <v>7</v>
      </c>
      <c r="P156">
        <v>2026</v>
      </c>
      <c r="Q156">
        <v>4</v>
      </c>
      <c r="R156" t="s">
        <v>40</v>
      </c>
      <c r="S156" t="s">
        <v>45</v>
      </c>
      <c r="T156" t="s">
        <v>42</v>
      </c>
      <c r="U156" t="s">
        <v>40</v>
      </c>
      <c r="V156" t="s">
        <v>105</v>
      </c>
      <c r="W156" t="s">
        <v>106</v>
      </c>
      <c r="X156" t="s">
        <v>45</v>
      </c>
      <c r="Y156">
        <v>140</v>
      </c>
      <c r="Z156" t="s">
        <v>58</v>
      </c>
      <c r="AA156" t="s">
        <v>59</v>
      </c>
      <c r="AB156" s="1">
        <v>46234</v>
      </c>
      <c r="AC156" t="s">
        <v>40</v>
      </c>
      <c r="AD156" t="s">
        <v>40</v>
      </c>
      <c r="AE156" t="s">
        <v>86</v>
      </c>
      <c r="AF156" t="s">
        <v>40</v>
      </c>
      <c r="AG156">
        <v>0</v>
      </c>
      <c r="AH156" t="s">
        <v>100</v>
      </c>
    </row>
    <row r="157" spans="1:34" x14ac:dyDescent="0.3">
      <c r="A157" t="s">
        <v>416</v>
      </c>
      <c r="B157" t="s">
        <v>417</v>
      </c>
      <c r="C157" t="s">
        <v>155</v>
      </c>
      <c r="D157" t="s">
        <v>130</v>
      </c>
      <c r="E157" s="1">
        <v>46298</v>
      </c>
      <c r="F157" s="1">
        <v>46328</v>
      </c>
      <c r="G157" t="s">
        <v>81</v>
      </c>
      <c r="H157">
        <v>11006</v>
      </c>
      <c r="I157" t="s">
        <v>39</v>
      </c>
      <c r="J157" t="b">
        <v>0</v>
      </c>
      <c r="K157">
        <v>30</v>
      </c>
      <c r="L157">
        <v>11</v>
      </c>
      <c r="M157">
        <v>2026</v>
      </c>
      <c r="N157">
        <v>0</v>
      </c>
      <c r="O157">
        <v>10</v>
      </c>
      <c r="P157">
        <v>2026</v>
      </c>
      <c r="Q157">
        <v>5</v>
      </c>
      <c r="R157" t="s">
        <v>40</v>
      </c>
      <c r="S157" t="s">
        <v>45</v>
      </c>
      <c r="T157" t="s">
        <v>42</v>
      </c>
      <c r="U157" t="s">
        <v>40</v>
      </c>
      <c r="V157" t="s">
        <v>156</v>
      </c>
      <c r="W157" t="s">
        <v>157</v>
      </c>
      <c r="X157" t="s">
        <v>158</v>
      </c>
      <c r="Y157">
        <v>70</v>
      </c>
      <c r="Z157" t="s">
        <v>133</v>
      </c>
      <c r="AA157" t="s">
        <v>134</v>
      </c>
      <c r="AB157" s="1">
        <v>46328</v>
      </c>
      <c r="AC157" t="s">
        <v>40</v>
      </c>
      <c r="AD157" t="s">
        <v>40</v>
      </c>
      <c r="AE157" t="s">
        <v>86</v>
      </c>
      <c r="AF157" t="s">
        <v>40</v>
      </c>
      <c r="AG157">
        <v>0</v>
      </c>
      <c r="AH157" t="s">
        <v>70</v>
      </c>
    </row>
    <row r="158" spans="1:34" x14ac:dyDescent="0.3">
      <c r="A158" t="s">
        <v>418</v>
      </c>
      <c r="B158" t="s">
        <v>391</v>
      </c>
      <c r="C158" t="s">
        <v>146</v>
      </c>
      <c r="D158" t="s">
        <v>104</v>
      </c>
      <c r="E158" s="1">
        <v>46232</v>
      </c>
      <c r="F158" s="1">
        <v>46332</v>
      </c>
      <c r="G158" t="s">
        <v>64</v>
      </c>
      <c r="H158">
        <v>3569</v>
      </c>
      <c r="I158" t="s">
        <v>39</v>
      </c>
      <c r="J158" t="b">
        <v>0</v>
      </c>
      <c r="K158">
        <v>100</v>
      </c>
      <c r="L158">
        <v>11</v>
      </c>
      <c r="M158">
        <v>2026</v>
      </c>
      <c r="N158">
        <v>4</v>
      </c>
      <c r="O158">
        <v>7</v>
      </c>
      <c r="P158">
        <v>2026</v>
      </c>
      <c r="Q158">
        <v>2</v>
      </c>
      <c r="R158" t="s">
        <v>40</v>
      </c>
      <c r="S158" t="s">
        <v>55</v>
      </c>
      <c r="T158" t="s">
        <v>42</v>
      </c>
      <c r="U158" t="s">
        <v>40</v>
      </c>
      <c r="V158" t="s">
        <v>147</v>
      </c>
      <c r="W158" t="s">
        <v>148</v>
      </c>
      <c r="X158" t="s">
        <v>45</v>
      </c>
      <c r="Y158">
        <v>160</v>
      </c>
      <c r="Z158" t="s">
        <v>107</v>
      </c>
      <c r="AA158" t="s">
        <v>108</v>
      </c>
      <c r="AB158" s="1">
        <v>46332</v>
      </c>
      <c r="AC158" t="s">
        <v>40</v>
      </c>
      <c r="AD158" t="s">
        <v>40</v>
      </c>
      <c r="AE158" t="s">
        <v>86</v>
      </c>
      <c r="AF158" t="s">
        <v>40</v>
      </c>
      <c r="AG158">
        <v>0</v>
      </c>
      <c r="AH158" t="s">
        <v>49</v>
      </c>
    </row>
    <row r="159" spans="1:34" x14ac:dyDescent="0.3">
      <c r="A159" t="s">
        <v>419</v>
      </c>
      <c r="B159" t="s">
        <v>420</v>
      </c>
      <c r="C159" t="s">
        <v>129</v>
      </c>
      <c r="D159" t="s">
        <v>53</v>
      </c>
      <c r="E159" s="1">
        <v>46048</v>
      </c>
      <c r="F159" s="1">
        <v>46198</v>
      </c>
      <c r="G159" t="s">
        <v>64</v>
      </c>
      <c r="H159">
        <v>2725</v>
      </c>
      <c r="I159" t="s">
        <v>39</v>
      </c>
      <c r="J159" t="b">
        <v>0</v>
      </c>
      <c r="K159">
        <v>150</v>
      </c>
      <c r="L159">
        <v>6</v>
      </c>
      <c r="M159">
        <v>2026</v>
      </c>
      <c r="N159">
        <v>3</v>
      </c>
      <c r="O159">
        <v>1</v>
      </c>
      <c r="P159">
        <v>2026</v>
      </c>
      <c r="Q159">
        <v>0</v>
      </c>
      <c r="R159" t="s">
        <v>40</v>
      </c>
      <c r="S159" t="s">
        <v>41</v>
      </c>
      <c r="T159" t="s">
        <v>42</v>
      </c>
      <c r="U159" t="s">
        <v>40</v>
      </c>
      <c r="V159" t="s">
        <v>131</v>
      </c>
      <c r="W159" t="s">
        <v>132</v>
      </c>
      <c r="X159" t="s">
        <v>45</v>
      </c>
      <c r="Y159">
        <v>110</v>
      </c>
      <c r="Z159" t="s">
        <v>58</v>
      </c>
      <c r="AA159" t="s">
        <v>59</v>
      </c>
      <c r="AB159" s="1">
        <v>46198</v>
      </c>
      <c r="AC159" t="s">
        <v>40</v>
      </c>
      <c r="AD159" t="s">
        <v>40</v>
      </c>
      <c r="AE159" t="s">
        <v>60</v>
      </c>
      <c r="AF159" t="s">
        <v>40</v>
      </c>
      <c r="AG159">
        <v>0</v>
      </c>
      <c r="AH159" t="s">
        <v>49</v>
      </c>
    </row>
    <row r="160" spans="1:34" x14ac:dyDescent="0.3">
      <c r="A160" t="s">
        <v>421</v>
      </c>
      <c r="B160" t="s">
        <v>422</v>
      </c>
      <c r="C160" t="s">
        <v>122</v>
      </c>
      <c r="D160" t="s">
        <v>104</v>
      </c>
      <c r="E160" s="1">
        <v>45702</v>
      </c>
      <c r="F160" s="1">
        <v>45709</v>
      </c>
      <c r="G160" t="s">
        <v>38</v>
      </c>
      <c r="H160">
        <v>3837</v>
      </c>
      <c r="I160" t="s">
        <v>39</v>
      </c>
      <c r="J160" t="b">
        <v>0</v>
      </c>
      <c r="K160">
        <v>7</v>
      </c>
      <c r="L160">
        <v>2</v>
      </c>
      <c r="M160">
        <v>2025</v>
      </c>
      <c r="N160">
        <v>4</v>
      </c>
      <c r="O160">
        <v>2</v>
      </c>
      <c r="P160">
        <v>2025</v>
      </c>
      <c r="Q160">
        <v>4</v>
      </c>
      <c r="R160" t="s">
        <v>40</v>
      </c>
      <c r="S160" t="s">
        <v>45</v>
      </c>
      <c r="T160" t="s">
        <v>42</v>
      </c>
      <c r="U160" t="s">
        <v>66</v>
      </c>
      <c r="V160" t="s">
        <v>124</v>
      </c>
      <c r="W160" t="s">
        <v>125</v>
      </c>
      <c r="X160" t="s">
        <v>126</v>
      </c>
      <c r="Y160">
        <v>85</v>
      </c>
      <c r="Z160" t="s">
        <v>107</v>
      </c>
      <c r="AA160" t="s">
        <v>108</v>
      </c>
      <c r="AB160" s="1">
        <v>45709</v>
      </c>
      <c r="AC160" t="s">
        <v>40</v>
      </c>
      <c r="AD160" t="s">
        <v>40</v>
      </c>
      <c r="AE160" t="s">
        <v>60</v>
      </c>
      <c r="AF160" t="s">
        <v>40</v>
      </c>
      <c r="AG160">
        <v>0</v>
      </c>
      <c r="AH160" t="s">
        <v>100</v>
      </c>
    </row>
    <row r="161" spans="1:34" x14ac:dyDescent="0.3">
      <c r="A161" t="s">
        <v>423</v>
      </c>
      <c r="B161" t="s">
        <v>424</v>
      </c>
      <c r="C161" t="s">
        <v>36</v>
      </c>
      <c r="D161" t="s">
        <v>90</v>
      </c>
      <c r="E161" s="1">
        <v>46344</v>
      </c>
      <c r="F161" s="1">
        <v>46374</v>
      </c>
      <c r="G161" t="s">
        <v>38</v>
      </c>
      <c r="H161">
        <v>3925</v>
      </c>
      <c r="I161" t="s">
        <v>65</v>
      </c>
      <c r="J161" t="b">
        <v>0</v>
      </c>
      <c r="K161">
        <v>30</v>
      </c>
      <c r="L161">
        <v>12</v>
      </c>
      <c r="M161">
        <v>2026</v>
      </c>
      <c r="N161">
        <v>4</v>
      </c>
      <c r="O161">
        <v>11</v>
      </c>
      <c r="P161">
        <v>2026</v>
      </c>
      <c r="Q161">
        <v>2</v>
      </c>
      <c r="R161" t="s">
        <v>40</v>
      </c>
      <c r="S161" t="s">
        <v>45</v>
      </c>
      <c r="T161" t="s">
        <v>42</v>
      </c>
      <c r="U161" t="s">
        <v>40</v>
      </c>
      <c r="V161" t="s">
        <v>43</v>
      </c>
      <c r="W161" t="s">
        <v>44</v>
      </c>
      <c r="X161" t="s">
        <v>45</v>
      </c>
      <c r="Y161">
        <v>150</v>
      </c>
      <c r="Z161" t="s">
        <v>93</v>
      </c>
      <c r="AA161" t="s">
        <v>94</v>
      </c>
      <c r="AB161" s="1">
        <v>46374</v>
      </c>
      <c r="AC161" t="s">
        <v>40</v>
      </c>
      <c r="AD161" t="s">
        <v>40</v>
      </c>
      <c r="AE161" t="s">
        <v>69</v>
      </c>
      <c r="AF161" t="s">
        <v>40</v>
      </c>
      <c r="AG161">
        <v>0</v>
      </c>
      <c r="AH161" t="s">
        <v>70</v>
      </c>
    </row>
    <row r="162" spans="1:34" x14ac:dyDescent="0.3">
      <c r="A162" t="s">
        <v>425</v>
      </c>
      <c r="B162" t="s">
        <v>168</v>
      </c>
      <c r="C162" t="s">
        <v>129</v>
      </c>
      <c r="D162" t="s">
        <v>130</v>
      </c>
      <c r="E162" s="1">
        <v>45815</v>
      </c>
      <c r="F162" s="1">
        <v>45816</v>
      </c>
      <c r="G162" t="s">
        <v>81</v>
      </c>
      <c r="H162">
        <v>6944</v>
      </c>
      <c r="I162" t="s">
        <v>39</v>
      </c>
      <c r="J162" t="b">
        <v>0</v>
      </c>
      <c r="K162">
        <v>1</v>
      </c>
      <c r="L162">
        <v>6</v>
      </c>
      <c r="M162">
        <v>2025</v>
      </c>
      <c r="N162">
        <v>6</v>
      </c>
      <c r="O162">
        <v>6</v>
      </c>
      <c r="P162">
        <v>2025</v>
      </c>
      <c r="Q162">
        <v>5</v>
      </c>
      <c r="R162" t="s">
        <v>66</v>
      </c>
      <c r="S162" t="s">
        <v>55</v>
      </c>
      <c r="T162" t="s">
        <v>42</v>
      </c>
      <c r="U162" t="s">
        <v>40</v>
      </c>
      <c r="V162" t="s">
        <v>131</v>
      </c>
      <c r="W162" t="s">
        <v>132</v>
      </c>
      <c r="X162" t="s">
        <v>45</v>
      </c>
      <c r="Y162">
        <v>110</v>
      </c>
      <c r="Z162" t="s">
        <v>133</v>
      </c>
      <c r="AA162" t="s">
        <v>134</v>
      </c>
      <c r="AB162" s="1">
        <v>45816</v>
      </c>
      <c r="AC162" t="s">
        <v>66</v>
      </c>
      <c r="AD162" t="s">
        <v>40</v>
      </c>
      <c r="AE162" t="s">
        <v>60</v>
      </c>
      <c r="AF162" t="s">
        <v>40</v>
      </c>
      <c r="AG162">
        <v>0</v>
      </c>
      <c r="AH162" t="s">
        <v>100</v>
      </c>
    </row>
    <row r="163" spans="1:34" x14ac:dyDescent="0.3">
      <c r="A163" t="s">
        <v>426</v>
      </c>
      <c r="B163" t="s">
        <v>427</v>
      </c>
      <c r="C163" t="s">
        <v>169</v>
      </c>
      <c r="D163" t="s">
        <v>104</v>
      </c>
      <c r="E163" s="1">
        <v>46055</v>
      </c>
      <c r="F163" s="1">
        <v>46069</v>
      </c>
      <c r="G163" t="s">
        <v>41</v>
      </c>
      <c r="H163">
        <v>7757</v>
      </c>
      <c r="I163" t="s">
        <v>54</v>
      </c>
      <c r="J163" t="b">
        <v>0</v>
      </c>
      <c r="K163">
        <v>14</v>
      </c>
      <c r="L163">
        <v>2</v>
      </c>
      <c r="M163">
        <v>2026</v>
      </c>
      <c r="N163">
        <v>0</v>
      </c>
      <c r="O163">
        <v>2</v>
      </c>
      <c r="P163">
        <v>2026</v>
      </c>
      <c r="Q163">
        <v>0</v>
      </c>
      <c r="R163" t="s">
        <v>40</v>
      </c>
      <c r="S163" t="s">
        <v>45</v>
      </c>
      <c r="T163" t="s">
        <v>42</v>
      </c>
      <c r="U163" t="s">
        <v>40</v>
      </c>
      <c r="V163" t="s">
        <v>170</v>
      </c>
      <c r="W163" t="s">
        <v>171</v>
      </c>
      <c r="X163" t="s">
        <v>126</v>
      </c>
      <c r="Y163">
        <v>90</v>
      </c>
      <c r="Z163" t="s">
        <v>107</v>
      </c>
      <c r="AA163" t="s">
        <v>108</v>
      </c>
      <c r="AB163" s="1">
        <v>46069</v>
      </c>
      <c r="AC163" t="s">
        <v>40</v>
      </c>
      <c r="AD163" t="s">
        <v>40</v>
      </c>
      <c r="AE163" t="s">
        <v>60</v>
      </c>
      <c r="AF163" t="s">
        <v>40</v>
      </c>
      <c r="AG163">
        <v>1</v>
      </c>
      <c r="AH163" t="s">
        <v>70</v>
      </c>
    </row>
    <row r="164" spans="1:34" x14ac:dyDescent="0.3">
      <c r="A164" t="s">
        <v>428</v>
      </c>
      <c r="B164" t="s">
        <v>391</v>
      </c>
      <c r="C164" t="s">
        <v>36</v>
      </c>
      <c r="D164" t="s">
        <v>37</v>
      </c>
      <c r="E164" s="1">
        <v>46257</v>
      </c>
      <c r="F164" s="1">
        <v>46258</v>
      </c>
      <c r="G164" t="s">
        <v>64</v>
      </c>
      <c r="H164">
        <v>4100</v>
      </c>
      <c r="I164" t="s">
        <v>39</v>
      </c>
      <c r="J164" t="b">
        <v>0</v>
      </c>
      <c r="K164">
        <v>1</v>
      </c>
      <c r="L164">
        <v>8</v>
      </c>
      <c r="M164">
        <v>2026</v>
      </c>
      <c r="N164">
        <v>0</v>
      </c>
      <c r="O164">
        <v>8</v>
      </c>
      <c r="P164">
        <v>2026</v>
      </c>
      <c r="Q164">
        <v>6</v>
      </c>
      <c r="R164" t="s">
        <v>40</v>
      </c>
      <c r="S164" t="s">
        <v>55</v>
      </c>
      <c r="T164" t="s">
        <v>42</v>
      </c>
      <c r="U164" t="s">
        <v>40</v>
      </c>
      <c r="V164" t="s">
        <v>43</v>
      </c>
      <c r="W164" t="s">
        <v>44</v>
      </c>
      <c r="X164" t="s">
        <v>45</v>
      </c>
      <c r="Y164">
        <v>150</v>
      </c>
      <c r="Z164" t="s">
        <v>46</v>
      </c>
      <c r="AA164" t="s">
        <v>47</v>
      </c>
      <c r="AB164" s="1">
        <v>46258</v>
      </c>
      <c r="AC164" t="s">
        <v>40</v>
      </c>
      <c r="AD164" t="s">
        <v>40</v>
      </c>
      <c r="AE164" t="s">
        <v>86</v>
      </c>
      <c r="AF164" t="s">
        <v>40</v>
      </c>
      <c r="AG164">
        <v>0</v>
      </c>
      <c r="AH164" t="s">
        <v>100</v>
      </c>
    </row>
    <row r="165" spans="1:34" x14ac:dyDescent="0.3">
      <c r="A165" t="s">
        <v>429</v>
      </c>
      <c r="B165" t="s">
        <v>191</v>
      </c>
      <c r="C165" t="s">
        <v>103</v>
      </c>
      <c r="D165" t="s">
        <v>104</v>
      </c>
      <c r="E165" s="1">
        <v>46334</v>
      </c>
      <c r="F165" s="1">
        <v>46335</v>
      </c>
      <c r="G165" t="s">
        <v>38</v>
      </c>
      <c r="H165">
        <v>4058</v>
      </c>
      <c r="I165" t="s">
        <v>212</v>
      </c>
      <c r="J165" t="b">
        <v>0</v>
      </c>
      <c r="K165">
        <v>1</v>
      </c>
      <c r="L165">
        <v>11</v>
      </c>
      <c r="M165">
        <v>2026</v>
      </c>
      <c r="N165">
        <v>0</v>
      </c>
      <c r="O165">
        <v>11</v>
      </c>
      <c r="P165">
        <v>2026</v>
      </c>
      <c r="Q165">
        <v>6</v>
      </c>
      <c r="R165" t="s">
        <v>40</v>
      </c>
      <c r="S165" t="s">
        <v>41</v>
      </c>
      <c r="T165" t="s">
        <v>42</v>
      </c>
      <c r="U165" t="s">
        <v>40</v>
      </c>
      <c r="V165" t="s">
        <v>105</v>
      </c>
      <c r="W165" t="s">
        <v>106</v>
      </c>
      <c r="X165" t="s">
        <v>45</v>
      </c>
      <c r="Y165">
        <v>140</v>
      </c>
      <c r="Z165" t="s">
        <v>107</v>
      </c>
      <c r="AA165" t="s">
        <v>108</v>
      </c>
      <c r="AB165" s="1">
        <v>46335</v>
      </c>
      <c r="AC165" t="s">
        <v>40</v>
      </c>
      <c r="AD165" t="s">
        <v>40</v>
      </c>
      <c r="AE165" t="s">
        <v>86</v>
      </c>
      <c r="AF165" t="s">
        <v>40</v>
      </c>
      <c r="AG165">
        <v>0</v>
      </c>
      <c r="AH165" t="s">
        <v>100</v>
      </c>
    </row>
    <row r="166" spans="1:34" x14ac:dyDescent="0.3">
      <c r="A166" t="s">
        <v>430</v>
      </c>
      <c r="B166" t="s">
        <v>431</v>
      </c>
      <c r="C166" t="s">
        <v>169</v>
      </c>
      <c r="D166" t="s">
        <v>37</v>
      </c>
      <c r="E166" s="1">
        <v>46321</v>
      </c>
      <c r="F166" s="1">
        <v>46335</v>
      </c>
      <c r="G166" t="s">
        <v>64</v>
      </c>
      <c r="H166">
        <v>3991</v>
      </c>
      <c r="I166" t="s">
        <v>39</v>
      </c>
      <c r="J166" t="b">
        <v>0</v>
      </c>
      <c r="K166">
        <v>14</v>
      </c>
      <c r="L166">
        <v>11</v>
      </c>
      <c r="M166">
        <v>2026</v>
      </c>
      <c r="N166">
        <v>0</v>
      </c>
      <c r="O166">
        <v>10</v>
      </c>
      <c r="P166">
        <v>2026</v>
      </c>
      <c r="Q166">
        <v>0</v>
      </c>
      <c r="R166" t="s">
        <v>40</v>
      </c>
      <c r="S166" t="s">
        <v>67</v>
      </c>
      <c r="T166" t="s">
        <v>42</v>
      </c>
      <c r="U166" t="s">
        <v>40</v>
      </c>
      <c r="V166" t="s">
        <v>170</v>
      </c>
      <c r="W166" t="s">
        <v>171</v>
      </c>
      <c r="X166" t="s">
        <v>126</v>
      </c>
      <c r="Y166">
        <v>90</v>
      </c>
      <c r="Z166" t="s">
        <v>46</v>
      </c>
      <c r="AA166" t="s">
        <v>47</v>
      </c>
      <c r="AB166" s="1">
        <v>46335</v>
      </c>
      <c r="AC166" t="s">
        <v>40</v>
      </c>
      <c r="AD166" t="s">
        <v>40</v>
      </c>
      <c r="AE166" t="s">
        <v>86</v>
      </c>
      <c r="AF166" t="s">
        <v>40</v>
      </c>
      <c r="AG166">
        <v>0</v>
      </c>
      <c r="AH166" t="s">
        <v>70</v>
      </c>
    </row>
    <row r="167" spans="1:34" x14ac:dyDescent="0.3">
      <c r="A167" t="s">
        <v>432</v>
      </c>
      <c r="B167" t="s">
        <v>395</v>
      </c>
      <c r="C167" t="s">
        <v>36</v>
      </c>
      <c r="D167" t="s">
        <v>53</v>
      </c>
      <c r="E167" s="1">
        <v>45873</v>
      </c>
      <c r="F167" s="1">
        <v>45933</v>
      </c>
      <c r="G167" t="s">
        <v>81</v>
      </c>
      <c r="H167">
        <v>7666</v>
      </c>
      <c r="I167" t="s">
        <v>39</v>
      </c>
      <c r="J167" t="b">
        <v>0</v>
      </c>
      <c r="K167">
        <v>60</v>
      </c>
      <c r="L167">
        <v>10</v>
      </c>
      <c r="M167">
        <v>2025</v>
      </c>
      <c r="N167">
        <v>4</v>
      </c>
      <c r="O167">
        <v>8</v>
      </c>
      <c r="P167">
        <v>2025</v>
      </c>
      <c r="Q167">
        <v>0</v>
      </c>
      <c r="R167" t="s">
        <v>40</v>
      </c>
      <c r="S167" t="s">
        <v>45</v>
      </c>
      <c r="T167" t="s">
        <v>123</v>
      </c>
      <c r="U167" t="s">
        <v>40</v>
      </c>
      <c r="V167" t="s">
        <v>43</v>
      </c>
      <c r="W167" t="s">
        <v>44</v>
      </c>
      <c r="X167" t="s">
        <v>45</v>
      </c>
      <c r="Y167">
        <v>150</v>
      </c>
      <c r="Z167" t="s">
        <v>58</v>
      </c>
      <c r="AA167" t="s">
        <v>59</v>
      </c>
      <c r="AB167" s="1">
        <v>45933</v>
      </c>
      <c r="AC167" t="s">
        <v>40</v>
      </c>
      <c r="AD167" t="s">
        <v>40</v>
      </c>
      <c r="AE167" t="s">
        <v>60</v>
      </c>
      <c r="AF167" t="s">
        <v>40</v>
      </c>
      <c r="AG167">
        <v>0</v>
      </c>
      <c r="AH167" t="s">
        <v>61</v>
      </c>
    </row>
    <row r="168" spans="1:34" x14ac:dyDescent="0.3">
      <c r="A168" t="s">
        <v>433</v>
      </c>
      <c r="B168" t="s">
        <v>434</v>
      </c>
      <c r="C168" t="s">
        <v>97</v>
      </c>
      <c r="D168" t="s">
        <v>37</v>
      </c>
      <c r="E168" s="1">
        <v>46238</v>
      </c>
      <c r="F168" s="1">
        <v>46338</v>
      </c>
      <c r="G168" t="s">
        <v>41</v>
      </c>
      <c r="H168">
        <v>6026</v>
      </c>
      <c r="I168" t="s">
        <v>39</v>
      </c>
      <c r="J168" t="b">
        <v>0</v>
      </c>
      <c r="K168">
        <v>100</v>
      </c>
      <c r="L168">
        <v>11</v>
      </c>
      <c r="M168">
        <v>2026</v>
      </c>
      <c r="N168">
        <v>3</v>
      </c>
      <c r="O168">
        <v>8</v>
      </c>
      <c r="P168">
        <v>2026</v>
      </c>
      <c r="Q168">
        <v>1</v>
      </c>
      <c r="R168" t="s">
        <v>40</v>
      </c>
      <c r="S168" t="s">
        <v>45</v>
      </c>
      <c r="T168" t="s">
        <v>68</v>
      </c>
      <c r="U168" t="s">
        <v>66</v>
      </c>
      <c r="V168" t="s">
        <v>98</v>
      </c>
      <c r="W168" t="s">
        <v>99</v>
      </c>
      <c r="X168" t="s">
        <v>76</v>
      </c>
      <c r="Y168">
        <v>80</v>
      </c>
      <c r="Z168" t="s">
        <v>46</v>
      </c>
      <c r="AA168" t="s">
        <v>47</v>
      </c>
      <c r="AB168" s="1">
        <v>46338</v>
      </c>
      <c r="AC168" t="s">
        <v>40</v>
      </c>
      <c r="AD168" t="s">
        <v>40</v>
      </c>
      <c r="AE168" t="s">
        <v>86</v>
      </c>
      <c r="AF168" t="s">
        <v>40</v>
      </c>
      <c r="AG168">
        <v>0</v>
      </c>
      <c r="AH168" t="s">
        <v>49</v>
      </c>
    </row>
    <row r="169" spans="1:34" x14ac:dyDescent="0.3">
      <c r="A169" t="s">
        <v>435</v>
      </c>
      <c r="B169" t="s">
        <v>387</v>
      </c>
      <c r="C169" t="s">
        <v>79</v>
      </c>
      <c r="D169" t="s">
        <v>90</v>
      </c>
      <c r="E169" s="1">
        <v>46345</v>
      </c>
      <c r="F169" s="1">
        <v>46375</v>
      </c>
      <c r="G169" t="s">
        <v>64</v>
      </c>
      <c r="H169">
        <v>3468</v>
      </c>
      <c r="I169" t="s">
        <v>65</v>
      </c>
      <c r="J169" t="b">
        <v>0</v>
      </c>
      <c r="K169">
        <v>30</v>
      </c>
      <c r="L169">
        <v>12</v>
      </c>
      <c r="M169">
        <v>2026</v>
      </c>
      <c r="N169">
        <v>5</v>
      </c>
      <c r="O169">
        <v>11</v>
      </c>
      <c r="P169">
        <v>2026</v>
      </c>
      <c r="Q169">
        <v>3</v>
      </c>
      <c r="R169" t="s">
        <v>66</v>
      </c>
      <c r="S169" t="s">
        <v>41</v>
      </c>
      <c r="T169" t="s">
        <v>42</v>
      </c>
      <c r="U169" t="s">
        <v>66</v>
      </c>
      <c r="V169" t="s">
        <v>82</v>
      </c>
      <c r="W169" t="s">
        <v>83</v>
      </c>
      <c r="X169" t="s">
        <v>76</v>
      </c>
      <c r="Y169">
        <v>100</v>
      </c>
      <c r="Z169" t="s">
        <v>93</v>
      </c>
      <c r="AA169" t="s">
        <v>94</v>
      </c>
      <c r="AB169" s="1">
        <v>46375</v>
      </c>
      <c r="AC169" t="s">
        <v>66</v>
      </c>
      <c r="AD169" t="s">
        <v>40</v>
      </c>
      <c r="AE169" t="s">
        <v>69</v>
      </c>
      <c r="AF169" t="s">
        <v>40</v>
      </c>
      <c r="AG169">
        <v>0</v>
      </c>
      <c r="AH169" t="s">
        <v>70</v>
      </c>
    </row>
    <row r="170" spans="1:34" x14ac:dyDescent="0.3">
      <c r="A170" t="s">
        <v>436</v>
      </c>
      <c r="B170" t="s">
        <v>437</v>
      </c>
      <c r="C170" t="s">
        <v>97</v>
      </c>
      <c r="D170" t="s">
        <v>80</v>
      </c>
      <c r="E170" s="1">
        <v>46238</v>
      </c>
      <c r="F170" s="1">
        <v>46252</v>
      </c>
      <c r="G170" t="s">
        <v>81</v>
      </c>
      <c r="H170">
        <v>9065</v>
      </c>
      <c r="I170" t="s">
        <v>39</v>
      </c>
      <c r="J170" t="b">
        <v>0</v>
      </c>
      <c r="K170">
        <v>14</v>
      </c>
      <c r="L170">
        <v>8</v>
      </c>
      <c r="M170">
        <v>2026</v>
      </c>
      <c r="N170">
        <v>1</v>
      </c>
      <c r="O170">
        <v>8</v>
      </c>
      <c r="P170">
        <v>2026</v>
      </c>
      <c r="Q170">
        <v>1</v>
      </c>
      <c r="R170" t="s">
        <v>40</v>
      </c>
      <c r="S170" t="s">
        <v>41</v>
      </c>
      <c r="T170" t="s">
        <v>42</v>
      </c>
      <c r="U170" t="s">
        <v>40</v>
      </c>
      <c r="V170" t="s">
        <v>98</v>
      </c>
      <c r="W170" t="s">
        <v>99</v>
      </c>
      <c r="X170" t="s">
        <v>76</v>
      </c>
      <c r="Y170">
        <v>80</v>
      </c>
      <c r="Z170" t="s">
        <v>84</v>
      </c>
      <c r="AA170" t="s">
        <v>85</v>
      </c>
      <c r="AB170" s="1">
        <v>46252</v>
      </c>
      <c r="AC170" t="s">
        <v>40</v>
      </c>
      <c r="AD170" t="s">
        <v>40</v>
      </c>
      <c r="AE170" t="s">
        <v>86</v>
      </c>
      <c r="AF170" t="s">
        <v>40</v>
      </c>
      <c r="AG170">
        <v>0</v>
      </c>
      <c r="AH170" t="s">
        <v>70</v>
      </c>
    </row>
    <row r="171" spans="1:34" x14ac:dyDescent="0.3">
      <c r="A171" t="s">
        <v>438</v>
      </c>
      <c r="B171" t="s">
        <v>348</v>
      </c>
      <c r="C171" t="s">
        <v>79</v>
      </c>
      <c r="D171" t="s">
        <v>90</v>
      </c>
      <c r="E171" s="1">
        <v>46353</v>
      </c>
      <c r="F171" s="1">
        <v>46413</v>
      </c>
      <c r="G171" t="s">
        <v>41</v>
      </c>
      <c r="H171">
        <v>6994</v>
      </c>
      <c r="I171" t="s">
        <v>39</v>
      </c>
      <c r="J171" t="b">
        <v>0</v>
      </c>
      <c r="K171">
        <v>60</v>
      </c>
      <c r="L171">
        <v>1</v>
      </c>
      <c r="M171">
        <v>2027</v>
      </c>
      <c r="N171">
        <v>1</v>
      </c>
      <c r="O171">
        <v>11</v>
      </c>
      <c r="P171">
        <v>2026</v>
      </c>
      <c r="Q171">
        <v>4</v>
      </c>
      <c r="R171" t="s">
        <v>40</v>
      </c>
      <c r="S171" t="s">
        <v>41</v>
      </c>
      <c r="T171" t="s">
        <v>286</v>
      </c>
      <c r="U171" t="s">
        <v>66</v>
      </c>
      <c r="V171" t="s">
        <v>82</v>
      </c>
      <c r="W171" t="s">
        <v>83</v>
      </c>
      <c r="X171" t="s">
        <v>76</v>
      </c>
      <c r="Y171">
        <v>100</v>
      </c>
      <c r="Z171" t="s">
        <v>93</v>
      </c>
      <c r="AA171" t="s">
        <v>94</v>
      </c>
      <c r="AB171" s="1"/>
      <c r="AC171" t="s">
        <v>48</v>
      </c>
      <c r="AD171" t="s">
        <v>48</v>
      </c>
      <c r="AE171" t="s">
        <v>48</v>
      </c>
      <c r="AF171" t="s">
        <v>48</v>
      </c>
      <c r="AG171">
        <v>0</v>
      </c>
      <c r="AH171" t="s">
        <v>61</v>
      </c>
    </row>
    <row r="172" spans="1:34" x14ac:dyDescent="0.3">
      <c r="A172" t="s">
        <v>439</v>
      </c>
      <c r="B172" t="s">
        <v>214</v>
      </c>
      <c r="C172" t="s">
        <v>97</v>
      </c>
      <c r="D172" t="s">
        <v>80</v>
      </c>
      <c r="E172" s="1">
        <v>45859</v>
      </c>
      <c r="F172" s="1">
        <v>45866</v>
      </c>
      <c r="G172" t="s">
        <v>64</v>
      </c>
      <c r="H172">
        <v>4027</v>
      </c>
      <c r="I172" t="s">
        <v>39</v>
      </c>
      <c r="J172" t="b">
        <v>0</v>
      </c>
      <c r="K172">
        <v>7</v>
      </c>
      <c r="L172">
        <v>7</v>
      </c>
      <c r="M172">
        <v>2025</v>
      </c>
      <c r="N172">
        <v>0</v>
      </c>
      <c r="O172">
        <v>7</v>
      </c>
      <c r="P172">
        <v>2025</v>
      </c>
      <c r="Q172">
        <v>0</v>
      </c>
      <c r="R172" t="s">
        <v>40</v>
      </c>
      <c r="S172" t="s">
        <v>45</v>
      </c>
      <c r="T172" t="s">
        <v>113</v>
      </c>
      <c r="U172" t="s">
        <v>40</v>
      </c>
      <c r="V172" t="s">
        <v>98</v>
      </c>
      <c r="W172" t="s">
        <v>99</v>
      </c>
      <c r="X172" t="s">
        <v>76</v>
      </c>
      <c r="Y172">
        <v>80</v>
      </c>
      <c r="Z172" t="s">
        <v>84</v>
      </c>
      <c r="AA172" t="s">
        <v>85</v>
      </c>
      <c r="AB172" s="1">
        <v>45866</v>
      </c>
      <c r="AC172" t="s">
        <v>40</v>
      </c>
      <c r="AD172" t="s">
        <v>40</v>
      </c>
      <c r="AE172" t="s">
        <v>86</v>
      </c>
      <c r="AF172" t="s">
        <v>40</v>
      </c>
      <c r="AG172">
        <v>0</v>
      </c>
      <c r="AH172" t="s">
        <v>100</v>
      </c>
    </row>
    <row r="173" spans="1:34" x14ac:dyDescent="0.3">
      <c r="A173" t="s">
        <v>440</v>
      </c>
      <c r="B173" t="s">
        <v>441</v>
      </c>
      <c r="C173" t="s">
        <v>73</v>
      </c>
      <c r="D173" t="s">
        <v>130</v>
      </c>
      <c r="E173" s="1">
        <v>46222</v>
      </c>
      <c r="F173" s="1">
        <v>46229</v>
      </c>
      <c r="G173" t="s">
        <v>41</v>
      </c>
      <c r="H173">
        <v>8651</v>
      </c>
      <c r="I173" t="s">
        <v>39</v>
      </c>
      <c r="J173" t="b">
        <v>0</v>
      </c>
      <c r="K173">
        <v>7</v>
      </c>
      <c r="L173">
        <v>7</v>
      </c>
      <c r="M173">
        <v>2026</v>
      </c>
      <c r="N173">
        <v>6</v>
      </c>
      <c r="O173">
        <v>7</v>
      </c>
      <c r="P173">
        <v>2026</v>
      </c>
      <c r="Q173">
        <v>6</v>
      </c>
      <c r="R173" t="s">
        <v>66</v>
      </c>
      <c r="S173" t="s">
        <v>67</v>
      </c>
      <c r="T173" t="s">
        <v>42</v>
      </c>
      <c r="U173" t="s">
        <v>66</v>
      </c>
      <c r="V173" t="s">
        <v>74</v>
      </c>
      <c r="W173" t="s">
        <v>75</v>
      </c>
      <c r="X173" t="s">
        <v>76</v>
      </c>
      <c r="Y173">
        <v>75</v>
      </c>
      <c r="Z173" t="s">
        <v>133</v>
      </c>
      <c r="AA173" t="s">
        <v>134</v>
      </c>
      <c r="AB173" s="1">
        <v>46229</v>
      </c>
      <c r="AC173" t="s">
        <v>66</v>
      </c>
      <c r="AD173" t="s">
        <v>40</v>
      </c>
      <c r="AE173" t="s">
        <v>86</v>
      </c>
      <c r="AF173" t="s">
        <v>40</v>
      </c>
      <c r="AG173">
        <v>0</v>
      </c>
      <c r="AH173" t="s">
        <v>100</v>
      </c>
    </row>
    <row r="174" spans="1:34" x14ac:dyDescent="0.3">
      <c r="A174" t="s">
        <v>442</v>
      </c>
      <c r="B174" t="s">
        <v>338</v>
      </c>
      <c r="C174" t="s">
        <v>146</v>
      </c>
      <c r="D174" t="s">
        <v>80</v>
      </c>
      <c r="E174" s="1">
        <v>45750</v>
      </c>
      <c r="F174" s="1">
        <v>45764</v>
      </c>
      <c r="G174" t="s">
        <v>64</v>
      </c>
      <c r="H174">
        <v>3936</v>
      </c>
      <c r="I174" t="s">
        <v>212</v>
      </c>
      <c r="J174" t="b">
        <v>0</v>
      </c>
      <c r="K174">
        <v>14</v>
      </c>
      <c r="L174">
        <v>4</v>
      </c>
      <c r="M174">
        <v>2025</v>
      </c>
      <c r="N174">
        <v>3</v>
      </c>
      <c r="O174">
        <v>4</v>
      </c>
      <c r="P174">
        <v>2025</v>
      </c>
      <c r="Q174">
        <v>3</v>
      </c>
      <c r="R174" t="s">
        <v>40</v>
      </c>
      <c r="S174" t="s">
        <v>45</v>
      </c>
      <c r="T174" t="s">
        <v>42</v>
      </c>
      <c r="U174" t="s">
        <v>40</v>
      </c>
      <c r="V174" t="s">
        <v>147</v>
      </c>
      <c r="W174" t="s">
        <v>148</v>
      </c>
      <c r="X174" t="s">
        <v>45</v>
      </c>
      <c r="Y174">
        <v>160</v>
      </c>
      <c r="Z174" t="s">
        <v>84</v>
      </c>
      <c r="AA174" t="s">
        <v>85</v>
      </c>
      <c r="AB174" s="1">
        <v>45764</v>
      </c>
      <c r="AC174" t="s">
        <v>40</v>
      </c>
      <c r="AD174" t="s">
        <v>40</v>
      </c>
      <c r="AE174" t="s">
        <v>69</v>
      </c>
      <c r="AF174" t="s">
        <v>40</v>
      </c>
      <c r="AG174">
        <v>0</v>
      </c>
      <c r="AH174" t="s">
        <v>70</v>
      </c>
    </row>
    <row r="175" spans="1:34" x14ac:dyDescent="0.3">
      <c r="A175" t="s">
        <v>443</v>
      </c>
      <c r="B175" t="s">
        <v>444</v>
      </c>
      <c r="C175" t="s">
        <v>89</v>
      </c>
      <c r="D175" t="s">
        <v>37</v>
      </c>
      <c r="E175" s="1">
        <v>46153</v>
      </c>
      <c r="F175" s="1">
        <v>46303</v>
      </c>
      <c r="G175" t="s">
        <v>64</v>
      </c>
      <c r="H175">
        <v>3759</v>
      </c>
      <c r="I175" t="s">
        <v>54</v>
      </c>
      <c r="J175" t="b">
        <v>0</v>
      </c>
      <c r="K175">
        <v>150</v>
      </c>
      <c r="L175">
        <v>10</v>
      </c>
      <c r="M175">
        <v>2026</v>
      </c>
      <c r="N175">
        <v>3</v>
      </c>
      <c r="O175">
        <v>5</v>
      </c>
      <c r="P175">
        <v>2026</v>
      </c>
      <c r="Q175">
        <v>0</v>
      </c>
      <c r="R175" t="s">
        <v>40</v>
      </c>
      <c r="S175" t="s">
        <v>45</v>
      </c>
      <c r="T175" t="s">
        <v>286</v>
      </c>
      <c r="U175" t="s">
        <v>40</v>
      </c>
      <c r="V175" t="s">
        <v>91</v>
      </c>
      <c r="W175" t="s">
        <v>92</v>
      </c>
      <c r="X175" t="s">
        <v>76</v>
      </c>
      <c r="Y175">
        <v>65</v>
      </c>
      <c r="Z175" t="s">
        <v>46</v>
      </c>
      <c r="AA175" t="s">
        <v>47</v>
      </c>
      <c r="AB175" s="1">
        <v>46303</v>
      </c>
      <c r="AC175" t="s">
        <v>40</v>
      </c>
      <c r="AD175" t="s">
        <v>40</v>
      </c>
      <c r="AE175" t="s">
        <v>60</v>
      </c>
      <c r="AF175" t="s">
        <v>40</v>
      </c>
      <c r="AG175">
        <v>1</v>
      </c>
      <c r="AH175" t="s">
        <v>49</v>
      </c>
    </row>
    <row r="176" spans="1:34" x14ac:dyDescent="0.3">
      <c r="A176" t="s">
        <v>445</v>
      </c>
      <c r="B176" t="s">
        <v>446</v>
      </c>
      <c r="C176" t="s">
        <v>146</v>
      </c>
      <c r="D176" t="s">
        <v>53</v>
      </c>
      <c r="E176" s="1">
        <v>46055</v>
      </c>
      <c r="F176" s="1">
        <v>46069</v>
      </c>
      <c r="G176" t="s">
        <v>41</v>
      </c>
      <c r="H176">
        <v>7882</v>
      </c>
      <c r="I176" t="s">
        <v>39</v>
      </c>
      <c r="J176" t="b">
        <v>0</v>
      </c>
      <c r="K176">
        <v>14</v>
      </c>
      <c r="L176">
        <v>2</v>
      </c>
      <c r="M176">
        <v>2026</v>
      </c>
      <c r="N176">
        <v>0</v>
      </c>
      <c r="O176">
        <v>2</v>
      </c>
      <c r="P176">
        <v>2026</v>
      </c>
      <c r="Q176">
        <v>0</v>
      </c>
      <c r="R176" t="s">
        <v>40</v>
      </c>
      <c r="S176" t="s">
        <v>55</v>
      </c>
      <c r="T176" t="s">
        <v>42</v>
      </c>
      <c r="U176" t="s">
        <v>66</v>
      </c>
      <c r="V176" t="s">
        <v>147</v>
      </c>
      <c r="W176" t="s">
        <v>148</v>
      </c>
      <c r="X176" t="s">
        <v>45</v>
      </c>
      <c r="Y176">
        <v>160</v>
      </c>
      <c r="Z176" t="s">
        <v>58</v>
      </c>
      <c r="AA176" t="s">
        <v>59</v>
      </c>
      <c r="AB176" s="1">
        <v>46069</v>
      </c>
      <c r="AC176" t="s">
        <v>40</v>
      </c>
      <c r="AD176" t="s">
        <v>40</v>
      </c>
      <c r="AE176" t="s">
        <v>60</v>
      </c>
      <c r="AF176" t="s">
        <v>40</v>
      </c>
      <c r="AG176">
        <v>0</v>
      </c>
      <c r="AH176" t="s">
        <v>70</v>
      </c>
    </row>
    <row r="177" spans="1:34" x14ac:dyDescent="0.3">
      <c r="A177" t="s">
        <v>447</v>
      </c>
      <c r="B177" t="s">
        <v>448</v>
      </c>
      <c r="C177" t="s">
        <v>155</v>
      </c>
      <c r="D177" t="s">
        <v>80</v>
      </c>
      <c r="E177" s="1">
        <v>46241</v>
      </c>
      <c r="F177" s="1">
        <v>46244</v>
      </c>
      <c r="G177" t="s">
        <v>41</v>
      </c>
      <c r="H177">
        <v>6030</v>
      </c>
      <c r="I177" t="s">
        <v>39</v>
      </c>
      <c r="J177" t="b">
        <v>0</v>
      </c>
      <c r="K177">
        <v>3</v>
      </c>
      <c r="L177">
        <v>8</v>
      </c>
      <c r="M177">
        <v>2026</v>
      </c>
      <c r="N177">
        <v>0</v>
      </c>
      <c r="O177">
        <v>8</v>
      </c>
      <c r="P177">
        <v>2026</v>
      </c>
      <c r="Q177">
        <v>4</v>
      </c>
      <c r="R177" t="s">
        <v>40</v>
      </c>
      <c r="S177" t="s">
        <v>55</v>
      </c>
      <c r="T177" t="s">
        <v>42</v>
      </c>
      <c r="U177" t="s">
        <v>40</v>
      </c>
      <c r="V177" t="s">
        <v>156</v>
      </c>
      <c r="W177" t="s">
        <v>157</v>
      </c>
      <c r="X177" t="s">
        <v>158</v>
      </c>
      <c r="Y177">
        <v>70</v>
      </c>
      <c r="Z177" t="s">
        <v>84</v>
      </c>
      <c r="AA177" t="s">
        <v>85</v>
      </c>
      <c r="AB177" s="1">
        <v>46244</v>
      </c>
      <c r="AC177" t="s">
        <v>40</v>
      </c>
      <c r="AD177" t="s">
        <v>40</v>
      </c>
      <c r="AE177" t="s">
        <v>86</v>
      </c>
      <c r="AF177" t="s">
        <v>40</v>
      </c>
      <c r="AG177">
        <v>0</v>
      </c>
      <c r="AH177" t="s">
        <v>100</v>
      </c>
    </row>
    <row r="178" spans="1:34" x14ac:dyDescent="0.3">
      <c r="A178" t="s">
        <v>449</v>
      </c>
      <c r="B178" t="s">
        <v>450</v>
      </c>
      <c r="C178" t="s">
        <v>79</v>
      </c>
      <c r="D178" t="s">
        <v>104</v>
      </c>
      <c r="E178" s="1">
        <v>46151</v>
      </c>
      <c r="F178" s="1">
        <v>46251</v>
      </c>
      <c r="G178" t="s">
        <v>64</v>
      </c>
      <c r="H178">
        <v>4006</v>
      </c>
      <c r="I178" t="s">
        <v>39</v>
      </c>
      <c r="J178" t="b">
        <v>0</v>
      </c>
      <c r="K178">
        <v>100</v>
      </c>
      <c r="L178">
        <v>8</v>
      </c>
      <c r="M178">
        <v>2026</v>
      </c>
      <c r="N178">
        <v>0</v>
      </c>
      <c r="O178">
        <v>5</v>
      </c>
      <c r="P178">
        <v>2026</v>
      </c>
      <c r="Q178">
        <v>5</v>
      </c>
      <c r="R178" t="s">
        <v>40</v>
      </c>
      <c r="S178" t="s">
        <v>45</v>
      </c>
      <c r="T178" t="s">
        <v>42</v>
      </c>
      <c r="U178" t="s">
        <v>66</v>
      </c>
      <c r="V178" t="s">
        <v>82</v>
      </c>
      <c r="W178" t="s">
        <v>83</v>
      </c>
      <c r="X178" t="s">
        <v>76</v>
      </c>
      <c r="Y178">
        <v>100</v>
      </c>
      <c r="Z178" t="s">
        <v>107</v>
      </c>
      <c r="AA178" t="s">
        <v>108</v>
      </c>
      <c r="AB178" s="1">
        <v>46251</v>
      </c>
      <c r="AC178" t="s">
        <v>40</v>
      </c>
      <c r="AD178" t="s">
        <v>40</v>
      </c>
      <c r="AE178" t="s">
        <v>86</v>
      </c>
      <c r="AF178" t="s">
        <v>40</v>
      </c>
      <c r="AG178">
        <v>0</v>
      </c>
      <c r="AH178" t="s">
        <v>49</v>
      </c>
    </row>
    <row r="179" spans="1:34" x14ac:dyDescent="0.3">
      <c r="A179" t="s">
        <v>451</v>
      </c>
      <c r="B179" t="s">
        <v>452</v>
      </c>
      <c r="C179" t="s">
        <v>97</v>
      </c>
      <c r="D179" t="s">
        <v>90</v>
      </c>
      <c r="E179" s="1">
        <v>46028</v>
      </c>
      <c r="F179" s="1">
        <v>46058</v>
      </c>
      <c r="G179" t="s">
        <v>64</v>
      </c>
      <c r="H179">
        <v>3049</v>
      </c>
      <c r="I179" t="s">
        <v>39</v>
      </c>
      <c r="J179" t="b">
        <v>0</v>
      </c>
      <c r="K179">
        <v>30</v>
      </c>
      <c r="L179">
        <v>2</v>
      </c>
      <c r="M179">
        <v>2026</v>
      </c>
      <c r="N179">
        <v>3</v>
      </c>
      <c r="O179">
        <v>1</v>
      </c>
      <c r="P179">
        <v>2026</v>
      </c>
      <c r="Q179">
        <v>1</v>
      </c>
      <c r="R179" t="s">
        <v>40</v>
      </c>
      <c r="S179" t="s">
        <v>55</v>
      </c>
      <c r="T179" t="s">
        <v>42</v>
      </c>
      <c r="U179" t="s">
        <v>40</v>
      </c>
      <c r="V179" t="s">
        <v>98</v>
      </c>
      <c r="W179" t="s">
        <v>99</v>
      </c>
      <c r="X179" t="s">
        <v>76</v>
      </c>
      <c r="Y179">
        <v>80</v>
      </c>
      <c r="Z179" t="s">
        <v>93</v>
      </c>
      <c r="AA179" t="s">
        <v>94</v>
      </c>
      <c r="AB179" s="1">
        <v>46058</v>
      </c>
      <c r="AC179" t="s">
        <v>40</v>
      </c>
      <c r="AD179" t="s">
        <v>40</v>
      </c>
      <c r="AE179" t="s">
        <v>60</v>
      </c>
      <c r="AF179" t="s">
        <v>40</v>
      </c>
      <c r="AG179">
        <v>0</v>
      </c>
      <c r="AH179" t="s">
        <v>70</v>
      </c>
    </row>
    <row r="180" spans="1:34" x14ac:dyDescent="0.3">
      <c r="A180" t="s">
        <v>453</v>
      </c>
      <c r="B180" t="s">
        <v>454</v>
      </c>
      <c r="C180" t="s">
        <v>52</v>
      </c>
      <c r="D180" t="s">
        <v>90</v>
      </c>
      <c r="E180" s="1">
        <v>45702</v>
      </c>
      <c r="F180" s="1">
        <v>45705</v>
      </c>
      <c r="G180" t="s">
        <v>38</v>
      </c>
      <c r="H180">
        <v>5599</v>
      </c>
      <c r="I180" t="s">
        <v>39</v>
      </c>
      <c r="J180" t="b">
        <v>0</v>
      </c>
      <c r="K180">
        <v>3</v>
      </c>
      <c r="L180">
        <v>2</v>
      </c>
      <c r="M180">
        <v>2025</v>
      </c>
      <c r="N180">
        <v>0</v>
      </c>
      <c r="O180">
        <v>2</v>
      </c>
      <c r="P180">
        <v>2025</v>
      </c>
      <c r="Q180">
        <v>4</v>
      </c>
      <c r="R180" t="s">
        <v>40</v>
      </c>
      <c r="S180" t="s">
        <v>55</v>
      </c>
      <c r="T180" t="s">
        <v>42</v>
      </c>
      <c r="U180" t="s">
        <v>66</v>
      </c>
      <c r="V180" t="s">
        <v>56</v>
      </c>
      <c r="W180" t="s">
        <v>57</v>
      </c>
      <c r="X180" t="s">
        <v>45</v>
      </c>
      <c r="Y180">
        <v>120</v>
      </c>
      <c r="Z180" t="s">
        <v>93</v>
      </c>
      <c r="AA180" t="s">
        <v>94</v>
      </c>
      <c r="AB180" s="1">
        <v>45705</v>
      </c>
      <c r="AC180" t="s">
        <v>40</v>
      </c>
      <c r="AD180" t="s">
        <v>40</v>
      </c>
      <c r="AE180" t="s">
        <v>60</v>
      </c>
      <c r="AF180" t="s">
        <v>40</v>
      </c>
      <c r="AG180">
        <v>0</v>
      </c>
      <c r="AH180" t="s">
        <v>100</v>
      </c>
    </row>
    <row r="181" spans="1:34" x14ac:dyDescent="0.3">
      <c r="A181" t="s">
        <v>455</v>
      </c>
      <c r="B181" t="s">
        <v>456</v>
      </c>
      <c r="C181" t="s">
        <v>146</v>
      </c>
      <c r="D181" t="s">
        <v>104</v>
      </c>
      <c r="E181" s="1">
        <v>46271</v>
      </c>
      <c r="F181" s="1">
        <v>46421</v>
      </c>
      <c r="G181" t="s">
        <v>64</v>
      </c>
      <c r="H181">
        <v>4139</v>
      </c>
      <c r="I181" t="s">
        <v>39</v>
      </c>
      <c r="J181" t="b">
        <v>0</v>
      </c>
      <c r="K181">
        <v>150</v>
      </c>
      <c r="L181">
        <v>2</v>
      </c>
      <c r="M181">
        <v>2027</v>
      </c>
      <c r="N181">
        <v>2</v>
      </c>
      <c r="O181">
        <v>9</v>
      </c>
      <c r="P181">
        <v>2026</v>
      </c>
      <c r="Q181">
        <v>6</v>
      </c>
      <c r="R181" t="s">
        <v>40</v>
      </c>
      <c r="S181" t="s">
        <v>55</v>
      </c>
      <c r="T181" t="s">
        <v>123</v>
      </c>
      <c r="U181" t="s">
        <v>40</v>
      </c>
      <c r="V181" t="s">
        <v>147</v>
      </c>
      <c r="W181" t="s">
        <v>148</v>
      </c>
      <c r="X181" t="s">
        <v>45</v>
      </c>
      <c r="Y181">
        <v>160</v>
      </c>
      <c r="Z181" t="s">
        <v>107</v>
      </c>
      <c r="AA181" t="s">
        <v>108</v>
      </c>
      <c r="AB181" s="1"/>
      <c r="AC181" t="s">
        <v>48</v>
      </c>
      <c r="AD181" t="s">
        <v>48</v>
      </c>
      <c r="AE181" t="s">
        <v>48</v>
      </c>
      <c r="AF181" t="s">
        <v>48</v>
      </c>
      <c r="AG181">
        <v>0</v>
      </c>
      <c r="AH181" t="s">
        <v>49</v>
      </c>
    </row>
    <row r="182" spans="1:34" x14ac:dyDescent="0.3">
      <c r="A182" t="s">
        <v>457</v>
      </c>
      <c r="B182" t="s">
        <v>288</v>
      </c>
      <c r="C182" t="s">
        <v>103</v>
      </c>
      <c r="D182" t="s">
        <v>80</v>
      </c>
      <c r="E182" s="1">
        <v>45804</v>
      </c>
      <c r="F182" s="1">
        <v>45864</v>
      </c>
      <c r="G182" t="s">
        <v>38</v>
      </c>
      <c r="H182">
        <v>5592</v>
      </c>
      <c r="I182" t="s">
        <v>39</v>
      </c>
      <c r="J182" t="b">
        <v>0</v>
      </c>
      <c r="K182">
        <v>60</v>
      </c>
      <c r="L182">
        <v>7</v>
      </c>
      <c r="M182">
        <v>2025</v>
      </c>
      <c r="N182">
        <v>5</v>
      </c>
      <c r="O182">
        <v>5</v>
      </c>
      <c r="P182">
        <v>2025</v>
      </c>
      <c r="Q182">
        <v>1</v>
      </c>
      <c r="R182" t="s">
        <v>66</v>
      </c>
      <c r="S182" t="s">
        <v>67</v>
      </c>
      <c r="T182" t="s">
        <v>42</v>
      </c>
      <c r="U182" t="s">
        <v>40</v>
      </c>
      <c r="V182" t="s">
        <v>105</v>
      </c>
      <c r="W182" t="s">
        <v>106</v>
      </c>
      <c r="X182" t="s">
        <v>45</v>
      </c>
      <c r="Y182">
        <v>140</v>
      </c>
      <c r="Z182" t="s">
        <v>84</v>
      </c>
      <c r="AA182" t="s">
        <v>85</v>
      </c>
      <c r="AB182" s="1">
        <v>45864</v>
      </c>
      <c r="AC182" t="s">
        <v>66</v>
      </c>
      <c r="AD182" t="s">
        <v>40</v>
      </c>
      <c r="AE182" t="s">
        <v>86</v>
      </c>
      <c r="AF182" t="s">
        <v>40</v>
      </c>
      <c r="AG182">
        <v>0</v>
      </c>
      <c r="AH182" t="s">
        <v>61</v>
      </c>
    </row>
    <row r="183" spans="1:34" x14ac:dyDescent="0.3">
      <c r="A183" t="s">
        <v>458</v>
      </c>
      <c r="B183" t="s">
        <v>441</v>
      </c>
      <c r="C183" t="s">
        <v>36</v>
      </c>
      <c r="D183" t="s">
        <v>90</v>
      </c>
      <c r="E183" s="1">
        <v>46045</v>
      </c>
      <c r="F183" s="1">
        <v>46059</v>
      </c>
      <c r="G183" t="s">
        <v>64</v>
      </c>
      <c r="H183">
        <v>2614</v>
      </c>
      <c r="I183" t="s">
        <v>39</v>
      </c>
      <c r="J183" t="b">
        <v>0</v>
      </c>
      <c r="K183">
        <v>14</v>
      </c>
      <c r="L183">
        <v>2</v>
      </c>
      <c r="M183">
        <v>2026</v>
      </c>
      <c r="N183">
        <v>4</v>
      </c>
      <c r="O183">
        <v>1</v>
      </c>
      <c r="P183">
        <v>2026</v>
      </c>
      <c r="Q183">
        <v>4</v>
      </c>
      <c r="R183" t="s">
        <v>40</v>
      </c>
      <c r="S183" t="s">
        <v>67</v>
      </c>
      <c r="T183" t="s">
        <v>42</v>
      </c>
      <c r="U183" t="s">
        <v>66</v>
      </c>
      <c r="V183" t="s">
        <v>43</v>
      </c>
      <c r="W183" t="s">
        <v>44</v>
      </c>
      <c r="X183" t="s">
        <v>45</v>
      </c>
      <c r="Y183">
        <v>150</v>
      </c>
      <c r="Z183" t="s">
        <v>93</v>
      </c>
      <c r="AA183" t="s">
        <v>94</v>
      </c>
      <c r="AB183" s="1">
        <v>46059</v>
      </c>
      <c r="AC183" t="s">
        <v>40</v>
      </c>
      <c r="AD183" t="s">
        <v>40</v>
      </c>
      <c r="AE183" t="s">
        <v>60</v>
      </c>
      <c r="AF183" t="s">
        <v>40</v>
      </c>
      <c r="AG183">
        <v>0</v>
      </c>
      <c r="AH183" t="s">
        <v>70</v>
      </c>
    </row>
    <row r="184" spans="1:34" x14ac:dyDescent="0.3">
      <c r="A184" t="s">
        <v>459</v>
      </c>
      <c r="B184" t="s">
        <v>460</v>
      </c>
      <c r="C184" t="s">
        <v>155</v>
      </c>
      <c r="D184" t="s">
        <v>80</v>
      </c>
      <c r="E184" s="1">
        <v>45697</v>
      </c>
      <c r="F184" s="1">
        <v>45797</v>
      </c>
      <c r="G184" t="s">
        <v>64</v>
      </c>
      <c r="H184">
        <v>3187</v>
      </c>
      <c r="I184" t="s">
        <v>65</v>
      </c>
      <c r="J184" t="b">
        <v>0</v>
      </c>
      <c r="K184">
        <v>100</v>
      </c>
      <c r="L184">
        <v>5</v>
      </c>
      <c r="M184">
        <v>2025</v>
      </c>
      <c r="N184">
        <v>1</v>
      </c>
      <c r="O184">
        <v>2</v>
      </c>
      <c r="P184">
        <v>2025</v>
      </c>
      <c r="Q184">
        <v>6</v>
      </c>
      <c r="R184" t="s">
        <v>40</v>
      </c>
      <c r="S184" t="s">
        <v>41</v>
      </c>
      <c r="T184" t="s">
        <v>286</v>
      </c>
      <c r="U184" t="s">
        <v>40</v>
      </c>
      <c r="V184" t="s">
        <v>156</v>
      </c>
      <c r="W184" t="s">
        <v>157</v>
      </c>
      <c r="X184" t="s">
        <v>158</v>
      </c>
      <c r="Y184">
        <v>70</v>
      </c>
      <c r="Z184" t="s">
        <v>84</v>
      </c>
      <c r="AA184" t="s">
        <v>85</v>
      </c>
      <c r="AB184" s="1">
        <v>45797</v>
      </c>
      <c r="AC184" t="s">
        <v>40</v>
      </c>
      <c r="AD184" t="s">
        <v>40</v>
      </c>
      <c r="AE184" t="s">
        <v>69</v>
      </c>
      <c r="AF184" t="s">
        <v>40</v>
      </c>
      <c r="AG184">
        <v>0</v>
      </c>
      <c r="AH184" t="s">
        <v>49</v>
      </c>
    </row>
    <row r="185" spans="1:34" x14ac:dyDescent="0.3">
      <c r="A185" t="s">
        <v>461</v>
      </c>
      <c r="B185" t="s">
        <v>462</v>
      </c>
      <c r="C185" t="s">
        <v>146</v>
      </c>
      <c r="D185" t="s">
        <v>104</v>
      </c>
      <c r="E185" s="1">
        <v>46037</v>
      </c>
      <c r="F185" s="1">
        <v>46137</v>
      </c>
      <c r="G185" t="s">
        <v>41</v>
      </c>
      <c r="H185">
        <v>6435</v>
      </c>
      <c r="I185" t="s">
        <v>65</v>
      </c>
      <c r="J185" t="b">
        <v>0</v>
      </c>
      <c r="K185">
        <v>100</v>
      </c>
      <c r="L185">
        <v>4</v>
      </c>
      <c r="M185">
        <v>2026</v>
      </c>
      <c r="N185">
        <v>5</v>
      </c>
      <c r="O185">
        <v>1</v>
      </c>
      <c r="P185">
        <v>2026</v>
      </c>
      <c r="Q185">
        <v>3</v>
      </c>
      <c r="R185" t="s">
        <v>66</v>
      </c>
      <c r="S185" t="s">
        <v>55</v>
      </c>
      <c r="T185" t="s">
        <v>123</v>
      </c>
      <c r="U185" t="s">
        <v>66</v>
      </c>
      <c r="V185" t="s">
        <v>147</v>
      </c>
      <c r="W185" t="s">
        <v>148</v>
      </c>
      <c r="X185" t="s">
        <v>45</v>
      </c>
      <c r="Y185">
        <v>160</v>
      </c>
      <c r="Z185" t="s">
        <v>107</v>
      </c>
      <c r="AA185" t="s">
        <v>108</v>
      </c>
      <c r="AB185" s="1">
        <v>46137</v>
      </c>
      <c r="AC185" t="s">
        <v>66</v>
      </c>
      <c r="AD185" t="s">
        <v>40</v>
      </c>
      <c r="AE185" t="s">
        <v>69</v>
      </c>
      <c r="AF185" t="s">
        <v>40</v>
      </c>
      <c r="AG185">
        <v>0</v>
      </c>
      <c r="AH185" t="s">
        <v>49</v>
      </c>
    </row>
    <row r="186" spans="1:34" x14ac:dyDescent="0.3">
      <c r="A186" t="s">
        <v>463</v>
      </c>
      <c r="B186" t="s">
        <v>78</v>
      </c>
      <c r="C186" t="s">
        <v>36</v>
      </c>
      <c r="D186" t="s">
        <v>104</v>
      </c>
      <c r="E186" s="1">
        <v>45795</v>
      </c>
      <c r="F186" s="1">
        <v>45802</v>
      </c>
      <c r="G186" t="s">
        <v>38</v>
      </c>
      <c r="H186">
        <v>5950</v>
      </c>
      <c r="I186" t="s">
        <v>54</v>
      </c>
      <c r="J186" t="b">
        <v>0</v>
      </c>
      <c r="K186">
        <v>7</v>
      </c>
      <c r="L186">
        <v>5</v>
      </c>
      <c r="M186">
        <v>2025</v>
      </c>
      <c r="N186">
        <v>6</v>
      </c>
      <c r="O186">
        <v>5</v>
      </c>
      <c r="P186">
        <v>2025</v>
      </c>
      <c r="Q186">
        <v>6</v>
      </c>
      <c r="R186" t="s">
        <v>66</v>
      </c>
      <c r="S186" t="s">
        <v>67</v>
      </c>
      <c r="T186" t="s">
        <v>42</v>
      </c>
      <c r="U186" t="s">
        <v>40</v>
      </c>
      <c r="V186" t="s">
        <v>43</v>
      </c>
      <c r="W186" t="s">
        <v>44</v>
      </c>
      <c r="X186" t="s">
        <v>45</v>
      </c>
      <c r="Y186">
        <v>150</v>
      </c>
      <c r="Z186" t="s">
        <v>107</v>
      </c>
      <c r="AA186" t="s">
        <v>108</v>
      </c>
      <c r="AB186" s="1">
        <v>45802</v>
      </c>
      <c r="AC186" t="s">
        <v>66</v>
      </c>
      <c r="AD186" t="s">
        <v>40</v>
      </c>
      <c r="AE186" t="s">
        <v>69</v>
      </c>
      <c r="AF186" t="s">
        <v>40</v>
      </c>
      <c r="AG186">
        <v>1</v>
      </c>
      <c r="AH186" t="s">
        <v>100</v>
      </c>
    </row>
    <row r="187" spans="1:34" x14ac:dyDescent="0.3">
      <c r="A187" t="s">
        <v>464</v>
      </c>
      <c r="B187" t="s">
        <v>465</v>
      </c>
      <c r="C187" t="s">
        <v>155</v>
      </c>
      <c r="D187" t="s">
        <v>80</v>
      </c>
      <c r="E187" s="1">
        <v>45778</v>
      </c>
      <c r="F187" s="1">
        <v>45808</v>
      </c>
      <c r="G187" t="s">
        <v>41</v>
      </c>
      <c r="H187">
        <v>6483</v>
      </c>
      <c r="I187" t="s">
        <v>39</v>
      </c>
      <c r="J187" t="b">
        <v>0</v>
      </c>
      <c r="K187">
        <v>30</v>
      </c>
      <c r="L187">
        <v>5</v>
      </c>
      <c r="M187">
        <v>2025</v>
      </c>
      <c r="N187">
        <v>5</v>
      </c>
      <c r="O187">
        <v>5</v>
      </c>
      <c r="P187">
        <v>2025</v>
      </c>
      <c r="Q187">
        <v>3</v>
      </c>
      <c r="R187" t="s">
        <v>66</v>
      </c>
      <c r="S187" t="s">
        <v>41</v>
      </c>
      <c r="T187" t="s">
        <v>42</v>
      </c>
      <c r="U187" t="s">
        <v>66</v>
      </c>
      <c r="V187" t="s">
        <v>156</v>
      </c>
      <c r="W187" t="s">
        <v>157</v>
      </c>
      <c r="X187" t="s">
        <v>158</v>
      </c>
      <c r="Y187">
        <v>70</v>
      </c>
      <c r="Z187" t="s">
        <v>84</v>
      </c>
      <c r="AA187" t="s">
        <v>85</v>
      </c>
      <c r="AB187" s="1">
        <v>45808</v>
      </c>
      <c r="AC187" t="s">
        <v>66</v>
      </c>
      <c r="AD187" t="s">
        <v>40</v>
      </c>
      <c r="AE187" t="s">
        <v>69</v>
      </c>
      <c r="AF187" t="s">
        <v>40</v>
      </c>
      <c r="AG187">
        <v>0</v>
      </c>
      <c r="AH187" t="s">
        <v>70</v>
      </c>
    </row>
    <row r="188" spans="1:34" x14ac:dyDescent="0.3">
      <c r="A188" t="s">
        <v>466</v>
      </c>
      <c r="B188" t="s">
        <v>383</v>
      </c>
      <c r="C188" t="s">
        <v>146</v>
      </c>
      <c r="D188" t="s">
        <v>104</v>
      </c>
      <c r="E188" s="1">
        <v>46236</v>
      </c>
      <c r="F188" s="1">
        <v>46250</v>
      </c>
      <c r="G188" t="s">
        <v>81</v>
      </c>
      <c r="H188">
        <v>9885</v>
      </c>
      <c r="I188" t="s">
        <v>39</v>
      </c>
      <c r="J188" t="b">
        <v>0</v>
      </c>
      <c r="K188">
        <v>14</v>
      </c>
      <c r="L188">
        <v>8</v>
      </c>
      <c r="M188">
        <v>2026</v>
      </c>
      <c r="N188">
        <v>6</v>
      </c>
      <c r="O188">
        <v>8</v>
      </c>
      <c r="P188">
        <v>2026</v>
      </c>
      <c r="Q188">
        <v>6</v>
      </c>
      <c r="R188" t="s">
        <v>66</v>
      </c>
      <c r="S188" t="s">
        <v>55</v>
      </c>
      <c r="T188" t="s">
        <v>42</v>
      </c>
      <c r="U188" t="s">
        <v>40</v>
      </c>
      <c r="V188" t="s">
        <v>147</v>
      </c>
      <c r="W188" t="s">
        <v>148</v>
      </c>
      <c r="X188" t="s">
        <v>45</v>
      </c>
      <c r="Y188">
        <v>160</v>
      </c>
      <c r="Z188" t="s">
        <v>107</v>
      </c>
      <c r="AA188" t="s">
        <v>108</v>
      </c>
      <c r="AB188" s="1">
        <v>46250</v>
      </c>
      <c r="AC188" t="s">
        <v>66</v>
      </c>
      <c r="AD188" t="s">
        <v>40</v>
      </c>
      <c r="AE188" t="s">
        <v>86</v>
      </c>
      <c r="AF188" t="s">
        <v>40</v>
      </c>
      <c r="AG188">
        <v>0</v>
      </c>
      <c r="AH188" t="s">
        <v>70</v>
      </c>
    </row>
    <row r="189" spans="1:34" x14ac:dyDescent="0.3">
      <c r="A189" t="s">
        <v>467</v>
      </c>
      <c r="B189" t="s">
        <v>422</v>
      </c>
      <c r="C189" t="s">
        <v>103</v>
      </c>
      <c r="D189" t="s">
        <v>53</v>
      </c>
      <c r="E189" s="1">
        <v>46221</v>
      </c>
      <c r="F189" s="1">
        <v>46251</v>
      </c>
      <c r="G189" t="s">
        <v>64</v>
      </c>
      <c r="H189">
        <v>2996</v>
      </c>
      <c r="I189" t="s">
        <v>39</v>
      </c>
      <c r="J189" t="b">
        <v>0</v>
      </c>
      <c r="K189">
        <v>30</v>
      </c>
      <c r="L189">
        <v>8</v>
      </c>
      <c r="M189">
        <v>2026</v>
      </c>
      <c r="N189">
        <v>0</v>
      </c>
      <c r="O189">
        <v>7</v>
      </c>
      <c r="P189">
        <v>2026</v>
      </c>
      <c r="Q189">
        <v>5</v>
      </c>
      <c r="R189" t="s">
        <v>40</v>
      </c>
      <c r="S189" t="s">
        <v>45</v>
      </c>
      <c r="T189" t="s">
        <v>42</v>
      </c>
      <c r="U189" t="s">
        <v>66</v>
      </c>
      <c r="V189" t="s">
        <v>105</v>
      </c>
      <c r="W189" t="s">
        <v>106</v>
      </c>
      <c r="X189" t="s">
        <v>45</v>
      </c>
      <c r="Y189">
        <v>140</v>
      </c>
      <c r="Z189" t="s">
        <v>58</v>
      </c>
      <c r="AA189" t="s">
        <v>59</v>
      </c>
      <c r="AB189" s="1">
        <v>46251</v>
      </c>
      <c r="AC189" t="s">
        <v>40</v>
      </c>
      <c r="AD189" t="s">
        <v>40</v>
      </c>
      <c r="AE189" t="s">
        <v>86</v>
      </c>
      <c r="AF189" t="s">
        <v>40</v>
      </c>
      <c r="AG189">
        <v>0</v>
      </c>
      <c r="AH189" t="s">
        <v>70</v>
      </c>
    </row>
    <row r="190" spans="1:34" x14ac:dyDescent="0.3">
      <c r="A190" t="s">
        <v>468</v>
      </c>
      <c r="B190" t="s">
        <v>469</v>
      </c>
      <c r="C190" t="s">
        <v>169</v>
      </c>
      <c r="D190" t="s">
        <v>90</v>
      </c>
      <c r="E190" s="1">
        <v>46037</v>
      </c>
      <c r="F190" s="1">
        <v>46040</v>
      </c>
      <c r="G190" t="s">
        <v>64</v>
      </c>
      <c r="H190">
        <v>4106</v>
      </c>
      <c r="I190" t="s">
        <v>39</v>
      </c>
      <c r="J190" t="b">
        <v>0</v>
      </c>
      <c r="K190">
        <v>3</v>
      </c>
      <c r="L190">
        <v>1</v>
      </c>
      <c r="M190">
        <v>2026</v>
      </c>
      <c r="N190">
        <v>6</v>
      </c>
      <c r="O190">
        <v>1</v>
      </c>
      <c r="P190">
        <v>2026</v>
      </c>
      <c r="Q190">
        <v>3</v>
      </c>
      <c r="R190" t="s">
        <v>66</v>
      </c>
      <c r="S190" t="s">
        <v>67</v>
      </c>
      <c r="T190" t="s">
        <v>42</v>
      </c>
      <c r="U190" t="s">
        <v>66</v>
      </c>
      <c r="V190" t="s">
        <v>170</v>
      </c>
      <c r="W190" t="s">
        <v>171</v>
      </c>
      <c r="X190" t="s">
        <v>126</v>
      </c>
      <c r="Y190">
        <v>90</v>
      </c>
      <c r="Z190" t="s">
        <v>93</v>
      </c>
      <c r="AA190" t="s">
        <v>94</v>
      </c>
      <c r="AB190" s="1">
        <v>46040</v>
      </c>
      <c r="AC190" t="s">
        <v>66</v>
      </c>
      <c r="AD190" t="s">
        <v>40</v>
      </c>
      <c r="AE190" t="s">
        <v>86</v>
      </c>
      <c r="AF190" t="s">
        <v>40</v>
      </c>
      <c r="AG190">
        <v>0</v>
      </c>
      <c r="AH190" t="s">
        <v>100</v>
      </c>
    </row>
    <row r="191" spans="1:34" x14ac:dyDescent="0.3">
      <c r="A191" t="s">
        <v>470</v>
      </c>
      <c r="B191" t="s">
        <v>471</v>
      </c>
      <c r="C191" t="s">
        <v>129</v>
      </c>
      <c r="D191" t="s">
        <v>104</v>
      </c>
      <c r="E191" s="1">
        <v>46107</v>
      </c>
      <c r="F191" s="1">
        <v>46108</v>
      </c>
      <c r="G191" t="s">
        <v>81</v>
      </c>
      <c r="H191">
        <v>10682</v>
      </c>
      <c r="I191" t="s">
        <v>65</v>
      </c>
      <c r="J191" t="b">
        <v>0</v>
      </c>
      <c r="K191">
        <v>1</v>
      </c>
      <c r="L191">
        <v>3</v>
      </c>
      <c r="M191">
        <v>2026</v>
      </c>
      <c r="N191">
        <v>4</v>
      </c>
      <c r="O191">
        <v>3</v>
      </c>
      <c r="P191">
        <v>2026</v>
      </c>
      <c r="Q191">
        <v>3</v>
      </c>
      <c r="R191" t="s">
        <v>40</v>
      </c>
      <c r="S191" t="s">
        <v>45</v>
      </c>
      <c r="T191" t="s">
        <v>113</v>
      </c>
      <c r="U191" t="s">
        <v>66</v>
      </c>
      <c r="V191" t="s">
        <v>131</v>
      </c>
      <c r="W191" t="s">
        <v>132</v>
      </c>
      <c r="X191" t="s">
        <v>45</v>
      </c>
      <c r="Y191">
        <v>110</v>
      </c>
      <c r="Z191" t="s">
        <v>107</v>
      </c>
      <c r="AA191" t="s">
        <v>108</v>
      </c>
      <c r="AB191" s="1">
        <v>46108</v>
      </c>
      <c r="AC191" t="s">
        <v>40</v>
      </c>
      <c r="AD191" t="s">
        <v>40</v>
      </c>
      <c r="AE191" t="s">
        <v>60</v>
      </c>
      <c r="AF191" t="s">
        <v>40</v>
      </c>
      <c r="AG191">
        <v>0</v>
      </c>
      <c r="AH191" t="s">
        <v>100</v>
      </c>
    </row>
    <row r="192" spans="1:34" x14ac:dyDescent="0.3">
      <c r="A192" t="s">
        <v>472</v>
      </c>
      <c r="B192" t="s">
        <v>473</v>
      </c>
      <c r="C192" t="s">
        <v>73</v>
      </c>
      <c r="D192" t="s">
        <v>37</v>
      </c>
      <c r="E192" s="1">
        <v>45658</v>
      </c>
      <c r="F192" s="1">
        <v>45878</v>
      </c>
      <c r="G192" t="s">
        <v>64</v>
      </c>
      <c r="H192">
        <v>3796</v>
      </c>
      <c r="I192" t="s">
        <v>39</v>
      </c>
      <c r="J192" t="b">
        <v>0</v>
      </c>
      <c r="K192">
        <v>220</v>
      </c>
      <c r="L192">
        <v>8</v>
      </c>
      <c r="M192">
        <v>2025</v>
      </c>
      <c r="N192">
        <v>5</v>
      </c>
      <c r="O192">
        <v>1</v>
      </c>
      <c r="P192">
        <v>2025</v>
      </c>
      <c r="Q192">
        <v>2</v>
      </c>
      <c r="R192" t="s">
        <v>66</v>
      </c>
      <c r="S192" t="s">
        <v>41</v>
      </c>
      <c r="T192" t="s">
        <v>286</v>
      </c>
      <c r="U192" t="s">
        <v>40</v>
      </c>
      <c r="V192" t="s">
        <v>74</v>
      </c>
      <c r="W192" t="s">
        <v>75</v>
      </c>
      <c r="X192" t="s">
        <v>76</v>
      </c>
      <c r="Y192">
        <v>75</v>
      </c>
      <c r="Z192" t="s">
        <v>46</v>
      </c>
      <c r="AA192" t="s">
        <v>47</v>
      </c>
      <c r="AB192" s="1">
        <v>45878</v>
      </c>
      <c r="AC192" t="s">
        <v>66</v>
      </c>
      <c r="AD192" t="s">
        <v>40</v>
      </c>
      <c r="AE192" t="s">
        <v>86</v>
      </c>
      <c r="AF192" t="s">
        <v>40</v>
      </c>
      <c r="AG192">
        <v>0</v>
      </c>
      <c r="AH192" t="s">
        <v>142</v>
      </c>
    </row>
    <row r="193" spans="1:34" x14ac:dyDescent="0.3">
      <c r="A193" t="s">
        <v>474</v>
      </c>
      <c r="B193" t="s">
        <v>475</v>
      </c>
      <c r="C193" t="s">
        <v>36</v>
      </c>
      <c r="D193" t="s">
        <v>80</v>
      </c>
      <c r="E193" s="1">
        <v>45949</v>
      </c>
      <c r="F193" s="1">
        <v>46009</v>
      </c>
      <c r="G193" t="s">
        <v>81</v>
      </c>
      <c r="H193">
        <v>8353</v>
      </c>
      <c r="I193" t="s">
        <v>39</v>
      </c>
      <c r="J193" t="b">
        <v>0</v>
      </c>
      <c r="K193">
        <v>60</v>
      </c>
      <c r="L193">
        <v>12</v>
      </c>
      <c r="M193">
        <v>2025</v>
      </c>
      <c r="N193">
        <v>3</v>
      </c>
      <c r="O193">
        <v>10</v>
      </c>
      <c r="P193">
        <v>2025</v>
      </c>
      <c r="Q193">
        <v>6</v>
      </c>
      <c r="R193" t="s">
        <v>40</v>
      </c>
      <c r="S193" t="s">
        <v>55</v>
      </c>
      <c r="T193" t="s">
        <v>123</v>
      </c>
      <c r="U193" t="s">
        <v>40</v>
      </c>
      <c r="V193" t="s">
        <v>43</v>
      </c>
      <c r="W193" t="s">
        <v>44</v>
      </c>
      <c r="X193" t="s">
        <v>45</v>
      </c>
      <c r="Y193">
        <v>150</v>
      </c>
      <c r="Z193" t="s">
        <v>84</v>
      </c>
      <c r="AA193" t="s">
        <v>85</v>
      </c>
      <c r="AB193" s="1">
        <v>46009</v>
      </c>
      <c r="AC193" t="s">
        <v>40</v>
      </c>
      <c r="AD193" t="s">
        <v>40</v>
      </c>
      <c r="AE193" t="s">
        <v>69</v>
      </c>
      <c r="AF193" t="s">
        <v>40</v>
      </c>
      <c r="AG193">
        <v>0</v>
      </c>
      <c r="AH193" t="s">
        <v>61</v>
      </c>
    </row>
    <row r="194" spans="1:34" x14ac:dyDescent="0.3">
      <c r="A194" t="s">
        <v>476</v>
      </c>
      <c r="B194" t="s">
        <v>477</v>
      </c>
      <c r="C194" t="s">
        <v>169</v>
      </c>
      <c r="D194" t="s">
        <v>90</v>
      </c>
      <c r="E194" s="1">
        <v>46074</v>
      </c>
      <c r="F194" s="1">
        <v>46104</v>
      </c>
      <c r="G194" t="s">
        <v>64</v>
      </c>
      <c r="H194">
        <v>2802</v>
      </c>
      <c r="I194" t="s">
        <v>39</v>
      </c>
      <c r="J194" t="b">
        <v>0</v>
      </c>
      <c r="K194">
        <v>30</v>
      </c>
      <c r="L194">
        <v>3</v>
      </c>
      <c r="M194">
        <v>2026</v>
      </c>
      <c r="N194">
        <v>0</v>
      </c>
      <c r="O194">
        <v>2</v>
      </c>
      <c r="P194">
        <v>2026</v>
      </c>
      <c r="Q194">
        <v>5</v>
      </c>
      <c r="R194" t="s">
        <v>40</v>
      </c>
      <c r="S194" t="s">
        <v>55</v>
      </c>
      <c r="T194" t="s">
        <v>42</v>
      </c>
      <c r="U194" t="s">
        <v>40</v>
      </c>
      <c r="V194" t="s">
        <v>170</v>
      </c>
      <c r="W194" t="s">
        <v>171</v>
      </c>
      <c r="X194" t="s">
        <v>126</v>
      </c>
      <c r="Y194">
        <v>90</v>
      </c>
      <c r="Z194" t="s">
        <v>93</v>
      </c>
      <c r="AA194" t="s">
        <v>94</v>
      </c>
      <c r="AB194" s="1">
        <v>46104</v>
      </c>
      <c r="AC194" t="s">
        <v>40</v>
      </c>
      <c r="AD194" t="s">
        <v>40</v>
      </c>
      <c r="AE194" t="s">
        <v>60</v>
      </c>
      <c r="AF194" t="s">
        <v>40</v>
      </c>
      <c r="AG194">
        <v>0</v>
      </c>
      <c r="AH194" t="s">
        <v>70</v>
      </c>
    </row>
    <row r="195" spans="1:34" x14ac:dyDescent="0.3">
      <c r="A195" t="s">
        <v>478</v>
      </c>
      <c r="B195" t="s">
        <v>479</v>
      </c>
      <c r="C195" t="s">
        <v>169</v>
      </c>
      <c r="D195" t="s">
        <v>37</v>
      </c>
      <c r="E195" s="1">
        <v>46111</v>
      </c>
      <c r="F195" s="1">
        <v>46261</v>
      </c>
      <c r="G195" t="s">
        <v>41</v>
      </c>
      <c r="H195">
        <v>7791</v>
      </c>
      <c r="I195" t="s">
        <v>39</v>
      </c>
      <c r="J195" t="b">
        <v>0</v>
      </c>
      <c r="K195">
        <v>150</v>
      </c>
      <c r="L195">
        <v>8</v>
      </c>
      <c r="M195">
        <v>2026</v>
      </c>
      <c r="N195">
        <v>3</v>
      </c>
      <c r="O195">
        <v>3</v>
      </c>
      <c r="P195">
        <v>2026</v>
      </c>
      <c r="Q195">
        <v>0</v>
      </c>
      <c r="R195" t="s">
        <v>40</v>
      </c>
      <c r="S195" t="s">
        <v>55</v>
      </c>
      <c r="T195" t="s">
        <v>42</v>
      </c>
      <c r="U195" t="s">
        <v>66</v>
      </c>
      <c r="V195" t="s">
        <v>170</v>
      </c>
      <c r="W195" t="s">
        <v>171</v>
      </c>
      <c r="X195" t="s">
        <v>126</v>
      </c>
      <c r="Y195">
        <v>90</v>
      </c>
      <c r="Z195" t="s">
        <v>46</v>
      </c>
      <c r="AA195" t="s">
        <v>47</v>
      </c>
      <c r="AB195" s="1">
        <v>46261</v>
      </c>
      <c r="AC195" t="s">
        <v>40</v>
      </c>
      <c r="AD195" t="s">
        <v>40</v>
      </c>
      <c r="AE195" t="s">
        <v>86</v>
      </c>
      <c r="AF195" t="s">
        <v>40</v>
      </c>
      <c r="AG195">
        <v>0</v>
      </c>
      <c r="AH195" t="s">
        <v>49</v>
      </c>
    </row>
    <row r="196" spans="1:34" x14ac:dyDescent="0.3">
      <c r="A196" t="s">
        <v>480</v>
      </c>
      <c r="B196" t="s">
        <v>481</v>
      </c>
      <c r="C196" t="s">
        <v>169</v>
      </c>
      <c r="D196" t="s">
        <v>130</v>
      </c>
      <c r="E196" s="1">
        <v>46049</v>
      </c>
      <c r="F196" s="1">
        <v>46079</v>
      </c>
      <c r="G196" t="s">
        <v>38</v>
      </c>
      <c r="H196">
        <v>4793</v>
      </c>
      <c r="I196" t="s">
        <v>65</v>
      </c>
      <c r="J196" t="b">
        <v>0</v>
      </c>
      <c r="K196">
        <v>30</v>
      </c>
      <c r="L196">
        <v>2</v>
      </c>
      <c r="M196">
        <v>2026</v>
      </c>
      <c r="N196">
        <v>3</v>
      </c>
      <c r="O196">
        <v>1</v>
      </c>
      <c r="P196">
        <v>2026</v>
      </c>
      <c r="Q196">
        <v>1</v>
      </c>
      <c r="R196" t="s">
        <v>40</v>
      </c>
      <c r="S196" t="s">
        <v>55</v>
      </c>
      <c r="T196" t="s">
        <v>42</v>
      </c>
      <c r="U196" t="s">
        <v>40</v>
      </c>
      <c r="V196" t="s">
        <v>170</v>
      </c>
      <c r="W196" t="s">
        <v>171</v>
      </c>
      <c r="X196" t="s">
        <v>126</v>
      </c>
      <c r="Y196">
        <v>90</v>
      </c>
      <c r="Z196" t="s">
        <v>133</v>
      </c>
      <c r="AA196" t="s">
        <v>134</v>
      </c>
      <c r="AB196" s="1">
        <v>46079</v>
      </c>
      <c r="AC196" t="s">
        <v>40</v>
      </c>
      <c r="AD196" t="s">
        <v>40</v>
      </c>
      <c r="AE196" t="s">
        <v>60</v>
      </c>
      <c r="AF196" t="s">
        <v>40</v>
      </c>
      <c r="AG196">
        <v>0</v>
      </c>
      <c r="AH196" t="s">
        <v>70</v>
      </c>
    </row>
    <row r="197" spans="1:34" x14ac:dyDescent="0.3">
      <c r="A197" t="s">
        <v>482</v>
      </c>
      <c r="B197" t="s">
        <v>448</v>
      </c>
      <c r="C197" t="s">
        <v>73</v>
      </c>
      <c r="D197" t="s">
        <v>53</v>
      </c>
      <c r="E197" s="1">
        <v>45753</v>
      </c>
      <c r="F197" s="1">
        <v>45767</v>
      </c>
      <c r="G197" t="s">
        <v>81</v>
      </c>
      <c r="H197">
        <v>10403</v>
      </c>
      <c r="I197" t="s">
        <v>39</v>
      </c>
      <c r="J197" t="b">
        <v>0</v>
      </c>
      <c r="K197">
        <v>14</v>
      </c>
      <c r="L197">
        <v>4</v>
      </c>
      <c r="M197">
        <v>2025</v>
      </c>
      <c r="N197">
        <v>6</v>
      </c>
      <c r="O197">
        <v>4</v>
      </c>
      <c r="P197">
        <v>2025</v>
      </c>
      <c r="Q197">
        <v>6</v>
      </c>
      <c r="R197" t="s">
        <v>66</v>
      </c>
      <c r="S197" t="s">
        <v>55</v>
      </c>
      <c r="T197" t="s">
        <v>42</v>
      </c>
      <c r="U197" t="s">
        <v>40</v>
      </c>
      <c r="V197" t="s">
        <v>74</v>
      </c>
      <c r="W197" t="s">
        <v>75</v>
      </c>
      <c r="X197" t="s">
        <v>76</v>
      </c>
      <c r="Y197">
        <v>75</v>
      </c>
      <c r="Z197" t="s">
        <v>58</v>
      </c>
      <c r="AA197" t="s">
        <v>59</v>
      </c>
      <c r="AB197" s="1">
        <v>45767</v>
      </c>
      <c r="AC197" t="s">
        <v>66</v>
      </c>
      <c r="AD197" t="s">
        <v>40</v>
      </c>
      <c r="AE197" t="s">
        <v>69</v>
      </c>
      <c r="AF197" t="s">
        <v>40</v>
      </c>
      <c r="AG197">
        <v>0</v>
      </c>
      <c r="AH197" t="s">
        <v>70</v>
      </c>
    </row>
    <row r="198" spans="1:34" x14ac:dyDescent="0.3">
      <c r="A198" t="s">
        <v>483</v>
      </c>
      <c r="B198" t="s">
        <v>484</v>
      </c>
      <c r="C198" t="s">
        <v>122</v>
      </c>
      <c r="D198" t="s">
        <v>37</v>
      </c>
      <c r="E198" s="1">
        <v>45862</v>
      </c>
      <c r="F198" s="1">
        <v>45869</v>
      </c>
      <c r="G198" t="s">
        <v>38</v>
      </c>
      <c r="H198">
        <v>4438</v>
      </c>
      <c r="I198" t="s">
        <v>39</v>
      </c>
      <c r="J198" t="b">
        <v>0</v>
      </c>
      <c r="K198">
        <v>7</v>
      </c>
      <c r="L198">
        <v>7</v>
      </c>
      <c r="M198">
        <v>2025</v>
      </c>
      <c r="N198">
        <v>3</v>
      </c>
      <c r="O198">
        <v>7</v>
      </c>
      <c r="P198">
        <v>2025</v>
      </c>
      <c r="Q198">
        <v>3</v>
      </c>
      <c r="R198" t="s">
        <v>40</v>
      </c>
      <c r="S198" t="s">
        <v>41</v>
      </c>
      <c r="T198" t="s">
        <v>42</v>
      </c>
      <c r="U198" t="s">
        <v>40</v>
      </c>
      <c r="V198" t="s">
        <v>124</v>
      </c>
      <c r="W198" t="s">
        <v>125</v>
      </c>
      <c r="X198" t="s">
        <v>126</v>
      </c>
      <c r="Y198">
        <v>85</v>
      </c>
      <c r="Z198" t="s">
        <v>46</v>
      </c>
      <c r="AA198" t="s">
        <v>47</v>
      </c>
      <c r="AB198" s="1">
        <v>45869</v>
      </c>
      <c r="AC198" t="s">
        <v>40</v>
      </c>
      <c r="AD198" t="s">
        <v>40</v>
      </c>
      <c r="AE198" t="s">
        <v>86</v>
      </c>
      <c r="AF198" t="s">
        <v>40</v>
      </c>
      <c r="AG198">
        <v>0</v>
      </c>
      <c r="AH198" t="s">
        <v>100</v>
      </c>
    </row>
    <row r="199" spans="1:34" x14ac:dyDescent="0.3">
      <c r="A199" t="s">
        <v>485</v>
      </c>
      <c r="B199" t="s">
        <v>486</v>
      </c>
      <c r="C199" t="s">
        <v>36</v>
      </c>
      <c r="D199" t="s">
        <v>130</v>
      </c>
      <c r="E199" s="1">
        <v>46350</v>
      </c>
      <c r="F199" s="1">
        <v>46500</v>
      </c>
      <c r="G199" t="s">
        <v>41</v>
      </c>
      <c r="H199">
        <v>8473</v>
      </c>
      <c r="I199" t="s">
        <v>39</v>
      </c>
      <c r="J199" t="b">
        <v>0</v>
      </c>
      <c r="K199">
        <v>150</v>
      </c>
      <c r="L199">
        <v>4</v>
      </c>
      <c r="M199">
        <v>2027</v>
      </c>
      <c r="N199">
        <v>4</v>
      </c>
      <c r="O199">
        <v>11</v>
      </c>
      <c r="P199">
        <v>2026</v>
      </c>
      <c r="Q199">
        <v>1</v>
      </c>
      <c r="R199" t="s">
        <v>40</v>
      </c>
      <c r="S199" t="s">
        <v>67</v>
      </c>
      <c r="T199" t="s">
        <v>123</v>
      </c>
      <c r="U199" t="s">
        <v>40</v>
      </c>
      <c r="V199" t="s">
        <v>43</v>
      </c>
      <c r="W199" t="s">
        <v>44</v>
      </c>
      <c r="X199" t="s">
        <v>45</v>
      </c>
      <c r="Y199">
        <v>150</v>
      </c>
      <c r="Z199" t="s">
        <v>133</v>
      </c>
      <c r="AA199" t="s">
        <v>134</v>
      </c>
      <c r="AB199" s="1"/>
      <c r="AC199" t="s">
        <v>48</v>
      </c>
      <c r="AD199" t="s">
        <v>48</v>
      </c>
      <c r="AE199" t="s">
        <v>48</v>
      </c>
      <c r="AF199" t="s">
        <v>48</v>
      </c>
      <c r="AG199">
        <v>0</v>
      </c>
      <c r="AH199" t="s">
        <v>49</v>
      </c>
    </row>
    <row r="200" spans="1:34" x14ac:dyDescent="0.3">
      <c r="A200" t="s">
        <v>487</v>
      </c>
      <c r="B200" t="s">
        <v>479</v>
      </c>
      <c r="C200" t="s">
        <v>169</v>
      </c>
      <c r="D200" t="s">
        <v>104</v>
      </c>
      <c r="E200" s="1">
        <v>45845</v>
      </c>
      <c r="F200" s="1">
        <v>46065</v>
      </c>
      <c r="G200" t="s">
        <v>81</v>
      </c>
      <c r="H200">
        <v>7550</v>
      </c>
      <c r="I200" t="s">
        <v>65</v>
      </c>
      <c r="J200" t="b">
        <v>0</v>
      </c>
      <c r="K200">
        <v>220</v>
      </c>
      <c r="L200">
        <v>2</v>
      </c>
      <c r="M200">
        <v>2026</v>
      </c>
      <c r="N200">
        <v>3</v>
      </c>
      <c r="O200">
        <v>7</v>
      </c>
      <c r="P200">
        <v>2025</v>
      </c>
      <c r="Q200">
        <v>0</v>
      </c>
      <c r="R200" t="s">
        <v>40</v>
      </c>
      <c r="S200" t="s">
        <v>55</v>
      </c>
      <c r="T200" t="s">
        <v>42</v>
      </c>
      <c r="U200" t="s">
        <v>66</v>
      </c>
      <c r="V200" t="s">
        <v>170</v>
      </c>
      <c r="W200" t="s">
        <v>171</v>
      </c>
      <c r="X200" t="s">
        <v>126</v>
      </c>
      <c r="Y200">
        <v>90</v>
      </c>
      <c r="Z200" t="s">
        <v>107</v>
      </c>
      <c r="AA200" t="s">
        <v>108</v>
      </c>
      <c r="AB200" s="1">
        <v>46065</v>
      </c>
      <c r="AC200" t="s">
        <v>40</v>
      </c>
      <c r="AD200" t="s">
        <v>40</v>
      </c>
      <c r="AE200" t="s">
        <v>60</v>
      </c>
      <c r="AF200" t="s">
        <v>40</v>
      </c>
      <c r="AG200">
        <v>0</v>
      </c>
      <c r="AH200" t="s">
        <v>142</v>
      </c>
    </row>
    <row r="201" spans="1:34" x14ac:dyDescent="0.3">
      <c r="A201" t="s">
        <v>488</v>
      </c>
      <c r="B201" t="s">
        <v>489</v>
      </c>
      <c r="C201" t="s">
        <v>146</v>
      </c>
      <c r="D201" t="s">
        <v>53</v>
      </c>
      <c r="E201" s="1">
        <v>46061</v>
      </c>
      <c r="F201" s="1">
        <v>46161</v>
      </c>
      <c r="G201" t="s">
        <v>38</v>
      </c>
      <c r="H201">
        <v>3993</v>
      </c>
      <c r="I201" t="s">
        <v>54</v>
      </c>
      <c r="J201" t="b">
        <v>0</v>
      </c>
      <c r="K201">
        <v>100</v>
      </c>
      <c r="L201">
        <v>5</v>
      </c>
      <c r="M201">
        <v>2026</v>
      </c>
      <c r="N201">
        <v>1</v>
      </c>
      <c r="O201">
        <v>2</v>
      </c>
      <c r="P201">
        <v>2026</v>
      </c>
      <c r="Q201">
        <v>6</v>
      </c>
      <c r="R201" t="s">
        <v>40</v>
      </c>
      <c r="S201" t="s">
        <v>67</v>
      </c>
      <c r="T201" t="s">
        <v>42</v>
      </c>
      <c r="U201" t="s">
        <v>40</v>
      </c>
      <c r="V201" t="s">
        <v>147</v>
      </c>
      <c r="W201" t="s">
        <v>148</v>
      </c>
      <c r="X201" t="s">
        <v>45</v>
      </c>
      <c r="Y201">
        <v>160</v>
      </c>
      <c r="Z201" t="s">
        <v>58</v>
      </c>
      <c r="AA201" t="s">
        <v>59</v>
      </c>
      <c r="AB201" s="1">
        <v>46161</v>
      </c>
      <c r="AC201" t="s">
        <v>40</v>
      </c>
      <c r="AD201" t="s">
        <v>40</v>
      </c>
      <c r="AE201" t="s">
        <v>69</v>
      </c>
      <c r="AF201" t="s">
        <v>40</v>
      </c>
      <c r="AG201">
        <v>1</v>
      </c>
      <c r="AH201" t="s">
        <v>49</v>
      </c>
    </row>
    <row r="202" spans="1:34" x14ac:dyDescent="0.3">
      <c r="A202" t="s">
        <v>490</v>
      </c>
      <c r="B202" t="s">
        <v>491</v>
      </c>
      <c r="C202" t="s">
        <v>103</v>
      </c>
      <c r="D202" t="s">
        <v>80</v>
      </c>
      <c r="E202" s="1">
        <v>45761</v>
      </c>
      <c r="F202" s="1">
        <v>45775</v>
      </c>
      <c r="G202" t="s">
        <v>81</v>
      </c>
      <c r="H202">
        <v>8442</v>
      </c>
      <c r="I202" t="s">
        <v>39</v>
      </c>
      <c r="J202" t="b">
        <v>0</v>
      </c>
      <c r="K202">
        <v>14</v>
      </c>
      <c r="L202">
        <v>4</v>
      </c>
      <c r="M202">
        <v>2025</v>
      </c>
      <c r="N202">
        <v>0</v>
      </c>
      <c r="O202">
        <v>4</v>
      </c>
      <c r="P202">
        <v>2025</v>
      </c>
      <c r="Q202">
        <v>0</v>
      </c>
      <c r="R202" t="s">
        <v>40</v>
      </c>
      <c r="S202" t="s">
        <v>45</v>
      </c>
      <c r="T202" t="s">
        <v>286</v>
      </c>
      <c r="U202" t="s">
        <v>40</v>
      </c>
      <c r="V202" t="s">
        <v>105</v>
      </c>
      <c r="W202" t="s">
        <v>106</v>
      </c>
      <c r="X202" t="s">
        <v>45</v>
      </c>
      <c r="Y202">
        <v>140</v>
      </c>
      <c r="Z202" t="s">
        <v>84</v>
      </c>
      <c r="AA202" t="s">
        <v>85</v>
      </c>
      <c r="AB202" s="1">
        <v>45775</v>
      </c>
      <c r="AC202" t="s">
        <v>40</v>
      </c>
      <c r="AD202" t="s">
        <v>40</v>
      </c>
      <c r="AE202" t="s">
        <v>69</v>
      </c>
      <c r="AF202" t="s">
        <v>40</v>
      </c>
      <c r="AG202">
        <v>0</v>
      </c>
      <c r="AH202" t="s">
        <v>70</v>
      </c>
    </row>
    <row r="203" spans="1:34" x14ac:dyDescent="0.3">
      <c r="A203" t="s">
        <v>492</v>
      </c>
      <c r="B203" t="s">
        <v>389</v>
      </c>
      <c r="C203" t="s">
        <v>103</v>
      </c>
      <c r="D203" t="s">
        <v>90</v>
      </c>
      <c r="E203" s="1">
        <v>46087</v>
      </c>
      <c r="F203" s="1">
        <v>46147</v>
      </c>
      <c r="G203" t="s">
        <v>81</v>
      </c>
      <c r="H203">
        <v>8790</v>
      </c>
      <c r="I203" t="s">
        <v>39</v>
      </c>
      <c r="J203" t="b">
        <v>0</v>
      </c>
      <c r="K203">
        <v>60</v>
      </c>
      <c r="L203">
        <v>5</v>
      </c>
      <c r="M203">
        <v>2026</v>
      </c>
      <c r="N203">
        <v>1</v>
      </c>
      <c r="O203">
        <v>3</v>
      </c>
      <c r="P203">
        <v>2026</v>
      </c>
      <c r="Q203">
        <v>4</v>
      </c>
      <c r="R203" t="s">
        <v>40</v>
      </c>
      <c r="S203" t="s">
        <v>55</v>
      </c>
      <c r="T203" t="s">
        <v>139</v>
      </c>
      <c r="U203" t="s">
        <v>40</v>
      </c>
      <c r="V203" t="s">
        <v>105</v>
      </c>
      <c r="W203" t="s">
        <v>106</v>
      </c>
      <c r="X203" t="s">
        <v>45</v>
      </c>
      <c r="Y203">
        <v>140</v>
      </c>
      <c r="Z203" t="s">
        <v>93</v>
      </c>
      <c r="AA203" t="s">
        <v>94</v>
      </c>
      <c r="AB203" s="1">
        <v>46147</v>
      </c>
      <c r="AC203" t="s">
        <v>40</v>
      </c>
      <c r="AD203" t="s">
        <v>40</v>
      </c>
      <c r="AE203" t="s">
        <v>69</v>
      </c>
      <c r="AF203" t="s">
        <v>40</v>
      </c>
      <c r="AG203">
        <v>0</v>
      </c>
      <c r="AH203" t="s">
        <v>61</v>
      </c>
    </row>
    <row r="204" spans="1:34" x14ac:dyDescent="0.3">
      <c r="A204" t="s">
        <v>493</v>
      </c>
      <c r="B204" t="s">
        <v>494</v>
      </c>
      <c r="C204" t="s">
        <v>36</v>
      </c>
      <c r="D204" t="s">
        <v>37</v>
      </c>
      <c r="E204" s="1">
        <v>45934</v>
      </c>
      <c r="F204" s="1">
        <v>45994</v>
      </c>
      <c r="G204" t="s">
        <v>41</v>
      </c>
      <c r="H204">
        <v>6937</v>
      </c>
      <c r="I204" t="s">
        <v>39</v>
      </c>
      <c r="J204" t="b">
        <v>0</v>
      </c>
      <c r="K204">
        <v>60</v>
      </c>
      <c r="L204">
        <v>12</v>
      </c>
      <c r="M204">
        <v>2025</v>
      </c>
      <c r="N204">
        <v>2</v>
      </c>
      <c r="O204">
        <v>10</v>
      </c>
      <c r="P204">
        <v>2025</v>
      </c>
      <c r="Q204">
        <v>5</v>
      </c>
      <c r="R204" t="s">
        <v>40</v>
      </c>
      <c r="S204" t="s">
        <v>41</v>
      </c>
      <c r="T204" t="s">
        <v>42</v>
      </c>
      <c r="U204" t="s">
        <v>66</v>
      </c>
      <c r="V204" t="s">
        <v>43</v>
      </c>
      <c r="W204" t="s">
        <v>44</v>
      </c>
      <c r="X204" t="s">
        <v>45</v>
      </c>
      <c r="Y204">
        <v>150</v>
      </c>
      <c r="Z204" t="s">
        <v>46</v>
      </c>
      <c r="AA204" t="s">
        <v>47</v>
      </c>
      <c r="AB204" s="1">
        <v>45994</v>
      </c>
      <c r="AC204" t="s">
        <v>40</v>
      </c>
      <c r="AD204" t="s">
        <v>40</v>
      </c>
      <c r="AE204" t="s">
        <v>69</v>
      </c>
      <c r="AF204" t="s">
        <v>40</v>
      </c>
      <c r="AG204">
        <v>0</v>
      </c>
      <c r="AH204" t="s">
        <v>61</v>
      </c>
    </row>
    <row r="205" spans="1:34" x14ac:dyDescent="0.3">
      <c r="A205" t="s">
        <v>495</v>
      </c>
      <c r="B205" t="s">
        <v>496</v>
      </c>
      <c r="C205" t="s">
        <v>146</v>
      </c>
      <c r="D205" t="s">
        <v>80</v>
      </c>
      <c r="E205" s="1">
        <v>45981</v>
      </c>
      <c r="F205" s="1">
        <v>46041</v>
      </c>
      <c r="G205" t="s">
        <v>81</v>
      </c>
      <c r="H205">
        <v>6890</v>
      </c>
      <c r="I205" t="s">
        <v>39</v>
      </c>
      <c r="J205" t="b">
        <v>0</v>
      </c>
      <c r="K205">
        <v>60</v>
      </c>
      <c r="L205">
        <v>1</v>
      </c>
      <c r="M205">
        <v>2026</v>
      </c>
      <c r="N205">
        <v>0</v>
      </c>
      <c r="O205">
        <v>11</v>
      </c>
      <c r="P205">
        <v>2025</v>
      </c>
      <c r="Q205">
        <v>3</v>
      </c>
      <c r="R205" t="s">
        <v>40</v>
      </c>
      <c r="S205" t="s">
        <v>67</v>
      </c>
      <c r="T205" t="s">
        <v>68</v>
      </c>
      <c r="U205" t="s">
        <v>66</v>
      </c>
      <c r="V205" t="s">
        <v>147</v>
      </c>
      <c r="W205" t="s">
        <v>148</v>
      </c>
      <c r="X205" t="s">
        <v>45</v>
      </c>
      <c r="Y205">
        <v>160</v>
      </c>
      <c r="Z205" t="s">
        <v>84</v>
      </c>
      <c r="AA205" t="s">
        <v>85</v>
      </c>
      <c r="AB205" s="1">
        <v>46041</v>
      </c>
      <c r="AC205" t="s">
        <v>40</v>
      </c>
      <c r="AD205" t="s">
        <v>40</v>
      </c>
      <c r="AE205" t="s">
        <v>86</v>
      </c>
      <c r="AF205" t="s">
        <v>40</v>
      </c>
      <c r="AG205">
        <v>0</v>
      </c>
      <c r="AH205" t="s">
        <v>61</v>
      </c>
    </row>
    <row r="206" spans="1:34" x14ac:dyDescent="0.3">
      <c r="A206" t="s">
        <v>497</v>
      </c>
      <c r="B206" t="s">
        <v>498</v>
      </c>
      <c r="C206" t="s">
        <v>122</v>
      </c>
      <c r="D206" t="s">
        <v>37</v>
      </c>
      <c r="E206" s="1">
        <v>45756</v>
      </c>
      <c r="F206" s="1">
        <v>45770</v>
      </c>
      <c r="G206" t="s">
        <v>81</v>
      </c>
      <c r="H206">
        <v>11090</v>
      </c>
      <c r="I206" t="s">
        <v>39</v>
      </c>
      <c r="J206" t="b">
        <v>0</v>
      </c>
      <c r="K206">
        <v>14</v>
      </c>
      <c r="L206">
        <v>4</v>
      </c>
      <c r="M206">
        <v>2025</v>
      </c>
      <c r="N206">
        <v>2</v>
      </c>
      <c r="O206">
        <v>4</v>
      </c>
      <c r="P206">
        <v>2025</v>
      </c>
      <c r="Q206">
        <v>2</v>
      </c>
      <c r="R206" t="s">
        <v>40</v>
      </c>
      <c r="S206" t="s">
        <v>41</v>
      </c>
      <c r="T206" t="s">
        <v>42</v>
      </c>
      <c r="U206" t="s">
        <v>40</v>
      </c>
      <c r="V206" t="s">
        <v>124</v>
      </c>
      <c r="W206" t="s">
        <v>125</v>
      </c>
      <c r="X206" t="s">
        <v>126</v>
      </c>
      <c r="Y206">
        <v>85</v>
      </c>
      <c r="Z206" t="s">
        <v>46</v>
      </c>
      <c r="AA206" t="s">
        <v>47</v>
      </c>
      <c r="AB206" s="1">
        <v>45770</v>
      </c>
      <c r="AC206" t="s">
        <v>40</v>
      </c>
      <c r="AD206" t="s">
        <v>40</v>
      </c>
      <c r="AE206" t="s">
        <v>69</v>
      </c>
      <c r="AF206" t="s">
        <v>40</v>
      </c>
      <c r="AG206">
        <v>0</v>
      </c>
      <c r="AH206" t="s">
        <v>70</v>
      </c>
    </row>
    <row r="207" spans="1:34" x14ac:dyDescent="0.3">
      <c r="A207" t="s">
        <v>499</v>
      </c>
      <c r="B207" t="s">
        <v>500</v>
      </c>
      <c r="C207" t="s">
        <v>79</v>
      </c>
      <c r="D207" t="s">
        <v>37</v>
      </c>
      <c r="E207" s="1">
        <v>46278</v>
      </c>
      <c r="F207" s="1">
        <v>46285</v>
      </c>
      <c r="G207" t="s">
        <v>38</v>
      </c>
      <c r="H207">
        <v>4831</v>
      </c>
      <c r="I207" t="s">
        <v>39</v>
      </c>
      <c r="J207" t="b">
        <v>0</v>
      </c>
      <c r="K207">
        <v>7</v>
      </c>
      <c r="L207">
        <v>9</v>
      </c>
      <c r="M207">
        <v>2026</v>
      </c>
      <c r="N207">
        <v>6</v>
      </c>
      <c r="O207">
        <v>9</v>
      </c>
      <c r="P207">
        <v>2026</v>
      </c>
      <c r="Q207">
        <v>6</v>
      </c>
      <c r="R207" t="s">
        <v>66</v>
      </c>
      <c r="S207" t="s">
        <v>41</v>
      </c>
      <c r="T207" t="s">
        <v>42</v>
      </c>
      <c r="U207" t="s">
        <v>40</v>
      </c>
      <c r="V207" t="s">
        <v>82</v>
      </c>
      <c r="W207" t="s">
        <v>83</v>
      </c>
      <c r="X207" t="s">
        <v>76</v>
      </c>
      <c r="Y207">
        <v>100</v>
      </c>
      <c r="Z207" t="s">
        <v>46</v>
      </c>
      <c r="AA207" t="s">
        <v>47</v>
      </c>
      <c r="AB207" s="1">
        <v>46285</v>
      </c>
      <c r="AC207" t="s">
        <v>66</v>
      </c>
      <c r="AD207" t="s">
        <v>40</v>
      </c>
      <c r="AE207" t="s">
        <v>60</v>
      </c>
      <c r="AF207" t="s">
        <v>40</v>
      </c>
      <c r="AG207">
        <v>0</v>
      </c>
      <c r="AH207" t="s">
        <v>100</v>
      </c>
    </row>
    <row r="208" spans="1:34" x14ac:dyDescent="0.3">
      <c r="A208" t="s">
        <v>501</v>
      </c>
      <c r="B208" t="s">
        <v>154</v>
      </c>
      <c r="C208" t="s">
        <v>169</v>
      </c>
      <c r="D208" t="s">
        <v>104</v>
      </c>
      <c r="E208" s="1">
        <v>46304</v>
      </c>
      <c r="F208" s="1">
        <v>46454</v>
      </c>
      <c r="G208" t="s">
        <v>38</v>
      </c>
      <c r="H208">
        <v>5841</v>
      </c>
      <c r="I208" t="s">
        <v>54</v>
      </c>
      <c r="J208" t="b">
        <v>0</v>
      </c>
      <c r="K208">
        <v>150</v>
      </c>
      <c r="L208">
        <v>3</v>
      </c>
      <c r="M208">
        <v>2027</v>
      </c>
      <c r="N208">
        <v>0</v>
      </c>
      <c r="O208">
        <v>10</v>
      </c>
      <c r="P208">
        <v>2026</v>
      </c>
      <c r="Q208">
        <v>4</v>
      </c>
      <c r="R208" t="s">
        <v>40</v>
      </c>
      <c r="S208" t="s">
        <v>55</v>
      </c>
      <c r="T208" t="s">
        <v>42</v>
      </c>
      <c r="U208" t="s">
        <v>40</v>
      </c>
      <c r="V208" t="s">
        <v>170</v>
      </c>
      <c r="W208" t="s">
        <v>171</v>
      </c>
      <c r="X208" t="s">
        <v>126</v>
      </c>
      <c r="Y208">
        <v>90</v>
      </c>
      <c r="Z208" t="s">
        <v>107</v>
      </c>
      <c r="AA208" t="s">
        <v>108</v>
      </c>
      <c r="AB208" s="1"/>
      <c r="AC208" t="s">
        <v>48</v>
      </c>
      <c r="AD208" t="s">
        <v>48</v>
      </c>
      <c r="AE208" t="s">
        <v>48</v>
      </c>
      <c r="AF208" t="s">
        <v>48</v>
      </c>
      <c r="AG208">
        <v>1</v>
      </c>
      <c r="AH208" t="s">
        <v>49</v>
      </c>
    </row>
    <row r="209" spans="1:34" x14ac:dyDescent="0.3">
      <c r="A209" t="s">
        <v>502</v>
      </c>
      <c r="B209" t="s">
        <v>230</v>
      </c>
      <c r="C209" t="s">
        <v>73</v>
      </c>
      <c r="D209" t="s">
        <v>53</v>
      </c>
      <c r="E209" s="1">
        <v>45982</v>
      </c>
      <c r="F209" s="1">
        <v>46012</v>
      </c>
      <c r="G209" t="s">
        <v>81</v>
      </c>
      <c r="H209">
        <v>8722</v>
      </c>
      <c r="I209" t="s">
        <v>39</v>
      </c>
      <c r="J209" t="b">
        <v>0</v>
      </c>
      <c r="K209">
        <v>30</v>
      </c>
      <c r="L209">
        <v>12</v>
      </c>
      <c r="M209">
        <v>2025</v>
      </c>
      <c r="N209">
        <v>6</v>
      </c>
      <c r="O209">
        <v>11</v>
      </c>
      <c r="P209">
        <v>2025</v>
      </c>
      <c r="Q209">
        <v>4</v>
      </c>
      <c r="R209" t="s">
        <v>66</v>
      </c>
      <c r="S209" t="s">
        <v>45</v>
      </c>
      <c r="T209" t="s">
        <v>68</v>
      </c>
      <c r="U209" t="s">
        <v>66</v>
      </c>
      <c r="V209" t="s">
        <v>74</v>
      </c>
      <c r="W209" t="s">
        <v>75</v>
      </c>
      <c r="X209" t="s">
        <v>76</v>
      </c>
      <c r="Y209">
        <v>75</v>
      </c>
      <c r="Z209" t="s">
        <v>58</v>
      </c>
      <c r="AA209" t="s">
        <v>59</v>
      </c>
      <c r="AB209" s="1">
        <v>46012</v>
      </c>
      <c r="AC209" t="s">
        <v>66</v>
      </c>
      <c r="AD209" t="s">
        <v>40</v>
      </c>
      <c r="AE209" t="s">
        <v>69</v>
      </c>
      <c r="AF209" t="s">
        <v>40</v>
      </c>
      <c r="AG209">
        <v>0</v>
      </c>
      <c r="AH209" t="s">
        <v>70</v>
      </c>
    </row>
    <row r="210" spans="1:34" x14ac:dyDescent="0.3">
      <c r="A210" t="s">
        <v>503</v>
      </c>
      <c r="B210" t="s">
        <v>241</v>
      </c>
      <c r="C210" t="s">
        <v>146</v>
      </c>
      <c r="D210" t="s">
        <v>104</v>
      </c>
      <c r="E210" s="1">
        <v>46081</v>
      </c>
      <c r="F210" s="1">
        <v>46084</v>
      </c>
      <c r="G210" t="s">
        <v>64</v>
      </c>
      <c r="H210">
        <v>3690</v>
      </c>
      <c r="I210" t="s">
        <v>39</v>
      </c>
      <c r="J210" t="b">
        <v>0</v>
      </c>
      <c r="K210">
        <v>3</v>
      </c>
      <c r="L210">
        <v>3</v>
      </c>
      <c r="M210">
        <v>2026</v>
      </c>
      <c r="N210">
        <v>1</v>
      </c>
      <c r="O210">
        <v>2</v>
      </c>
      <c r="P210">
        <v>2026</v>
      </c>
      <c r="Q210">
        <v>5</v>
      </c>
      <c r="R210" t="s">
        <v>40</v>
      </c>
      <c r="S210" t="s">
        <v>45</v>
      </c>
      <c r="T210" t="s">
        <v>113</v>
      </c>
      <c r="U210" t="s">
        <v>66</v>
      </c>
      <c r="V210" t="s">
        <v>147</v>
      </c>
      <c r="W210" t="s">
        <v>148</v>
      </c>
      <c r="X210" t="s">
        <v>45</v>
      </c>
      <c r="Y210">
        <v>160</v>
      </c>
      <c r="Z210" t="s">
        <v>107</v>
      </c>
      <c r="AA210" t="s">
        <v>108</v>
      </c>
      <c r="AB210" s="1">
        <v>46084</v>
      </c>
      <c r="AC210" t="s">
        <v>40</v>
      </c>
      <c r="AD210" t="s">
        <v>40</v>
      </c>
      <c r="AE210" t="s">
        <v>60</v>
      </c>
      <c r="AF210" t="s">
        <v>40</v>
      </c>
      <c r="AG210">
        <v>0</v>
      </c>
      <c r="AH210" t="s">
        <v>100</v>
      </c>
    </row>
    <row r="211" spans="1:34" x14ac:dyDescent="0.3">
      <c r="A211" t="s">
        <v>504</v>
      </c>
      <c r="B211" t="s">
        <v>505</v>
      </c>
      <c r="C211" t="s">
        <v>103</v>
      </c>
      <c r="D211" t="s">
        <v>130</v>
      </c>
      <c r="E211" s="1">
        <v>45755</v>
      </c>
      <c r="F211" s="1">
        <v>45756</v>
      </c>
      <c r="G211" t="s">
        <v>41</v>
      </c>
      <c r="H211">
        <v>7146</v>
      </c>
      <c r="I211" t="s">
        <v>54</v>
      </c>
      <c r="J211" t="b">
        <v>0</v>
      </c>
      <c r="K211">
        <v>1</v>
      </c>
      <c r="L211">
        <v>4</v>
      </c>
      <c r="M211">
        <v>2025</v>
      </c>
      <c r="N211">
        <v>2</v>
      </c>
      <c r="O211">
        <v>4</v>
      </c>
      <c r="P211">
        <v>2025</v>
      </c>
      <c r="Q211">
        <v>1</v>
      </c>
      <c r="R211" t="s">
        <v>40</v>
      </c>
      <c r="S211" t="s">
        <v>55</v>
      </c>
      <c r="T211" t="s">
        <v>42</v>
      </c>
      <c r="U211" t="s">
        <v>40</v>
      </c>
      <c r="V211" t="s">
        <v>105</v>
      </c>
      <c r="W211" t="s">
        <v>106</v>
      </c>
      <c r="X211" t="s">
        <v>45</v>
      </c>
      <c r="Y211">
        <v>140</v>
      </c>
      <c r="Z211" t="s">
        <v>133</v>
      </c>
      <c r="AA211" t="s">
        <v>134</v>
      </c>
      <c r="AB211" s="1">
        <v>45756</v>
      </c>
      <c r="AC211" t="s">
        <v>40</v>
      </c>
      <c r="AD211" t="s">
        <v>40</v>
      </c>
      <c r="AE211" t="s">
        <v>69</v>
      </c>
      <c r="AF211" t="s">
        <v>40</v>
      </c>
      <c r="AG211">
        <v>1</v>
      </c>
      <c r="AH211" t="s">
        <v>100</v>
      </c>
    </row>
    <row r="212" spans="1:34" x14ac:dyDescent="0.3">
      <c r="A212" t="s">
        <v>506</v>
      </c>
      <c r="B212" t="s">
        <v>507</v>
      </c>
      <c r="C212" t="s">
        <v>155</v>
      </c>
      <c r="D212" t="s">
        <v>90</v>
      </c>
      <c r="E212" s="1">
        <v>45744</v>
      </c>
      <c r="F212" s="1">
        <v>45774</v>
      </c>
      <c r="G212" t="s">
        <v>41</v>
      </c>
      <c r="H212">
        <v>6815</v>
      </c>
      <c r="I212" t="s">
        <v>65</v>
      </c>
      <c r="J212" t="b">
        <v>0</v>
      </c>
      <c r="K212">
        <v>30</v>
      </c>
      <c r="L212">
        <v>4</v>
      </c>
      <c r="M212">
        <v>2025</v>
      </c>
      <c r="N212">
        <v>6</v>
      </c>
      <c r="O212">
        <v>3</v>
      </c>
      <c r="P212">
        <v>2025</v>
      </c>
      <c r="Q212">
        <v>4</v>
      </c>
      <c r="R212" t="s">
        <v>66</v>
      </c>
      <c r="S212" t="s">
        <v>45</v>
      </c>
      <c r="T212" t="s">
        <v>42</v>
      </c>
      <c r="U212" t="s">
        <v>40</v>
      </c>
      <c r="V212" t="s">
        <v>156</v>
      </c>
      <c r="W212" t="s">
        <v>157</v>
      </c>
      <c r="X212" t="s">
        <v>158</v>
      </c>
      <c r="Y212">
        <v>70</v>
      </c>
      <c r="Z212" t="s">
        <v>93</v>
      </c>
      <c r="AA212" t="s">
        <v>94</v>
      </c>
      <c r="AB212" s="1">
        <v>45774</v>
      </c>
      <c r="AC212" t="s">
        <v>66</v>
      </c>
      <c r="AD212" t="s">
        <v>40</v>
      </c>
      <c r="AE212" t="s">
        <v>69</v>
      </c>
      <c r="AF212" t="s">
        <v>40</v>
      </c>
      <c r="AG212">
        <v>0</v>
      </c>
      <c r="AH212" t="s">
        <v>70</v>
      </c>
    </row>
    <row r="213" spans="1:34" x14ac:dyDescent="0.3">
      <c r="A213" t="s">
        <v>508</v>
      </c>
      <c r="B213" t="s">
        <v>509</v>
      </c>
      <c r="C213" t="s">
        <v>52</v>
      </c>
      <c r="D213" t="s">
        <v>37</v>
      </c>
      <c r="E213" s="1">
        <v>46023</v>
      </c>
      <c r="F213" s="1">
        <v>46123</v>
      </c>
      <c r="G213" t="s">
        <v>81</v>
      </c>
      <c r="H213">
        <v>8731</v>
      </c>
      <c r="I213" t="s">
        <v>65</v>
      </c>
      <c r="J213" t="b">
        <v>0</v>
      </c>
      <c r="K213">
        <v>100</v>
      </c>
      <c r="L213">
        <v>4</v>
      </c>
      <c r="M213">
        <v>2026</v>
      </c>
      <c r="N213">
        <v>5</v>
      </c>
      <c r="O213">
        <v>1</v>
      </c>
      <c r="P213">
        <v>2026</v>
      </c>
      <c r="Q213">
        <v>3</v>
      </c>
      <c r="R213" t="s">
        <v>66</v>
      </c>
      <c r="S213" t="s">
        <v>45</v>
      </c>
      <c r="T213" t="s">
        <v>42</v>
      </c>
      <c r="U213" t="s">
        <v>66</v>
      </c>
      <c r="V213" t="s">
        <v>56</v>
      </c>
      <c r="W213" t="s">
        <v>57</v>
      </c>
      <c r="X213" t="s">
        <v>45</v>
      </c>
      <c r="Y213">
        <v>120</v>
      </c>
      <c r="Z213" t="s">
        <v>46</v>
      </c>
      <c r="AA213" t="s">
        <v>47</v>
      </c>
      <c r="AB213" s="1">
        <v>46123</v>
      </c>
      <c r="AC213" t="s">
        <v>66</v>
      </c>
      <c r="AD213" t="s">
        <v>40</v>
      </c>
      <c r="AE213" t="s">
        <v>69</v>
      </c>
      <c r="AF213" t="s">
        <v>40</v>
      </c>
      <c r="AG213">
        <v>0</v>
      </c>
      <c r="AH213" t="s">
        <v>49</v>
      </c>
    </row>
    <row r="214" spans="1:34" x14ac:dyDescent="0.3">
      <c r="A214" t="s">
        <v>510</v>
      </c>
      <c r="B214" t="s">
        <v>511</v>
      </c>
      <c r="C214" t="s">
        <v>155</v>
      </c>
      <c r="D214" t="s">
        <v>80</v>
      </c>
      <c r="E214" s="1">
        <v>46125</v>
      </c>
      <c r="F214" s="1">
        <v>46155</v>
      </c>
      <c r="G214" t="s">
        <v>41</v>
      </c>
      <c r="H214">
        <v>8722</v>
      </c>
      <c r="I214" t="s">
        <v>65</v>
      </c>
      <c r="J214" t="b">
        <v>0</v>
      </c>
      <c r="K214">
        <v>30</v>
      </c>
      <c r="L214">
        <v>5</v>
      </c>
      <c r="M214">
        <v>2026</v>
      </c>
      <c r="N214">
        <v>2</v>
      </c>
      <c r="O214">
        <v>4</v>
      </c>
      <c r="P214">
        <v>2026</v>
      </c>
      <c r="Q214">
        <v>0</v>
      </c>
      <c r="R214" t="s">
        <v>40</v>
      </c>
      <c r="S214" t="s">
        <v>55</v>
      </c>
      <c r="T214" t="s">
        <v>42</v>
      </c>
      <c r="U214" t="s">
        <v>40</v>
      </c>
      <c r="V214" t="s">
        <v>156</v>
      </c>
      <c r="W214" t="s">
        <v>157</v>
      </c>
      <c r="X214" t="s">
        <v>158</v>
      </c>
      <c r="Y214">
        <v>70</v>
      </c>
      <c r="Z214" t="s">
        <v>84</v>
      </c>
      <c r="AA214" t="s">
        <v>85</v>
      </c>
      <c r="AB214" s="1">
        <v>46155</v>
      </c>
      <c r="AC214" t="s">
        <v>40</v>
      </c>
      <c r="AD214" t="s">
        <v>40</v>
      </c>
      <c r="AE214" t="s">
        <v>69</v>
      </c>
      <c r="AF214" t="s">
        <v>40</v>
      </c>
      <c r="AG214">
        <v>0</v>
      </c>
      <c r="AH214" t="s">
        <v>70</v>
      </c>
    </row>
    <row r="215" spans="1:34" x14ac:dyDescent="0.3">
      <c r="A215" t="s">
        <v>512</v>
      </c>
      <c r="B215" t="s">
        <v>513</v>
      </c>
      <c r="C215" t="s">
        <v>169</v>
      </c>
      <c r="D215" t="s">
        <v>53</v>
      </c>
      <c r="E215" s="1">
        <v>46080</v>
      </c>
      <c r="F215" s="1">
        <v>46087</v>
      </c>
      <c r="G215" t="s">
        <v>81</v>
      </c>
      <c r="H215">
        <v>7616</v>
      </c>
      <c r="I215" t="s">
        <v>65</v>
      </c>
      <c r="J215" t="b">
        <v>0</v>
      </c>
      <c r="K215">
        <v>7</v>
      </c>
      <c r="L215">
        <v>3</v>
      </c>
      <c r="M215">
        <v>2026</v>
      </c>
      <c r="N215">
        <v>4</v>
      </c>
      <c r="O215">
        <v>2</v>
      </c>
      <c r="P215">
        <v>2026</v>
      </c>
      <c r="Q215">
        <v>4</v>
      </c>
      <c r="R215" t="s">
        <v>40</v>
      </c>
      <c r="S215" t="s">
        <v>55</v>
      </c>
      <c r="T215" t="s">
        <v>42</v>
      </c>
      <c r="U215" t="s">
        <v>40</v>
      </c>
      <c r="V215" t="s">
        <v>170</v>
      </c>
      <c r="W215" t="s">
        <v>171</v>
      </c>
      <c r="X215" t="s">
        <v>126</v>
      </c>
      <c r="Y215">
        <v>90</v>
      </c>
      <c r="Z215" t="s">
        <v>58</v>
      </c>
      <c r="AA215" t="s">
        <v>59</v>
      </c>
      <c r="AB215" s="1">
        <v>46087</v>
      </c>
      <c r="AC215" t="s">
        <v>40</v>
      </c>
      <c r="AD215" t="s">
        <v>40</v>
      </c>
      <c r="AE215" t="s">
        <v>60</v>
      </c>
      <c r="AF215" t="s">
        <v>40</v>
      </c>
      <c r="AG215">
        <v>0</v>
      </c>
      <c r="AH215" t="s">
        <v>100</v>
      </c>
    </row>
    <row r="216" spans="1:34" x14ac:dyDescent="0.3">
      <c r="A216" t="s">
        <v>514</v>
      </c>
      <c r="B216" t="s">
        <v>515</v>
      </c>
      <c r="C216" t="s">
        <v>122</v>
      </c>
      <c r="D216" t="s">
        <v>53</v>
      </c>
      <c r="E216" s="1">
        <v>45667</v>
      </c>
      <c r="F216" s="1">
        <v>45727</v>
      </c>
      <c r="G216" t="s">
        <v>81</v>
      </c>
      <c r="H216">
        <v>10990</v>
      </c>
      <c r="I216" t="s">
        <v>39</v>
      </c>
      <c r="J216" t="b">
        <v>0</v>
      </c>
      <c r="K216">
        <v>60</v>
      </c>
      <c r="L216">
        <v>3</v>
      </c>
      <c r="M216">
        <v>2025</v>
      </c>
      <c r="N216">
        <v>1</v>
      </c>
      <c r="O216">
        <v>1</v>
      </c>
      <c r="P216">
        <v>2025</v>
      </c>
      <c r="Q216">
        <v>4</v>
      </c>
      <c r="R216" t="s">
        <v>40</v>
      </c>
      <c r="S216" t="s">
        <v>45</v>
      </c>
      <c r="T216" t="s">
        <v>42</v>
      </c>
      <c r="U216" t="s">
        <v>40</v>
      </c>
      <c r="V216" t="s">
        <v>124</v>
      </c>
      <c r="W216" t="s">
        <v>125</v>
      </c>
      <c r="X216" t="s">
        <v>126</v>
      </c>
      <c r="Y216">
        <v>85</v>
      </c>
      <c r="Z216" t="s">
        <v>58</v>
      </c>
      <c r="AA216" t="s">
        <v>59</v>
      </c>
      <c r="AB216" s="1">
        <v>45727</v>
      </c>
      <c r="AC216" t="s">
        <v>40</v>
      </c>
      <c r="AD216" t="s">
        <v>40</v>
      </c>
      <c r="AE216" t="s">
        <v>60</v>
      </c>
      <c r="AF216" t="s">
        <v>40</v>
      </c>
      <c r="AG216">
        <v>0</v>
      </c>
      <c r="AH216" t="s">
        <v>61</v>
      </c>
    </row>
    <row r="217" spans="1:34" x14ac:dyDescent="0.3">
      <c r="A217" t="s">
        <v>516</v>
      </c>
      <c r="B217" t="s">
        <v>517</v>
      </c>
      <c r="C217" t="s">
        <v>97</v>
      </c>
      <c r="D217" t="s">
        <v>37</v>
      </c>
      <c r="E217" s="1">
        <v>46319</v>
      </c>
      <c r="F217" s="1">
        <v>46333</v>
      </c>
      <c r="G217" t="s">
        <v>41</v>
      </c>
      <c r="H217">
        <v>7561</v>
      </c>
      <c r="I217" t="s">
        <v>65</v>
      </c>
      <c r="J217" t="b">
        <v>0</v>
      </c>
      <c r="K217">
        <v>14</v>
      </c>
      <c r="L217">
        <v>11</v>
      </c>
      <c r="M217">
        <v>2026</v>
      </c>
      <c r="N217">
        <v>5</v>
      </c>
      <c r="O217">
        <v>10</v>
      </c>
      <c r="P217">
        <v>2026</v>
      </c>
      <c r="Q217">
        <v>5</v>
      </c>
      <c r="R217" t="s">
        <v>66</v>
      </c>
      <c r="S217" t="s">
        <v>67</v>
      </c>
      <c r="T217" t="s">
        <v>42</v>
      </c>
      <c r="U217" t="s">
        <v>40</v>
      </c>
      <c r="V217" t="s">
        <v>98</v>
      </c>
      <c r="W217" t="s">
        <v>99</v>
      </c>
      <c r="X217" t="s">
        <v>76</v>
      </c>
      <c r="Y217">
        <v>80</v>
      </c>
      <c r="Z217" t="s">
        <v>46</v>
      </c>
      <c r="AA217" t="s">
        <v>47</v>
      </c>
      <c r="AB217" s="1">
        <v>46333</v>
      </c>
      <c r="AC217" t="s">
        <v>66</v>
      </c>
      <c r="AD217" t="s">
        <v>40</v>
      </c>
      <c r="AE217" t="s">
        <v>86</v>
      </c>
      <c r="AF217" t="s">
        <v>40</v>
      </c>
      <c r="AG217">
        <v>0</v>
      </c>
      <c r="AH217" t="s">
        <v>70</v>
      </c>
    </row>
    <row r="218" spans="1:34" x14ac:dyDescent="0.3">
      <c r="A218" t="s">
        <v>518</v>
      </c>
      <c r="B218" t="s">
        <v>519</v>
      </c>
      <c r="C218" t="s">
        <v>169</v>
      </c>
      <c r="D218" t="s">
        <v>37</v>
      </c>
      <c r="E218" s="1">
        <v>46202</v>
      </c>
      <c r="F218" s="1">
        <v>46262</v>
      </c>
      <c r="G218" t="s">
        <v>41</v>
      </c>
      <c r="H218">
        <v>5559</v>
      </c>
      <c r="I218" t="s">
        <v>39</v>
      </c>
      <c r="J218" t="b">
        <v>0</v>
      </c>
      <c r="K218">
        <v>60</v>
      </c>
      <c r="L218">
        <v>8</v>
      </c>
      <c r="M218">
        <v>2026</v>
      </c>
      <c r="N218">
        <v>4</v>
      </c>
      <c r="O218">
        <v>6</v>
      </c>
      <c r="P218">
        <v>2026</v>
      </c>
      <c r="Q218">
        <v>0</v>
      </c>
      <c r="R218" t="s">
        <v>40</v>
      </c>
      <c r="S218" t="s">
        <v>41</v>
      </c>
      <c r="T218" t="s">
        <v>42</v>
      </c>
      <c r="U218" t="s">
        <v>40</v>
      </c>
      <c r="V218" t="s">
        <v>170</v>
      </c>
      <c r="W218" t="s">
        <v>171</v>
      </c>
      <c r="X218" t="s">
        <v>126</v>
      </c>
      <c r="Y218">
        <v>90</v>
      </c>
      <c r="Z218" t="s">
        <v>46</v>
      </c>
      <c r="AA218" t="s">
        <v>47</v>
      </c>
      <c r="AB218" s="1">
        <v>46262</v>
      </c>
      <c r="AC218" t="s">
        <v>40</v>
      </c>
      <c r="AD218" t="s">
        <v>40</v>
      </c>
      <c r="AE218" t="s">
        <v>86</v>
      </c>
      <c r="AF218" t="s">
        <v>40</v>
      </c>
      <c r="AG218">
        <v>0</v>
      </c>
      <c r="AH218" t="s">
        <v>61</v>
      </c>
    </row>
    <row r="219" spans="1:34" x14ac:dyDescent="0.3">
      <c r="A219" t="s">
        <v>520</v>
      </c>
      <c r="B219" t="s">
        <v>519</v>
      </c>
      <c r="C219" t="s">
        <v>89</v>
      </c>
      <c r="D219" t="s">
        <v>80</v>
      </c>
      <c r="E219" s="1">
        <v>46161</v>
      </c>
      <c r="F219" s="1">
        <v>46168</v>
      </c>
      <c r="G219" t="s">
        <v>64</v>
      </c>
      <c r="H219">
        <v>2301</v>
      </c>
      <c r="I219" t="s">
        <v>39</v>
      </c>
      <c r="J219" t="b">
        <v>0</v>
      </c>
      <c r="K219">
        <v>7</v>
      </c>
      <c r="L219">
        <v>5</v>
      </c>
      <c r="M219">
        <v>2026</v>
      </c>
      <c r="N219">
        <v>1</v>
      </c>
      <c r="O219">
        <v>5</v>
      </c>
      <c r="P219">
        <v>2026</v>
      </c>
      <c r="Q219">
        <v>1</v>
      </c>
      <c r="R219" t="s">
        <v>40</v>
      </c>
      <c r="S219" t="s">
        <v>41</v>
      </c>
      <c r="T219" t="s">
        <v>42</v>
      </c>
      <c r="U219" t="s">
        <v>40</v>
      </c>
      <c r="V219" t="s">
        <v>91</v>
      </c>
      <c r="W219" t="s">
        <v>92</v>
      </c>
      <c r="X219" t="s">
        <v>76</v>
      </c>
      <c r="Y219">
        <v>65</v>
      </c>
      <c r="Z219" t="s">
        <v>84</v>
      </c>
      <c r="AA219" t="s">
        <v>85</v>
      </c>
      <c r="AB219" s="1">
        <v>46168</v>
      </c>
      <c r="AC219" t="s">
        <v>40</v>
      </c>
      <c r="AD219" t="s">
        <v>40</v>
      </c>
      <c r="AE219" t="s">
        <v>69</v>
      </c>
      <c r="AF219" t="s">
        <v>40</v>
      </c>
      <c r="AG219">
        <v>0</v>
      </c>
      <c r="AH219" t="s">
        <v>100</v>
      </c>
    </row>
    <row r="220" spans="1:34" x14ac:dyDescent="0.3">
      <c r="A220" t="s">
        <v>521</v>
      </c>
      <c r="B220" t="s">
        <v>191</v>
      </c>
      <c r="C220" t="s">
        <v>89</v>
      </c>
      <c r="D220" t="s">
        <v>130</v>
      </c>
      <c r="E220" s="1">
        <v>45896</v>
      </c>
      <c r="F220" s="1">
        <v>45899</v>
      </c>
      <c r="G220" t="s">
        <v>64</v>
      </c>
      <c r="H220">
        <v>2644</v>
      </c>
      <c r="I220" t="s">
        <v>39</v>
      </c>
      <c r="J220" t="b">
        <v>0</v>
      </c>
      <c r="K220">
        <v>3</v>
      </c>
      <c r="L220">
        <v>8</v>
      </c>
      <c r="M220">
        <v>2025</v>
      </c>
      <c r="N220">
        <v>5</v>
      </c>
      <c r="O220">
        <v>8</v>
      </c>
      <c r="P220">
        <v>2025</v>
      </c>
      <c r="Q220">
        <v>2</v>
      </c>
      <c r="R220" t="s">
        <v>66</v>
      </c>
      <c r="S220" t="s">
        <v>41</v>
      </c>
      <c r="T220" t="s">
        <v>42</v>
      </c>
      <c r="U220" t="s">
        <v>40</v>
      </c>
      <c r="V220" t="s">
        <v>91</v>
      </c>
      <c r="W220" t="s">
        <v>92</v>
      </c>
      <c r="X220" t="s">
        <v>76</v>
      </c>
      <c r="Y220">
        <v>65</v>
      </c>
      <c r="Z220" t="s">
        <v>133</v>
      </c>
      <c r="AA220" t="s">
        <v>134</v>
      </c>
      <c r="AB220" s="1">
        <v>45899</v>
      </c>
      <c r="AC220" t="s">
        <v>66</v>
      </c>
      <c r="AD220" t="s">
        <v>40</v>
      </c>
      <c r="AE220" t="s">
        <v>86</v>
      </c>
      <c r="AF220" t="s">
        <v>40</v>
      </c>
      <c r="AG220">
        <v>0</v>
      </c>
      <c r="AH220" t="s">
        <v>100</v>
      </c>
    </row>
    <row r="221" spans="1:34" x14ac:dyDescent="0.3">
      <c r="A221" t="s">
        <v>522</v>
      </c>
      <c r="B221" t="s">
        <v>523</v>
      </c>
      <c r="C221" t="s">
        <v>79</v>
      </c>
      <c r="D221" t="s">
        <v>130</v>
      </c>
      <c r="E221" s="1">
        <v>45807</v>
      </c>
      <c r="F221" s="1">
        <v>45808</v>
      </c>
      <c r="G221" t="s">
        <v>41</v>
      </c>
      <c r="H221">
        <v>5787</v>
      </c>
      <c r="I221" t="s">
        <v>39</v>
      </c>
      <c r="J221" t="b">
        <v>0</v>
      </c>
      <c r="K221">
        <v>1</v>
      </c>
      <c r="L221">
        <v>5</v>
      </c>
      <c r="M221">
        <v>2025</v>
      </c>
      <c r="N221">
        <v>5</v>
      </c>
      <c r="O221">
        <v>5</v>
      </c>
      <c r="P221">
        <v>2025</v>
      </c>
      <c r="Q221">
        <v>4</v>
      </c>
      <c r="R221" t="s">
        <v>66</v>
      </c>
      <c r="S221" t="s">
        <v>67</v>
      </c>
      <c r="T221" t="s">
        <v>42</v>
      </c>
      <c r="U221" t="s">
        <v>40</v>
      </c>
      <c r="V221" t="s">
        <v>82</v>
      </c>
      <c r="W221" t="s">
        <v>83</v>
      </c>
      <c r="X221" t="s">
        <v>76</v>
      </c>
      <c r="Y221">
        <v>100</v>
      </c>
      <c r="Z221" t="s">
        <v>133</v>
      </c>
      <c r="AA221" t="s">
        <v>134</v>
      </c>
      <c r="AB221" s="1">
        <v>45808</v>
      </c>
      <c r="AC221" t="s">
        <v>66</v>
      </c>
      <c r="AD221" t="s">
        <v>40</v>
      </c>
      <c r="AE221" t="s">
        <v>69</v>
      </c>
      <c r="AF221" t="s">
        <v>40</v>
      </c>
      <c r="AG221">
        <v>0</v>
      </c>
      <c r="AH221" t="s">
        <v>100</v>
      </c>
    </row>
    <row r="222" spans="1:34" x14ac:dyDescent="0.3">
      <c r="A222" t="s">
        <v>524</v>
      </c>
      <c r="B222" t="s">
        <v>239</v>
      </c>
      <c r="C222" t="s">
        <v>36</v>
      </c>
      <c r="D222" t="s">
        <v>37</v>
      </c>
      <c r="E222" s="1">
        <v>45912</v>
      </c>
      <c r="F222" s="1">
        <v>45926</v>
      </c>
      <c r="G222" t="s">
        <v>41</v>
      </c>
      <c r="H222">
        <v>6887</v>
      </c>
      <c r="I222" t="s">
        <v>54</v>
      </c>
      <c r="J222" t="b">
        <v>0</v>
      </c>
      <c r="K222">
        <v>14</v>
      </c>
      <c r="L222">
        <v>9</v>
      </c>
      <c r="M222">
        <v>2025</v>
      </c>
      <c r="N222">
        <v>4</v>
      </c>
      <c r="O222">
        <v>9</v>
      </c>
      <c r="P222">
        <v>2025</v>
      </c>
      <c r="Q222">
        <v>4</v>
      </c>
      <c r="R222" t="s">
        <v>40</v>
      </c>
      <c r="S222" t="s">
        <v>41</v>
      </c>
      <c r="T222" t="s">
        <v>42</v>
      </c>
      <c r="U222" t="s">
        <v>40</v>
      </c>
      <c r="V222" t="s">
        <v>43</v>
      </c>
      <c r="W222" t="s">
        <v>44</v>
      </c>
      <c r="X222" t="s">
        <v>45</v>
      </c>
      <c r="Y222">
        <v>150</v>
      </c>
      <c r="Z222" t="s">
        <v>46</v>
      </c>
      <c r="AA222" t="s">
        <v>47</v>
      </c>
      <c r="AB222" s="1">
        <v>45926</v>
      </c>
      <c r="AC222" t="s">
        <v>40</v>
      </c>
      <c r="AD222" t="s">
        <v>40</v>
      </c>
      <c r="AE222" t="s">
        <v>60</v>
      </c>
      <c r="AF222" t="s">
        <v>40</v>
      </c>
      <c r="AG222">
        <v>1</v>
      </c>
      <c r="AH222" t="s">
        <v>70</v>
      </c>
    </row>
    <row r="223" spans="1:34" x14ac:dyDescent="0.3">
      <c r="A223" t="s">
        <v>525</v>
      </c>
      <c r="B223" t="s">
        <v>526</v>
      </c>
      <c r="C223" t="s">
        <v>122</v>
      </c>
      <c r="D223" t="s">
        <v>104</v>
      </c>
      <c r="E223" s="1">
        <v>46355</v>
      </c>
      <c r="F223" s="1">
        <v>46505</v>
      </c>
      <c r="G223" t="s">
        <v>81</v>
      </c>
      <c r="H223">
        <v>11002</v>
      </c>
      <c r="I223" t="s">
        <v>39</v>
      </c>
      <c r="J223" t="b">
        <v>0</v>
      </c>
      <c r="K223">
        <v>150</v>
      </c>
      <c r="L223">
        <v>4</v>
      </c>
      <c r="M223">
        <v>2027</v>
      </c>
      <c r="N223">
        <v>2</v>
      </c>
      <c r="O223">
        <v>11</v>
      </c>
      <c r="P223">
        <v>2026</v>
      </c>
      <c r="Q223">
        <v>6</v>
      </c>
      <c r="R223" t="s">
        <v>40</v>
      </c>
      <c r="S223" t="s">
        <v>55</v>
      </c>
      <c r="T223" t="s">
        <v>48</v>
      </c>
      <c r="U223" t="s">
        <v>40</v>
      </c>
      <c r="V223" t="s">
        <v>124</v>
      </c>
      <c r="W223" t="s">
        <v>125</v>
      </c>
      <c r="X223" t="s">
        <v>126</v>
      </c>
      <c r="Y223">
        <v>85</v>
      </c>
      <c r="Z223" t="s">
        <v>107</v>
      </c>
      <c r="AA223" t="s">
        <v>108</v>
      </c>
      <c r="AB223" s="1"/>
      <c r="AC223" t="s">
        <v>48</v>
      </c>
      <c r="AD223" t="s">
        <v>48</v>
      </c>
      <c r="AE223" t="s">
        <v>48</v>
      </c>
      <c r="AF223" t="s">
        <v>48</v>
      </c>
      <c r="AG223">
        <v>0</v>
      </c>
      <c r="AH223" t="s">
        <v>49</v>
      </c>
    </row>
    <row r="224" spans="1:34" x14ac:dyDescent="0.3">
      <c r="A224" t="s">
        <v>527</v>
      </c>
      <c r="B224" t="s">
        <v>162</v>
      </c>
      <c r="C224" t="s">
        <v>52</v>
      </c>
      <c r="D224" t="s">
        <v>37</v>
      </c>
      <c r="E224" s="1">
        <v>45881</v>
      </c>
      <c r="F224" s="1">
        <v>46101</v>
      </c>
      <c r="G224" t="s">
        <v>38</v>
      </c>
      <c r="H224">
        <v>3561</v>
      </c>
      <c r="I224" t="s">
        <v>54</v>
      </c>
      <c r="J224" t="b">
        <v>0</v>
      </c>
      <c r="K224">
        <v>220</v>
      </c>
      <c r="L224">
        <v>3</v>
      </c>
      <c r="M224">
        <v>2026</v>
      </c>
      <c r="N224">
        <v>4</v>
      </c>
      <c r="O224">
        <v>8</v>
      </c>
      <c r="P224">
        <v>2025</v>
      </c>
      <c r="Q224">
        <v>1</v>
      </c>
      <c r="R224" t="s">
        <v>40</v>
      </c>
      <c r="S224" t="s">
        <v>67</v>
      </c>
      <c r="T224" t="s">
        <v>42</v>
      </c>
      <c r="U224" t="s">
        <v>40</v>
      </c>
      <c r="V224" t="s">
        <v>56</v>
      </c>
      <c r="W224" t="s">
        <v>57</v>
      </c>
      <c r="X224" t="s">
        <v>45</v>
      </c>
      <c r="Y224">
        <v>120</v>
      </c>
      <c r="Z224" t="s">
        <v>46</v>
      </c>
      <c r="AA224" t="s">
        <v>47</v>
      </c>
      <c r="AB224" s="1">
        <v>46101</v>
      </c>
      <c r="AC224" t="s">
        <v>40</v>
      </c>
      <c r="AD224" t="s">
        <v>40</v>
      </c>
      <c r="AE224" t="s">
        <v>60</v>
      </c>
      <c r="AF224" t="s">
        <v>40</v>
      </c>
      <c r="AG224">
        <v>1</v>
      </c>
      <c r="AH224" t="s">
        <v>142</v>
      </c>
    </row>
    <row r="225" spans="1:34" x14ac:dyDescent="0.3">
      <c r="A225" t="s">
        <v>528</v>
      </c>
      <c r="B225" t="s">
        <v>177</v>
      </c>
      <c r="C225" t="s">
        <v>52</v>
      </c>
      <c r="D225" t="s">
        <v>130</v>
      </c>
      <c r="E225" s="1">
        <v>46253</v>
      </c>
      <c r="F225" s="1">
        <v>46313</v>
      </c>
      <c r="G225" t="s">
        <v>41</v>
      </c>
      <c r="H225">
        <v>6018</v>
      </c>
      <c r="I225" t="s">
        <v>54</v>
      </c>
      <c r="J225" t="b">
        <v>0</v>
      </c>
      <c r="K225">
        <v>60</v>
      </c>
      <c r="L225">
        <v>10</v>
      </c>
      <c r="M225">
        <v>2026</v>
      </c>
      <c r="N225">
        <v>6</v>
      </c>
      <c r="O225">
        <v>8</v>
      </c>
      <c r="P225">
        <v>2026</v>
      </c>
      <c r="Q225">
        <v>2</v>
      </c>
      <c r="R225" t="s">
        <v>66</v>
      </c>
      <c r="S225" t="s">
        <v>55</v>
      </c>
      <c r="T225" t="s">
        <v>68</v>
      </c>
      <c r="U225" t="s">
        <v>40</v>
      </c>
      <c r="V225" t="s">
        <v>56</v>
      </c>
      <c r="W225" t="s">
        <v>57</v>
      </c>
      <c r="X225" t="s">
        <v>45</v>
      </c>
      <c r="Y225">
        <v>120</v>
      </c>
      <c r="Z225" t="s">
        <v>133</v>
      </c>
      <c r="AA225" t="s">
        <v>134</v>
      </c>
      <c r="AB225" s="1">
        <v>46313</v>
      </c>
      <c r="AC225" t="s">
        <v>66</v>
      </c>
      <c r="AD225" t="s">
        <v>40</v>
      </c>
      <c r="AE225" t="s">
        <v>60</v>
      </c>
      <c r="AF225" t="s">
        <v>40</v>
      </c>
      <c r="AG225">
        <v>1</v>
      </c>
      <c r="AH225" t="s">
        <v>61</v>
      </c>
    </row>
    <row r="226" spans="1:34" x14ac:dyDescent="0.3">
      <c r="A226" t="s">
        <v>529</v>
      </c>
      <c r="B226" t="s">
        <v>391</v>
      </c>
      <c r="C226" t="s">
        <v>79</v>
      </c>
      <c r="D226" t="s">
        <v>37</v>
      </c>
      <c r="E226" s="1">
        <v>45719</v>
      </c>
      <c r="F226" s="1">
        <v>45720</v>
      </c>
      <c r="G226" t="s">
        <v>38</v>
      </c>
      <c r="H226">
        <v>3939</v>
      </c>
      <c r="I226" t="s">
        <v>65</v>
      </c>
      <c r="J226" t="b">
        <v>0</v>
      </c>
      <c r="K226">
        <v>1</v>
      </c>
      <c r="L226">
        <v>3</v>
      </c>
      <c r="M226">
        <v>2025</v>
      </c>
      <c r="N226">
        <v>1</v>
      </c>
      <c r="O226">
        <v>3</v>
      </c>
      <c r="P226">
        <v>2025</v>
      </c>
      <c r="Q226">
        <v>0</v>
      </c>
      <c r="R226" t="s">
        <v>40</v>
      </c>
      <c r="S226" t="s">
        <v>55</v>
      </c>
      <c r="T226" t="s">
        <v>42</v>
      </c>
      <c r="U226" t="s">
        <v>40</v>
      </c>
      <c r="V226" t="s">
        <v>82</v>
      </c>
      <c r="W226" t="s">
        <v>83</v>
      </c>
      <c r="X226" t="s">
        <v>76</v>
      </c>
      <c r="Y226">
        <v>100</v>
      </c>
      <c r="Z226" t="s">
        <v>46</v>
      </c>
      <c r="AA226" t="s">
        <v>47</v>
      </c>
      <c r="AB226" s="1">
        <v>45720</v>
      </c>
      <c r="AC226" t="s">
        <v>40</v>
      </c>
      <c r="AD226" t="s">
        <v>40</v>
      </c>
      <c r="AE226" t="s">
        <v>60</v>
      </c>
      <c r="AF226" t="s">
        <v>40</v>
      </c>
      <c r="AG226">
        <v>0</v>
      </c>
      <c r="AH226" t="s">
        <v>100</v>
      </c>
    </row>
    <row r="227" spans="1:34" x14ac:dyDescent="0.3">
      <c r="A227" t="s">
        <v>530</v>
      </c>
      <c r="B227" t="s">
        <v>531</v>
      </c>
      <c r="C227" t="s">
        <v>122</v>
      </c>
      <c r="D227" t="s">
        <v>37</v>
      </c>
      <c r="E227" s="1">
        <v>45855</v>
      </c>
      <c r="F227" s="1">
        <v>45856</v>
      </c>
      <c r="G227" t="s">
        <v>41</v>
      </c>
      <c r="H227">
        <v>8680</v>
      </c>
      <c r="I227" t="s">
        <v>39</v>
      </c>
      <c r="J227" t="b">
        <v>0</v>
      </c>
      <c r="K227">
        <v>1</v>
      </c>
      <c r="L227">
        <v>7</v>
      </c>
      <c r="M227">
        <v>2025</v>
      </c>
      <c r="N227">
        <v>4</v>
      </c>
      <c r="O227">
        <v>7</v>
      </c>
      <c r="P227">
        <v>2025</v>
      </c>
      <c r="Q227">
        <v>3</v>
      </c>
      <c r="R227" t="s">
        <v>40</v>
      </c>
      <c r="S227" t="s">
        <v>55</v>
      </c>
      <c r="T227" t="s">
        <v>42</v>
      </c>
      <c r="U227" t="s">
        <v>40</v>
      </c>
      <c r="V227" t="s">
        <v>124</v>
      </c>
      <c r="W227" t="s">
        <v>125</v>
      </c>
      <c r="X227" t="s">
        <v>126</v>
      </c>
      <c r="Y227">
        <v>85</v>
      </c>
      <c r="Z227" t="s">
        <v>46</v>
      </c>
      <c r="AA227" t="s">
        <v>47</v>
      </c>
      <c r="AB227" s="1">
        <v>45856</v>
      </c>
      <c r="AC227" t="s">
        <v>40</v>
      </c>
      <c r="AD227" t="s">
        <v>40</v>
      </c>
      <c r="AE227" t="s">
        <v>86</v>
      </c>
      <c r="AF227" t="s">
        <v>40</v>
      </c>
      <c r="AG227">
        <v>0</v>
      </c>
      <c r="AH227" t="s">
        <v>100</v>
      </c>
    </row>
    <row r="228" spans="1:34" x14ac:dyDescent="0.3">
      <c r="A228" t="s">
        <v>532</v>
      </c>
      <c r="B228" t="s">
        <v>533</v>
      </c>
      <c r="C228" t="s">
        <v>89</v>
      </c>
      <c r="D228" t="s">
        <v>104</v>
      </c>
      <c r="E228" s="1">
        <v>45852</v>
      </c>
      <c r="F228" s="1">
        <v>45882</v>
      </c>
      <c r="G228" t="s">
        <v>81</v>
      </c>
      <c r="H228">
        <v>8755</v>
      </c>
      <c r="I228" t="s">
        <v>39</v>
      </c>
      <c r="J228" t="b">
        <v>0</v>
      </c>
      <c r="K228">
        <v>30</v>
      </c>
      <c r="L228">
        <v>8</v>
      </c>
      <c r="M228">
        <v>2025</v>
      </c>
      <c r="N228">
        <v>2</v>
      </c>
      <c r="O228">
        <v>7</v>
      </c>
      <c r="P228">
        <v>2025</v>
      </c>
      <c r="Q228">
        <v>0</v>
      </c>
      <c r="R228" t="s">
        <v>40</v>
      </c>
      <c r="S228" t="s">
        <v>67</v>
      </c>
      <c r="T228" t="s">
        <v>42</v>
      </c>
      <c r="U228" t="s">
        <v>40</v>
      </c>
      <c r="V228" t="s">
        <v>91</v>
      </c>
      <c r="W228" t="s">
        <v>92</v>
      </c>
      <c r="X228" t="s">
        <v>76</v>
      </c>
      <c r="Y228">
        <v>65</v>
      </c>
      <c r="Z228" t="s">
        <v>107</v>
      </c>
      <c r="AA228" t="s">
        <v>108</v>
      </c>
      <c r="AB228" s="1">
        <v>45882</v>
      </c>
      <c r="AC228" t="s">
        <v>40</v>
      </c>
      <c r="AD228" t="s">
        <v>40</v>
      </c>
      <c r="AE228" t="s">
        <v>86</v>
      </c>
      <c r="AF228" t="s">
        <v>40</v>
      </c>
      <c r="AG228">
        <v>0</v>
      </c>
      <c r="AH228" t="s">
        <v>70</v>
      </c>
    </row>
    <row r="229" spans="1:34" x14ac:dyDescent="0.3">
      <c r="A229" t="s">
        <v>534</v>
      </c>
      <c r="B229" t="s">
        <v>475</v>
      </c>
      <c r="C229" t="s">
        <v>146</v>
      </c>
      <c r="D229" t="s">
        <v>90</v>
      </c>
      <c r="E229" s="1">
        <v>46118</v>
      </c>
      <c r="F229" s="1">
        <v>46125</v>
      </c>
      <c r="G229" t="s">
        <v>81</v>
      </c>
      <c r="H229">
        <v>6505</v>
      </c>
      <c r="I229" t="s">
        <v>39</v>
      </c>
      <c r="J229" t="b">
        <v>0</v>
      </c>
      <c r="K229">
        <v>7</v>
      </c>
      <c r="L229">
        <v>4</v>
      </c>
      <c r="M229">
        <v>2026</v>
      </c>
      <c r="N229">
        <v>0</v>
      </c>
      <c r="O229">
        <v>4</v>
      </c>
      <c r="P229">
        <v>2026</v>
      </c>
      <c r="Q229">
        <v>0</v>
      </c>
      <c r="R229" t="s">
        <v>40</v>
      </c>
      <c r="S229" t="s">
        <v>55</v>
      </c>
      <c r="T229" t="s">
        <v>123</v>
      </c>
      <c r="U229" t="s">
        <v>40</v>
      </c>
      <c r="V229" t="s">
        <v>147</v>
      </c>
      <c r="W229" t="s">
        <v>148</v>
      </c>
      <c r="X229" t="s">
        <v>45</v>
      </c>
      <c r="Y229">
        <v>160</v>
      </c>
      <c r="Z229" t="s">
        <v>93</v>
      </c>
      <c r="AA229" t="s">
        <v>94</v>
      </c>
      <c r="AB229" s="1">
        <v>46125</v>
      </c>
      <c r="AC229" t="s">
        <v>40</v>
      </c>
      <c r="AD229" t="s">
        <v>40</v>
      </c>
      <c r="AE229" t="s">
        <v>69</v>
      </c>
      <c r="AF229" t="s">
        <v>40</v>
      </c>
      <c r="AG229">
        <v>0</v>
      </c>
      <c r="AH229" t="s">
        <v>100</v>
      </c>
    </row>
    <row r="230" spans="1:34" x14ac:dyDescent="0.3">
      <c r="A230" t="s">
        <v>535</v>
      </c>
      <c r="B230" t="s">
        <v>536</v>
      </c>
      <c r="C230" t="s">
        <v>155</v>
      </c>
      <c r="D230" t="s">
        <v>53</v>
      </c>
      <c r="E230" s="1">
        <v>46293</v>
      </c>
      <c r="F230" s="1">
        <v>46300</v>
      </c>
      <c r="G230" t="s">
        <v>64</v>
      </c>
      <c r="H230">
        <v>3877</v>
      </c>
      <c r="I230" t="s">
        <v>39</v>
      </c>
      <c r="J230" t="b">
        <v>0</v>
      </c>
      <c r="K230">
        <v>7</v>
      </c>
      <c r="L230">
        <v>10</v>
      </c>
      <c r="M230">
        <v>2026</v>
      </c>
      <c r="N230">
        <v>0</v>
      </c>
      <c r="O230">
        <v>9</v>
      </c>
      <c r="P230">
        <v>2026</v>
      </c>
      <c r="Q230">
        <v>0</v>
      </c>
      <c r="R230" t="s">
        <v>40</v>
      </c>
      <c r="S230" t="s">
        <v>41</v>
      </c>
      <c r="T230" t="s">
        <v>42</v>
      </c>
      <c r="U230" t="s">
        <v>40</v>
      </c>
      <c r="V230" t="s">
        <v>156</v>
      </c>
      <c r="W230" t="s">
        <v>157</v>
      </c>
      <c r="X230" t="s">
        <v>158</v>
      </c>
      <c r="Y230">
        <v>70</v>
      </c>
      <c r="Z230" t="s">
        <v>58</v>
      </c>
      <c r="AA230" t="s">
        <v>59</v>
      </c>
      <c r="AB230" s="1">
        <v>46300</v>
      </c>
      <c r="AC230" t="s">
        <v>40</v>
      </c>
      <c r="AD230" t="s">
        <v>40</v>
      </c>
      <c r="AE230" t="s">
        <v>60</v>
      </c>
      <c r="AF230" t="s">
        <v>40</v>
      </c>
      <c r="AG230">
        <v>0</v>
      </c>
      <c r="AH230" t="s">
        <v>100</v>
      </c>
    </row>
    <row r="231" spans="1:34" x14ac:dyDescent="0.3">
      <c r="A231" t="s">
        <v>537</v>
      </c>
      <c r="B231" t="s">
        <v>115</v>
      </c>
      <c r="C231" t="s">
        <v>79</v>
      </c>
      <c r="D231" t="s">
        <v>104</v>
      </c>
      <c r="E231" s="1">
        <v>46314</v>
      </c>
      <c r="F231" s="1">
        <v>46328</v>
      </c>
      <c r="G231" t="s">
        <v>64</v>
      </c>
      <c r="H231">
        <v>3549</v>
      </c>
      <c r="I231" t="s">
        <v>39</v>
      </c>
      <c r="J231" t="b">
        <v>0</v>
      </c>
      <c r="K231">
        <v>14</v>
      </c>
      <c r="L231">
        <v>11</v>
      </c>
      <c r="M231">
        <v>2026</v>
      </c>
      <c r="N231">
        <v>0</v>
      </c>
      <c r="O231">
        <v>10</v>
      </c>
      <c r="P231">
        <v>2026</v>
      </c>
      <c r="Q231">
        <v>0</v>
      </c>
      <c r="R231" t="s">
        <v>40</v>
      </c>
      <c r="S231" t="s">
        <v>55</v>
      </c>
      <c r="T231" t="s">
        <v>42</v>
      </c>
      <c r="U231" t="s">
        <v>40</v>
      </c>
      <c r="V231" t="s">
        <v>82</v>
      </c>
      <c r="W231" t="s">
        <v>83</v>
      </c>
      <c r="X231" t="s">
        <v>76</v>
      </c>
      <c r="Y231">
        <v>100</v>
      </c>
      <c r="Z231" t="s">
        <v>107</v>
      </c>
      <c r="AA231" t="s">
        <v>108</v>
      </c>
      <c r="AB231" s="1">
        <v>46328</v>
      </c>
      <c r="AC231" t="s">
        <v>40</v>
      </c>
      <c r="AD231" t="s">
        <v>40</v>
      </c>
      <c r="AE231" t="s">
        <v>86</v>
      </c>
      <c r="AF231" t="s">
        <v>40</v>
      </c>
      <c r="AG231">
        <v>0</v>
      </c>
      <c r="AH231" t="s">
        <v>70</v>
      </c>
    </row>
    <row r="232" spans="1:34" x14ac:dyDescent="0.3">
      <c r="A232" t="s">
        <v>538</v>
      </c>
      <c r="B232" t="s">
        <v>486</v>
      </c>
      <c r="C232" t="s">
        <v>122</v>
      </c>
      <c r="D232" t="s">
        <v>90</v>
      </c>
      <c r="E232" s="1">
        <v>45759</v>
      </c>
      <c r="F232" s="1">
        <v>45760</v>
      </c>
      <c r="G232" t="s">
        <v>41</v>
      </c>
      <c r="H232">
        <v>5201</v>
      </c>
      <c r="I232" t="s">
        <v>39</v>
      </c>
      <c r="J232" t="b">
        <v>0</v>
      </c>
      <c r="K232">
        <v>1</v>
      </c>
      <c r="L232">
        <v>4</v>
      </c>
      <c r="M232">
        <v>2025</v>
      </c>
      <c r="N232">
        <v>6</v>
      </c>
      <c r="O232">
        <v>4</v>
      </c>
      <c r="P232">
        <v>2025</v>
      </c>
      <c r="Q232">
        <v>5</v>
      </c>
      <c r="R232" t="s">
        <v>66</v>
      </c>
      <c r="S232" t="s">
        <v>67</v>
      </c>
      <c r="T232" t="s">
        <v>123</v>
      </c>
      <c r="U232" t="s">
        <v>40</v>
      </c>
      <c r="V232" t="s">
        <v>124</v>
      </c>
      <c r="W232" t="s">
        <v>125</v>
      </c>
      <c r="X232" t="s">
        <v>126</v>
      </c>
      <c r="Y232">
        <v>85</v>
      </c>
      <c r="Z232" t="s">
        <v>93</v>
      </c>
      <c r="AA232" t="s">
        <v>94</v>
      </c>
      <c r="AB232" s="1">
        <v>45760</v>
      </c>
      <c r="AC232" t="s">
        <v>66</v>
      </c>
      <c r="AD232" t="s">
        <v>40</v>
      </c>
      <c r="AE232" t="s">
        <v>69</v>
      </c>
      <c r="AF232" t="s">
        <v>40</v>
      </c>
      <c r="AG232">
        <v>0</v>
      </c>
      <c r="AH232" t="s">
        <v>100</v>
      </c>
    </row>
    <row r="233" spans="1:34" x14ac:dyDescent="0.3">
      <c r="A233" t="s">
        <v>539</v>
      </c>
      <c r="B233" t="s">
        <v>526</v>
      </c>
      <c r="C233" t="s">
        <v>129</v>
      </c>
      <c r="D233" t="s">
        <v>104</v>
      </c>
      <c r="E233" s="1">
        <v>45739</v>
      </c>
      <c r="F233" s="1">
        <v>45753</v>
      </c>
      <c r="G233" t="s">
        <v>64</v>
      </c>
      <c r="H233">
        <v>3342</v>
      </c>
      <c r="I233" t="s">
        <v>39</v>
      </c>
      <c r="J233" t="b">
        <v>0</v>
      </c>
      <c r="K233">
        <v>14</v>
      </c>
      <c r="L233">
        <v>4</v>
      </c>
      <c r="M233">
        <v>2025</v>
      </c>
      <c r="N233">
        <v>6</v>
      </c>
      <c r="O233">
        <v>3</v>
      </c>
      <c r="P233">
        <v>2025</v>
      </c>
      <c r="Q233">
        <v>6</v>
      </c>
      <c r="R233" t="s">
        <v>66</v>
      </c>
      <c r="S233" t="s">
        <v>55</v>
      </c>
      <c r="T233" t="s">
        <v>48</v>
      </c>
      <c r="U233" t="s">
        <v>40</v>
      </c>
      <c r="V233" t="s">
        <v>131</v>
      </c>
      <c r="W233" t="s">
        <v>132</v>
      </c>
      <c r="X233" t="s">
        <v>45</v>
      </c>
      <c r="Y233">
        <v>110</v>
      </c>
      <c r="Z233" t="s">
        <v>107</v>
      </c>
      <c r="AA233" t="s">
        <v>108</v>
      </c>
      <c r="AB233" s="1">
        <v>45753</v>
      </c>
      <c r="AC233" t="s">
        <v>66</v>
      </c>
      <c r="AD233" t="s">
        <v>40</v>
      </c>
      <c r="AE233" t="s">
        <v>69</v>
      </c>
      <c r="AF233" t="s">
        <v>40</v>
      </c>
      <c r="AG233">
        <v>0</v>
      </c>
      <c r="AH233" t="s">
        <v>70</v>
      </c>
    </row>
    <row r="234" spans="1:34" x14ac:dyDescent="0.3">
      <c r="A234" t="s">
        <v>540</v>
      </c>
      <c r="B234" t="s">
        <v>415</v>
      </c>
      <c r="C234" t="s">
        <v>89</v>
      </c>
      <c r="D234" t="s">
        <v>130</v>
      </c>
      <c r="E234" s="1">
        <v>45969</v>
      </c>
      <c r="F234" s="1">
        <v>45970</v>
      </c>
      <c r="G234" t="s">
        <v>38</v>
      </c>
      <c r="H234">
        <v>3914</v>
      </c>
      <c r="I234" t="s">
        <v>65</v>
      </c>
      <c r="J234" t="b">
        <v>0</v>
      </c>
      <c r="K234">
        <v>1</v>
      </c>
      <c r="L234">
        <v>11</v>
      </c>
      <c r="M234">
        <v>2025</v>
      </c>
      <c r="N234">
        <v>6</v>
      </c>
      <c r="O234">
        <v>11</v>
      </c>
      <c r="P234">
        <v>2025</v>
      </c>
      <c r="Q234">
        <v>5</v>
      </c>
      <c r="R234" t="s">
        <v>66</v>
      </c>
      <c r="S234" t="s">
        <v>45</v>
      </c>
      <c r="T234" t="s">
        <v>42</v>
      </c>
      <c r="U234" t="s">
        <v>40</v>
      </c>
      <c r="V234" t="s">
        <v>91</v>
      </c>
      <c r="W234" t="s">
        <v>92</v>
      </c>
      <c r="X234" t="s">
        <v>76</v>
      </c>
      <c r="Y234">
        <v>65</v>
      </c>
      <c r="Z234" t="s">
        <v>133</v>
      </c>
      <c r="AA234" t="s">
        <v>134</v>
      </c>
      <c r="AB234" s="1">
        <v>45970</v>
      </c>
      <c r="AC234" t="s">
        <v>66</v>
      </c>
      <c r="AD234" t="s">
        <v>40</v>
      </c>
      <c r="AE234" t="s">
        <v>86</v>
      </c>
      <c r="AF234" t="s">
        <v>40</v>
      </c>
      <c r="AG234">
        <v>0</v>
      </c>
      <c r="AH234" t="s">
        <v>100</v>
      </c>
    </row>
    <row r="235" spans="1:34" x14ac:dyDescent="0.3">
      <c r="A235" t="s">
        <v>541</v>
      </c>
      <c r="B235" t="s">
        <v>542</v>
      </c>
      <c r="C235" t="s">
        <v>129</v>
      </c>
      <c r="D235" t="s">
        <v>90</v>
      </c>
      <c r="E235" s="1">
        <v>46229</v>
      </c>
      <c r="F235" s="1">
        <v>46289</v>
      </c>
      <c r="G235" t="s">
        <v>41</v>
      </c>
      <c r="H235">
        <v>7762</v>
      </c>
      <c r="I235" t="s">
        <v>65</v>
      </c>
      <c r="J235" t="b">
        <v>0</v>
      </c>
      <c r="K235">
        <v>60</v>
      </c>
      <c r="L235">
        <v>9</v>
      </c>
      <c r="M235">
        <v>2026</v>
      </c>
      <c r="N235">
        <v>3</v>
      </c>
      <c r="O235">
        <v>7</v>
      </c>
      <c r="P235">
        <v>2026</v>
      </c>
      <c r="Q235">
        <v>6</v>
      </c>
      <c r="R235" t="s">
        <v>40</v>
      </c>
      <c r="S235" t="s">
        <v>55</v>
      </c>
      <c r="T235" t="s">
        <v>42</v>
      </c>
      <c r="U235" t="s">
        <v>40</v>
      </c>
      <c r="V235" t="s">
        <v>131</v>
      </c>
      <c r="W235" t="s">
        <v>132</v>
      </c>
      <c r="X235" t="s">
        <v>45</v>
      </c>
      <c r="Y235">
        <v>110</v>
      </c>
      <c r="Z235" t="s">
        <v>93</v>
      </c>
      <c r="AA235" t="s">
        <v>94</v>
      </c>
      <c r="AB235" s="1">
        <v>46289</v>
      </c>
      <c r="AC235" t="s">
        <v>40</v>
      </c>
      <c r="AD235" t="s">
        <v>40</v>
      </c>
      <c r="AE235" t="s">
        <v>60</v>
      </c>
      <c r="AF235" t="s">
        <v>40</v>
      </c>
      <c r="AG235">
        <v>0</v>
      </c>
      <c r="AH235" t="s">
        <v>61</v>
      </c>
    </row>
    <row r="236" spans="1:34" x14ac:dyDescent="0.3">
      <c r="A236" t="s">
        <v>543</v>
      </c>
      <c r="B236" t="s">
        <v>505</v>
      </c>
      <c r="C236" t="s">
        <v>97</v>
      </c>
      <c r="D236" t="s">
        <v>80</v>
      </c>
      <c r="E236" s="1">
        <v>46069</v>
      </c>
      <c r="F236" s="1">
        <v>46099</v>
      </c>
      <c r="G236" t="s">
        <v>38</v>
      </c>
      <c r="H236">
        <v>5314</v>
      </c>
      <c r="I236" t="s">
        <v>39</v>
      </c>
      <c r="J236" t="b">
        <v>0</v>
      </c>
      <c r="K236">
        <v>30</v>
      </c>
      <c r="L236">
        <v>3</v>
      </c>
      <c r="M236">
        <v>2026</v>
      </c>
      <c r="N236">
        <v>2</v>
      </c>
      <c r="O236">
        <v>2</v>
      </c>
      <c r="P236">
        <v>2026</v>
      </c>
      <c r="Q236">
        <v>0</v>
      </c>
      <c r="R236" t="s">
        <v>40</v>
      </c>
      <c r="S236" t="s">
        <v>55</v>
      </c>
      <c r="T236" t="s">
        <v>42</v>
      </c>
      <c r="U236" t="s">
        <v>40</v>
      </c>
      <c r="V236" t="s">
        <v>98</v>
      </c>
      <c r="W236" t="s">
        <v>99</v>
      </c>
      <c r="X236" t="s">
        <v>76</v>
      </c>
      <c r="Y236">
        <v>80</v>
      </c>
      <c r="Z236" t="s">
        <v>84</v>
      </c>
      <c r="AA236" t="s">
        <v>85</v>
      </c>
      <c r="AB236" s="1">
        <v>46099</v>
      </c>
      <c r="AC236" t="s">
        <v>40</v>
      </c>
      <c r="AD236" t="s">
        <v>40</v>
      </c>
      <c r="AE236" t="s">
        <v>60</v>
      </c>
      <c r="AF236" t="s">
        <v>40</v>
      </c>
      <c r="AG236">
        <v>0</v>
      </c>
      <c r="AH236" t="s">
        <v>70</v>
      </c>
    </row>
    <row r="237" spans="1:34" x14ac:dyDescent="0.3">
      <c r="A237" t="s">
        <v>544</v>
      </c>
      <c r="B237" t="s">
        <v>545</v>
      </c>
      <c r="C237" t="s">
        <v>103</v>
      </c>
      <c r="D237" t="s">
        <v>37</v>
      </c>
      <c r="E237" s="1">
        <v>46098</v>
      </c>
      <c r="F237" s="1">
        <v>46198</v>
      </c>
      <c r="G237" t="s">
        <v>81</v>
      </c>
      <c r="H237">
        <v>10969</v>
      </c>
      <c r="I237" t="s">
        <v>65</v>
      </c>
      <c r="J237" t="b">
        <v>0</v>
      </c>
      <c r="K237">
        <v>100</v>
      </c>
      <c r="L237">
        <v>6</v>
      </c>
      <c r="M237">
        <v>2026</v>
      </c>
      <c r="N237">
        <v>3</v>
      </c>
      <c r="O237">
        <v>3</v>
      </c>
      <c r="P237">
        <v>2026</v>
      </c>
      <c r="Q237">
        <v>1</v>
      </c>
      <c r="R237" t="s">
        <v>40</v>
      </c>
      <c r="S237" t="s">
        <v>41</v>
      </c>
      <c r="T237" t="s">
        <v>42</v>
      </c>
      <c r="U237" t="s">
        <v>40</v>
      </c>
      <c r="V237" t="s">
        <v>105</v>
      </c>
      <c r="W237" t="s">
        <v>106</v>
      </c>
      <c r="X237" t="s">
        <v>45</v>
      </c>
      <c r="Y237">
        <v>140</v>
      </c>
      <c r="Z237" t="s">
        <v>46</v>
      </c>
      <c r="AA237" t="s">
        <v>47</v>
      </c>
      <c r="AB237" s="1">
        <v>46198</v>
      </c>
      <c r="AC237" t="s">
        <v>40</v>
      </c>
      <c r="AD237" t="s">
        <v>40</v>
      </c>
      <c r="AE237" t="s">
        <v>60</v>
      </c>
      <c r="AF237" t="s">
        <v>40</v>
      </c>
      <c r="AG237">
        <v>0</v>
      </c>
      <c r="AH237" t="s">
        <v>49</v>
      </c>
    </row>
    <row r="238" spans="1:34" x14ac:dyDescent="0.3">
      <c r="A238" t="s">
        <v>546</v>
      </c>
      <c r="B238" t="s">
        <v>473</v>
      </c>
      <c r="C238" t="s">
        <v>122</v>
      </c>
      <c r="D238" t="s">
        <v>104</v>
      </c>
      <c r="E238" s="1">
        <v>46064</v>
      </c>
      <c r="F238" s="1">
        <v>46065</v>
      </c>
      <c r="G238" t="s">
        <v>64</v>
      </c>
      <c r="H238">
        <v>3420</v>
      </c>
      <c r="I238" t="s">
        <v>39</v>
      </c>
      <c r="J238" t="b">
        <v>0</v>
      </c>
      <c r="K238">
        <v>1</v>
      </c>
      <c r="L238">
        <v>2</v>
      </c>
      <c r="M238">
        <v>2026</v>
      </c>
      <c r="N238">
        <v>3</v>
      </c>
      <c r="O238">
        <v>2</v>
      </c>
      <c r="P238">
        <v>2026</v>
      </c>
      <c r="Q238">
        <v>2</v>
      </c>
      <c r="R238" t="s">
        <v>40</v>
      </c>
      <c r="S238" t="s">
        <v>41</v>
      </c>
      <c r="T238" t="s">
        <v>286</v>
      </c>
      <c r="U238" t="s">
        <v>40</v>
      </c>
      <c r="V238" t="s">
        <v>124</v>
      </c>
      <c r="W238" t="s">
        <v>125</v>
      </c>
      <c r="X238" t="s">
        <v>126</v>
      </c>
      <c r="Y238">
        <v>85</v>
      </c>
      <c r="Z238" t="s">
        <v>107</v>
      </c>
      <c r="AA238" t="s">
        <v>108</v>
      </c>
      <c r="AB238" s="1">
        <v>46065</v>
      </c>
      <c r="AC238" t="s">
        <v>40</v>
      </c>
      <c r="AD238" t="s">
        <v>40</v>
      </c>
      <c r="AE238" t="s">
        <v>60</v>
      </c>
      <c r="AF238" t="s">
        <v>40</v>
      </c>
      <c r="AG238">
        <v>0</v>
      </c>
      <c r="AH238" t="s">
        <v>100</v>
      </c>
    </row>
    <row r="239" spans="1:34" x14ac:dyDescent="0.3">
      <c r="A239" t="s">
        <v>547</v>
      </c>
      <c r="B239" t="s">
        <v>548</v>
      </c>
      <c r="C239" t="s">
        <v>73</v>
      </c>
      <c r="D239" t="s">
        <v>53</v>
      </c>
      <c r="E239" s="1">
        <v>45680</v>
      </c>
      <c r="F239" s="1">
        <v>45740</v>
      </c>
      <c r="G239" t="s">
        <v>81</v>
      </c>
      <c r="H239">
        <v>11174</v>
      </c>
      <c r="I239" t="s">
        <v>54</v>
      </c>
      <c r="J239" t="b">
        <v>0</v>
      </c>
      <c r="K239">
        <v>60</v>
      </c>
      <c r="L239">
        <v>3</v>
      </c>
      <c r="M239">
        <v>2025</v>
      </c>
      <c r="N239">
        <v>0</v>
      </c>
      <c r="O239">
        <v>1</v>
      </c>
      <c r="P239">
        <v>2025</v>
      </c>
      <c r="Q239">
        <v>3</v>
      </c>
      <c r="R239" t="s">
        <v>40</v>
      </c>
      <c r="S239" t="s">
        <v>55</v>
      </c>
      <c r="T239" t="s">
        <v>42</v>
      </c>
      <c r="U239" t="s">
        <v>66</v>
      </c>
      <c r="V239" t="s">
        <v>74</v>
      </c>
      <c r="W239" t="s">
        <v>75</v>
      </c>
      <c r="X239" t="s">
        <v>76</v>
      </c>
      <c r="Y239">
        <v>75</v>
      </c>
      <c r="Z239" t="s">
        <v>58</v>
      </c>
      <c r="AA239" t="s">
        <v>59</v>
      </c>
      <c r="AB239" s="1">
        <v>45740</v>
      </c>
      <c r="AC239" t="s">
        <v>40</v>
      </c>
      <c r="AD239" t="s">
        <v>40</v>
      </c>
      <c r="AE239" t="s">
        <v>60</v>
      </c>
      <c r="AF239" t="s">
        <v>40</v>
      </c>
      <c r="AG239">
        <v>1</v>
      </c>
      <c r="AH239" t="s">
        <v>61</v>
      </c>
    </row>
    <row r="240" spans="1:34" x14ac:dyDescent="0.3">
      <c r="A240" t="s">
        <v>549</v>
      </c>
      <c r="B240" t="s">
        <v>550</v>
      </c>
      <c r="C240" t="s">
        <v>79</v>
      </c>
      <c r="D240" t="s">
        <v>90</v>
      </c>
      <c r="E240" s="1">
        <v>45799</v>
      </c>
      <c r="F240" s="1">
        <v>45806</v>
      </c>
      <c r="G240" t="s">
        <v>38</v>
      </c>
      <c r="H240">
        <v>4730</v>
      </c>
      <c r="I240" t="s">
        <v>65</v>
      </c>
      <c r="J240" t="b">
        <v>0</v>
      </c>
      <c r="K240">
        <v>7</v>
      </c>
      <c r="L240">
        <v>5</v>
      </c>
      <c r="M240">
        <v>2025</v>
      </c>
      <c r="N240">
        <v>3</v>
      </c>
      <c r="O240">
        <v>5</v>
      </c>
      <c r="P240">
        <v>2025</v>
      </c>
      <c r="Q240">
        <v>3</v>
      </c>
      <c r="R240" t="s">
        <v>40</v>
      </c>
      <c r="S240" t="s">
        <v>45</v>
      </c>
      <c r="T240" t="s">
        <v>42</v>
      </c>
      <c r="U240" t="s">
        <v>40</v>
      </c>
      <c r="V240" t="s">
        <v>82</v>
      </c>
      <c r="W240" t="s">
        <v>83</v>
      </c>
      <c r="X240" t="s">
        <v>76</v>
      </c>
      <c r="Y240">
        <v>100</v>
      </c>
      <c r="Z240" t="s">
        <v>93</v>
      </c>
      <c r="AA240" t="s">
        <v>94</v>
      </c>
      <c r="AB240" s="1">
        <v>45806</v>
      </c>
      <c r="AC240" t="s">
        <v>40</v>
      </c>
      <c r="AD240" t="s">
        <v>40</v>
      </c>
      <c r="AE240" t="s">
        <v>69</v>
      </c>
      <c r="AF240" t="s">
        <v>40</v>
      </c>
      <c r="AG240">
        <v>0</v>
      </c>
      <c r="AH240" t="s">
        <v>100</v>
      </c>
    </row>
    <row r="241" spans="1:34" x14ac:dyDescent="0.3">
      <c r="A241" t="s">
        <v>551</v>
      </c>
      <c r="B241" t="s">
        <v>552</v>
      </c>
      <c r="C241" t="s">
        <v>122</v>
      </c>
      <c r="D241" t="s">
        <v>90</v>
      </c>
      <c r="E241" s="1">
        <v>46157</v>
      </c>
      <c r="F241" s="1">
        <v>46257</v>
      </c>
      <c r="G241" t="s">
        <v>64</v>
      </c>
      <c r="H241">
        <v>3515</v>
      </c>
      <c r="I241" t="s">
        <v>65</v>
      </c>
      <c r="J241" t="b">
        <v>0</v>
      </c>
      <c r="K241">
        <v>100</v>
      </c>
      <c r="L241">
        <v>8</v>
      </c>
      <c r="M241">
        <v>2026</v>
      </c>
      <c r="N241">
        <v>6</v>
      </c>
      <c r="O241">
        <v>5</v>
      </c>
      <c r="P241">
        <v>2026</v>
      </c>
      <c r="Q241">
        <v>4</v>
      </c>
      <c r="R241" t="s">
        <v>66</v>
      </c>
      <c r="S241" t="s">
        <v>55</v>
      </c>
      <c r="T241" t="s">
        <v>42</v>
      </c>
      <c r="U241" t="s">
        <v>40</v>
      </c>
      <c r="V241" t="s">
        <v>124</v>
      </c>
      <c r="W241" t="s">
        <v>125</v>
      </c>
      <c r="X241" t="s">
        <v>126</v>
      </c>
      <c r="Y241">
        <v>85</v>
      </c>
      <c r="Z241" t="s">
        <v>93</v>
      </c>
      <c r="AA241" t="s">
        <v>94</v>
      </c>
      <c r="AB241" s="1">
        <v>46257</v>
      </c>
      <c r="AC241" t="s">
        <v>66</v>
      </c>
      <c r="AD241" t="s">
        <v>40</v>
      </c>
      <c r="AE241" t="s">
        <v>86</v>
      </c>
      <c r="AF241" t="s">
        <v>40</v>
      </c>
      <c r="AG241">
        <v>0</v>
      </c>
      <c r="AH241" t="s">
        <v>49</v>
      </c>
    </row>
    <row r="242" spans="1:34" x14ac:dyDescent="0.3">
      <c r="A242" t="s">
        <v>553</v>
      </c>
      <c r="B242" t="s">
        <v>554</v>
      </c>
      <c r="C242" t="s">
        <v>79</v>
      </c>
      <c r="D242" t="s">
        <v>104</v>
      </c>
      <c r="E242" s="1">
        <v>46084</v>
      </c>
      <c r="F242" s="1">
        <v>46234</v>
      </c>
      <c r="G242" t="s">
        <v>64</v>
      </c>
      <c r="H242">
        <v>3731</v>
      </c>
      <c r="I242" t="s">
        <v>39</v>
      </c>
      <c r="J242" t="b">
        <v>0</v>
      </c>
      <c r="K242">
        <v>150</v>
      </c>
      <c r="L242">
        <v>7</v>
      </c>
      <c r="M242">
        <v>2026</v>
      </c>
      <c r="N242">
        <v>4</v>
      </c>
      <c r="O242">
        <v>3</v>
      </c>
      <c r="P242">
        <v>2026</v>
      </c>
      <c r="Q242">
        <v>1</v>
      </c>
      <c r="R242" t="s">
        <v>40</v>
      </c>
      <c r="S242" t="s">
        <v>55</v>
      </c>
      <c r="T242" t="s">
        <v>286</v>
      </c>
      <c r="U242" t="s">
        <v>66</v>
      </c>
      <c r="V242" t="s">
        <v>82</v>
      </c>
      <c r="W242" t="s">
        <v>83</v>
      </c>
      <c r="X242" t="s">
        <v>76</v>
      </c>
      <c r="Y242">
        <v>100</v>
      </c>
      <c r="Z242" t="s">
        <v>107</v>
      </c>
      <c r="AA242" t="s">
        <v>108</v>
      </c>
      <c r="AB242" s="1">
        <v>46234</v>
      </c>
      <c r="AC242" t="s">
        <v>40</v>
      </c>
      <c r="AD242" t="s">
        <v>40</v>
      </c>
      <c r="AE242" t="s">
        <v>86</v>
      </c>
      <c r="AF242" t="s">
        <v>40</v>
      </c>
      <c r="AG242">
        <v>0</v>
      </c>
      <c r="AH242" t="s">
        <v>49</v>
      </c>
    </row>
    <row r="243" spans="1:34" x14ac:dyDescent="0.3">
      <c r="A243" t="s">
        <v>555</v>
      </c>
      <c r="B243" t="s">
        <v>556</v>
      </c>
      <c r="C243" t="s">
        <v>79</v>
      </c>
      <c r="D243" t="s">
        <v>80</v>
      </c>
      <c r="E243" s="1">
        <v>46236</v>
      </c>
      <c r="F243" s="1">
        <v>46239</v>
      </c>
      <c r="G243" t="s">
        <v>38</v>
      </c>
      <c r="H243">
        <v>5109</v>
      </c>
      <c r="I243" t="s">
        <v>39</v>
      </c>
      <c r="J243" t="b">
        <v>0</v>
      </c>
      <c r="K243">
        <v>3</v>
      </c>
      <c r="L243">
        <v>8</v>
      </c>
      <c r="M243">
        <v>2026</v>
      </c>
      <c r="N243">
        <v>2</v>
      </c>
      <c r="O243">
        <v>8</v>
      </c>
      <c r="P243">
        <v>2026</v>
      </c>
      <c r="Q243">
        <v>6</v>
      </c>
      <c r="R243" t="s">
        <v>40</v>
      </c>
      <c r="S243" t="s">
        <v>55</v>
      </c>
      <c r="T243" t="s">
        <v>139</v>
      </c>
      <c r="U243" t="s">
        <v>40</v>
      </c>
      <c r="V243" t="s">
        <v>82</v>
      </c>
      <c r="W243" t="s">
        <v>83</v>
      </c>
      <c r="X243" t="s">
        <v>76</v>
      </c>
      <c r="Y243">
        <v>100</v>
      </c>
      <c r="Z243" t="s">
        <v>84</v>
      </c>
      <c r="AA243" t="s">
        <v>85</v>
      </c>
      <c r="AB243" s="1">
        <v>46239</v>
      </c>
      <c r="AC243" t="s">
        <v>40</v>
      </c>
      <c r="AD243" t="s">
        <v>40</v>
      </c>
      <c r="AE243" t="s">
        <v>86</v>
      </c>
      <c r="AF243" t="s">
        <v>40</v>
      </c>
      <c r="AG243">
        <v>0</v>
      </c>
      <c r="AH243" t="s">
        <v>100</v>
      </c>
    </row>
    <row r="244" spans="1:34" x14ac:dyDescent="0.3">
      <c r="A244" t="s">
        <v>557</v>
      </c>
      <c r="B244" t="s">
        <v>558</v>
      </c>
      <c r="C244" t="s">
        <v>103</v>
      </c>
      <c r="D244" t="s">
        <v>90</v>
      </c>
      <c r="E244" s="1">
        <v>45793</v>
      </c>
      <c r="F244" s="1">
        <v>45807</v>
      </c>
      <c r="G244" t="s">
        <v>41</v>
      </c>
      <c r="H244">
        <v>6635</v>
      </c>
      <c r="I244" t="s">
        <v>39</v>
      </c>
      <c r="J244" t="b">
        <v>0</v>
      </c>
      <c r="K244">
        <v>14</v>
      </c>
      <c r="L244">
        <v>5</v>
      </c>
      <c r="M244">
        <v>2025</v>
      </c>
      <c r="N244">
        <v>4</v>
      </c>
      <c r="O244">
        <v>5</v>
      </c>
      <c r="P244">
        <v>2025</v>
      </c>
      <c r="Q244">
        <v>4</v>
      </c>
      <c r="R244" t="s">
        <v>40</v>
      </c>
      <c r="S244" t="s">
        <v>55</v>
      </c>
      <c r="T244" t="s">
        <v>48</v>
      </c>
      <c r="U244" t="s">
        <v>40</v>
      </c>
      <c r="V244" t="s">
        <v>105</v>
      </c>
      <c r="W244" t="s">
        <v>106</v>
      </c>
      <c r="X244" t="s">
        <v>45</v>
      </c>
      <c r="Y244">
        <v>140</v>
      </c>
      <c r="Z244" t="s">
        <v>93</v>
      </c>
      <c r="AA244" t="s">
        <v>94</v>
      </c>
      <c r="AB244" s="1">
        <v>45807</v>
      </c>
      <c r="AC244" t="s">
        <v>40</v>
      </c>
      <c r="AD244" t="s">
        <v>40</v>
      </c>
      <c r="AE244" t="s">
        <v>69</v>
      </c>
      <c r="AF244" t="s">
        <v>40</v>
      </c>
      <c r="AG244">
        <v>0</v>
      </c>
      <c r="AH244" t="s">
        <v>70</v>
      </c>
    </row>
    <row r="245" spans="1:34" x14ac:dyDescent="0.3">
      <c r="A245" t="s">
        <v>559</v>
      </c>
      <c r="B245" t="s">
        <v>560</v>
      </c>
      <c r="C245" t="s">
        <v>97</v>
      </c>
      <c r="D245" t="s">
        <v>104</v>
      </c>
      <c r="E245" s="1">
        <v>46230</v>
      </c>
      <c r="F245" s="1">
        <v>46237</v>
      </c>
      <c r="G245" t="s">
        <v>41</v>
      </c>
      <c r="H245">
        <v>8013</v>
      </c>
      <c r="I245" t="s">
        <v>39</v>
      </c>
      <c r="J245" t="b">
        <v>0</v>
      </c>
      <c r="K245">
        <v>7</v>
      </c>
      <c r="L245">
        <v>8</v>
      </c>
      <c r="M245">
        <v>2026</v>
      </c>
      <c r="N245">
        <v>0</v>
      </c>
      <c r="O245">
        <v>7</v>
      </c>
      <c r="P245">
        <v>2026</v>
      </c>
      <c r="Q245">
        <v>0</v>
      </c>
      <c r="R245" t="s">
        <v>40</v>
      </c>
      <c r="S245" t="s">
        <v>45</v>
      </c>
      <c r="T245" t="s">
        <v>42</v>
      </c>
      <c r="U245" t="s">
        <v>66</v>
      </c>
      <c r="V245" t="s">
        <v>98</v>
      </c>
      <c r="W245" t="s">
        <v>99</v>
      </c>
      <c r="X245" t="s">
        <v>76</v>
      </c>
      <c r="Y245">
        <v>80</v>
      </c>
      <c r="Z245" t="s">
        <v>107</v>
      </c>
      <c r="AA245" t="s">
        <v>108</v>
      </c>
      <c r="AB245" s="1">
        <v>46237</v>
      </c>
      <c r="AC245" t="s">
        <v>40</v>
      </c>
      <c r="AD245" t="s">
        <v>40</v>
      </c>
      <c r="AE245" t="s">
        <v>86</v>
      </c>
      <c r="AF245" t="s">
        <v>40</v>
      </c>
      <c r="AG245">
        <v>0</v>
      </c>
      <c r="AH245" t="s">
        <v>100</v>
      </c>
    </row>
    <row r="246" spans="1:34" x14ac:dyDescent="0.3">
      <c r="A246" t="s">
        <v>561</v>
      </c>
      <c r="B246" t="s">
        <v>138</v>
      </c>
      <c r="C246" t="s">
        <v>79</v>
      </c>
      <c r="D246" t="s">
        <v>37</v>
      </c>
      <c r="E246" s="1">
        <v>46247</v>
      </c>
      <c r="F246" s="1">
        <v>46250</v>
      </c>
      <c r="G246" t="s">
        <v>41</v>
      </c>
      <c r="H246">
        <v>6313</v>
      </c>
      <c r="I246" t="s">
        <v>65</v>
      </c>
      <c r="J246" t="b">
        <v>0</v>
      </c>
      <c r="K246">
        <v>3</v>
      </c>
      <c r="L246">
        <v>8</v>
      </c>
      <c r="M246">
        <v>2026</v>
      </c>
      <c r="N246">
        <v>6</v>
      </c>
      <c r="O246">
        <v>8</v>
      </c>
      <c r="P246">
        <v>2026</v>
      </c>
      <c r="Q246">
        <v>3</v>
      </c>
      <c r="R246" t="s">
        <v>66</v>
      </c>
      <c r="S246" t="s">
        <v>41</v>
      </c>
      <c r="T246" t="s">
        <v>139</v>
      </c>
      <c r="U246" t="s">
        <v>66</v>
      </c>
      <c r="V246" t="s">
        <v>82</v>
      </c>
      <c r="W246" t="s">
        <v>83</v>
      </c>
      <c r="X246" t="s">
        <v>76</v>
      </c>
      <c r="Y246">
        <v>100</v>
      </c>
      <c r="Z246" t="s">
        <v>46</v>
      </c>
      <c r="AA246" t="s">
        <v>47</v>
      </c>
      <c r="AB246" s="1">
        <v>46250</v>
      </c>
      <c r="AC246" t="s">
        <v>66</v>
      </c>
      <c r="AD246" t="s">
        <v>40</v>
      </c>
      <c r="AE246" t="s">
        <v>86</v>
      </c>
      <c r="AF246" t="s">
        <v>40</v>
      </c>
      <c r="AG246">
        <v>0</v>
      </c>
      <c r="AH246" t="s">
        <v>100</v>
      </c>
    </row>
    <row r="247" spans="1:34" x14ac:dyDescent="0.3">
      <c r="A247" t="s">
        <v>562</v>
      </c>
      <c r="B247" t="s">
        <v>563</v>
      </c>
      <c r="C247" t="s">
        <v>79</v>
      </c>
      <c r="D247" t="s">
        <v>80</v>
      </c>
      <c r="E247" s="1">
        <v>46110</v>
      </c>
      <c r="F247" s="1">
        <v>46140</v>
      </c>
      <c r="G247" t="s">
        <v>41</v>
      </c>
      <c r="H247">
        <v>7807</v>
      </c>
      <c r="I247" t="s">
        <v>65</v>
      </c>
      <c r="J247" t="b">
        <v>0</v>
      </c>
      <c r="K247">
        <v>30</v>
      </c>
      <c r="L247">
        <v>4</v>
      </c>
      <c r="M247">
        <v>2026</v>
      </c>
      <c r="N247">
        <v>1</v>
      </c>
      <c r="O247">
        <v>3</v>
      </c>
      <c r="P247">
        <v>2026</v>
      </c>
      <c r="Q247">
        <v>6</v>
      </c>
      <c r="R247" t="s">
        <v>40</v>
      </c>
      <c r="S247" t="s">
        <v>45</v>
      </c>
      <c r="T247" t="s">
        <v>48</v>
      </c>
      <c r="U247" t="s">
        <v>40</v>
      </c>
      <c r="V247" t="s">
        <v>82</v>
      </c>
      <c r="W247" t="s">
        <v>83</v>
      </c>
      <c r="X247" t="s">
        <v>76</v>
      </c>
      <c r="Y247">
        <v>100</v>
      </c>
      <c r="Z247" t="s">
        <v>84</v>
      </c>
      <c r="AA247" t="s">
        <v>85</v>
      </c>
      <c r="AB247" s="1">
        <v>46140</v>
      </c>
      <c r="AC247" t="s">
        <v>40</v>
      </c>
      <c r="AD247" t="s">
        <v>40</v>
      </c>
      <c r="AE247" t="s">
        <v>69</v>
      </c>
      <c r="AF247" t="s">
        <v>40</v>
      </c>
      <c r="AG247">
        <v>0</v>
      </c>
      <c r="AH247" t="s">
        <v>70</v>
      </c>
    </row>
    <row r="248" spans="1:34" x14ac:dyDescent="0.3">
      <c r="A248" t="s">
        <v>564</v>
      </c>
      <c r="B248" t="s">
        <v>63</v>
      </c>
      <c r="C248" t="s">
        <v>89</v>
      </c>
      <c r="D248" t="s">
        <v>130</v>
      </c>
      <c r="E248" s="1">
        <v>45906</v>
      </c>
      <c r="F248" s="1">
        <v>46056</v>
      </c>
      <c r="G248" t="s">
        <v>38</v>
      </c>
      <c r="H248">
        <v>4906</v>
      </c>
      <c r="I248" t="s">
        <v>54</v>
      </c>
      <c r="J248" t="b">
        <v>0</v>
      </c>
      <c r="K248">
        <v>150</v>
      </c>
      <c r="L248">
        <v>2</v>
      </c>
      <c r="M248">
        <v>2026</v>
      </c>
      <c r="N248">
        <v>1</v>
      </c>
      <c r="O248">
        <v>9</v>
      </c>
      <c r="P248">
        <v>2025</v>
      </c>
      <c r="Q248">
        <v>5</v>
      </c>
      <c r="R248" t="s">
        <v>40</v>
      </c>
      <c r="S248" t="s">
        <v>67</v>
      </c>
      <c r="T248" t="s">
        <v>68</v>
      </c>
      <c r="U248" t="s">
        <v>40</v>
      </c>
      <c r="V248" t="s">
        <v>91</v>
      </c>
      <c r="W248" t="s">
        <v>92</v>
      </c>
      <c r="X248" t="s">
        <v>76</v>
      </c>
      <c r="Y248">
        <v>65</v>
      </c>
      <c r="Z248" t="s">
        <v>133</v>
      </c>
      <c r="AA248" t="s">
        <v>134</v>
      </c>
      <c r="AB248" s="1">
        <v>46056</v>
      </c>
      <c r="AC248" t="s">
        <v>40</v>
      </c>
      <c r="AD248" t="s">
        <v>40</v>
      </c>
      <c r="AE248" t="s">
        <v>60</v>
      </c>
      <c r="AF248" t="s">
        <v>40</v>
      </c>
      <c r="AG248">
        <v>1</v>
      </c>
      <c r="AH248" t="s">
        <v>49</v>
      </c>
    </row>
    <row r="249" spans="1:34" x14ac:dyDescent="0.3">
      <c r="A249" t="s">
        <v>565</v>
      </c>
      <c r="B249" t="s">
        <v>305</v>
      </c>
      <c r="C249" t="s">
        <v>89</v>
      </c>
      <c r="D249" t="s">
        <v>80</v>
      </c>
      <c r="E249" s="1">
        <v>45874</v>
      </c>
      <c r="F249" s="1">
        <v>45881</v>
      </c>
      <c r="G249" t="s">
        <v>81</v>
      </c>
      <c r="H249">
        <v>11974</v>
      </c>
      <c r="I249" t="s">
        <v>39</v>
      </c>
      <c r="J249" t="b">
        <v>0</v>
      </c>
      <c r="K249">
        <v>7</v>
      </c>
      <c r="L249">
        <v>8</v>
      </c>
      <c r="M249">
        <v>2025</v>
      </c>
      <c r="N249">
        <v>1</v>
      </c>
      <c r="O249">
        <v>8</v>
      </c>
      <c r="P249">
        <v>2025</v>
      </c>
      <c r="Q249">
        <v>1</v>
      </c>
      <c r="R249" t="s">
        <v>40</v>
      </c>
      <c r="S249" t="s">
        <v>41</v>
      </c>
      <c r="T249" t="s">
        <v>42</v>
      </c>
      <c r="U249" t="s">
        <v>40</v>
      </c>
      <c r="V249" t="s">
        <v>91</v>
      </c>
      <c r="W249" t="s">
        <v>92</v>
      </c>
      <c r="X249" t="s">
        <v>76</v>
      </c>
      <c r="Y249">
        <v>65</v>
      </c>
      <c r="Z249" t="s">
        <v>84</v>
      </c>
      <c r="AA249" t="s">
        <v>85</v>
      </c>
      <c r="AB249" s="1">
        <v>45881</v>
      </c>
      <c r="AC249" t="s">
        <v>40</v>
      </c>
      <c r="AD249" t="s">
        <v>40</v>
      </c>
      <c r="AE249" t="s">
        <v>86</v>
      </c>
      <c r="AF249" t="s">
        <v>40</v>
      </c>
      <c r="AG249">
        <v>0</v>
      </c>
      <c r="AH249" t="s">
        <v>100</v>
      </c>
    </row>
    <row r="250" spans="1:34" x14ac:dyDescent="0.3">
      <c r="A250" t="s">
        <v>566</v>
      </c>
      <c r="B250" t="s">
        <v>567</v>
      </c>
      <c r="C250" t="s">
        <v>97</v>
      </c>
      <c r="D250" t="s">
        <v>130</v>
      </c>
      <c r="E250" s="1">
        <v>45948</v>
      </c>
      <c r="F250" s="1">
        <v>45955</v>
      </c>
      <c r="G250" t="s">
        <v>81</v>
      </c>
      <c r="H250">
        <v>7045</v>
      </c>
      <c r="I250" t="s">
        <v>65</v>
      </c>
      <c r="J250" t="b">
        <v>0</v>
      </c>
      <c r="K250">
        <v>7</v>
      </c>
      <c r="L250">
        <v>10</v>
      </c>
      <c r="M250">
        <v>2025</v>
      </c>
      <c r="N250">
        <v>5</v>
      </c>
      <c r="O250">
        <v>10</v>
      </c>
      <c r="P250">
        <v>2025</v>
      </c>
      <c r="Q250">
        <v>5</v>
      </c>
      <c r="R250" t="s">
        <v>66</v>
      </c>
      <c r="S250" t="s">
        <v>45</v>
      </c>
      <c r="T250" t="s">
        <v>42</v>
      </c>
      <c r="U250" t="s">
        <v>40</v>
      </c>
      <c r="V250" t="s">
        <v>98</v>
      </c>
      <c r="W250" t="s">
        <v>99</v>
      </c>
      <c r="X250" t="s">
        <v>76</v>
      </c>
      <c r="Y250">
        <v>80</v>
      </c>
      <c r="Z250" t="s">
        <v>133</v>
      </c>
      <c r="AA250" t="s">
        <v>134</v>
      </c>
      <c r="AB250" s="1">
        <v>45955</v>
      </c>
      <c r="AC250" t="s">
        <v>66</v>
      </c>
      <c r="AD250" t="s">
        <v>40</v>
      </c>
      <c r="AE250" t="s">
        <v>60</v>
      </c>
      <c r="AF250" t="s">
        <v>40</v>
      </c>
      <c r="AG250">
        <v>0</v>
      </c>
      <c r="AH250" t="s">
        <v>100</v>
      </c>
    </row>
    <row r="251" spans="1:34" x14ac:dyDescent="0.3">
      <c r="A251" t="s">
        <v>568</v>
      </c>
      <c r="B251" t="s">
        <v>473</v>
      </c>
      <c r="C251" t="s">
        <v>36</v>
      </c>
      <c r="D251" t="s">
        <v>130</v>
      </c>
      <c r="E251" s="1">
        <v>45957</v>
      </c>
      <c r="F251" s="1">
        <v>46057</v>
      </c>
      <c r="G251" t="s">
        <v>41</v>
      </c>
      <c r="H251">
        <v>8702</v>
      </c>
      <c r="I251" t="s">
        <v>39</v>
      </c>
      <c r="J251" t="b">
        <v>0</v>
      </c>
      <c r="K251">
        <v>100</v>
      </c>
      <c r="L251">
        <v>2</v>
      </c>
      <c r="M251">
        <v>2026</v>
      </c>
      <c r="N251">
        <v>2</v>
      </c>
      <c r="O251">
        <v>10</v>
      </c>
      <c r="P251">
        <v>2025</v>
      </c>
      <c r="Q251">
        <v>0</v>
      </c>
      <c r="R251" t="s">
        <v>40</v>
      </c>
      <c r="S251" t="s">
        <v>41</v>
      </c>
      <c r="T251" t="s">
        <v>286</v>
      </c>
      <c r="U251" t="s">
        <v>40</v>
      </c>
      <c r="V251" t="s">
        <v>43</v>
      </c>
      <c r="W251" t="s">
        <v>44</v>
      </c>
      <c r="X251" t="s">
        <v>45</v>
      </c>
      <c r="Y251">
        <v>150</v>
      </c>
      <c r="Z251" t="s">
        <v>133</v>
      </c>
      <c r="AA251" t="s">
        <v>134</v>
      </c>
      <c r="AB251" s="1">
        <v>46057</v>
      </c>
      <c r="AC251" t="s">
        <v>40</v>
      </c>
      <c r="AD251" t="s">
        <v>40</v>
      </c>
      <c r="AE251" t="s">
        <v>60</v>
      </c>
      <c r="AF251" t="s">
        <v>40</v>
      </c>
      <c r="AG251">
        <v>0</v>
      </c>
      <c r="AH251" t="s">
        <v>49</v>
      </c>
    </row>
    <row r="252" spans="1:34" x14ac:dyDescent="0.3">
      <c r="A252" t="s">
        <v>569</v>
      </c>
      <c r="B252" t="s">
        <v>570</v>
      </c>
      <c r="C252" t="s">
        <v>73</v>
      </c>
      <c r="D252" t="s">
        <v>80</v>
      </c>
      <c r="E252" s="1">
        <v>46126</v>
      </c>
      <c r="F252" s="1">
        <v>46156</v>
      </c>
      <c r="G252" t="s">
        <v>64</v>
      </c>
      <c r="H252">
        <v>2706</v>
      </c>
      <c r="I252" t="s">
        <v>39</v>
      </c>
      <c r="J252" t="b">
        <v>0</v>
      </c>
      <c r="K252">
        <v>30</v>
      </c>
      <c r="L252">
        <v>5</v>
      </c>
      <c r="M252">
        <v>2026</v>
      </c>
      <c r="N252">
        <v>3</v>
      </c>
      <c r="O252">
        <v>4</v>
      </c>
      <c r="P252">
        <v>2026</v>
      </c>
      <c r="Q252">
        <v>1</v>
      </c>
      <c r="R252" t="s">
        <v>40</v>
      </c>
      <c r="S252" t="s">
        <v>41</v>
      </c>
      <c r="T252" t="s">
        <v>42</v>
      </c>
      <c r="U252" t="s">
        <v>40</v>
      </c>
      <c r="V252" t="s">
        <v>74</v>
      </c>
      <c r="W252" t="s">
        <v>75</v>
      </c>
      <c r="X252" t="s">
        <v>76</v>
      </c>
      <c r="Y252">
        <v>75</v>
      </c>
      <c r="Z252" t="s">
        <v>84</v>
      </c>
      <c r="AA252" t="s">
        <v>85</v>
      </c>
      <c r="AB252" s="1">
        <v>46156</v>
      </c>
      <c r="AC252" t="s">
        <v>40</v>
      </c>
      <c r="AD252" t="s">
        <v>40</v>
      </c>
      <c r="AE252" t="s">
        <v>69</v>
      </c>
      <c r="AF252" t="s">
        <v>40</v>
      </c>
      <c r="AG252">
        <v>0</v>
      </c>
      <c r="AH252" t="s">
        <v>70</v>
      </c>
    </row>
    <row r="253" spans="1:34" x14ac:dyDescent="0.3">
      <c r="A253" t="s">
        <v>571</v>
      </c>
      <c r="B253" t="s">
        <v>572</v>
      </c>
      <c r="C253" t="s">
        <v>79</v>
      </c>
      <c r="D253" t="s">
        <v>37</v>
      </c>
      <c r="E253" s="1">
        <v>45967</v>
      </c>
      <c r="F253" s="1">
        <v>45974</v>
      </c>
      <c r="G253" t="s">
        <v>81</v>
      </c>
      <c r="H253">
        <v>9671</v>
      </c>
      <c r="I253" t="s">
        <v>212</v>
      </c>
      <c r="J253" t="b">
        <v>0</v>
      </c>
      <c r="K253">
        <v>7</v>
      </c>
      <c r="L253">
        <v>11</v>
      </c>
      <c r="M253">
        <v>2025</v>
      </c>
      <c r="N253">
        <v>3</v>
      </c>
      <c r="O253">
        <v>11</v>
      </c>
      <c r="P253">
        <v>2025</v>
      </c>
      <c r="Q253">
        <v>3</v>
      </c>
      <c r="R253" t="s">
        <v>40</v>
      </c>
      <c r="S253" t="s">
        <v>45</v>
      </c>
      <c r="T253" t="s">
        <v>48</v>
      </c>
      <c r="U253" t="s">
        <v>40</v>
      </c>
      <c r="V253" t="s">
        <v>82</v>
      </c>
      <c r="W253" t="s">
        <v>83</v>
      </c>
      <c r="X253" t="s">
        <v>76</v>
      </c>
      <c r="Y253">
        <v>100</v>
      </c>
      <c r="Z253" t="s">
        <v>46</v>
      </c>
      <c r="AA253" t="s">
        <v>47</v>
      </c>
      <c r="AB253" s="1">
        <v>45974</v>
      </c>
      <c r="AC253" t="s">
        <v>40</v>
      </c>
      <c r="AD253" t="s">
        <v>40</v>
      </c>
      <c r="AE253" t="s">
        <v>86</v>
      </c>
      <c r="AF253" t="s">
        <v>40</v>
      </c>
      <c r="AG253">
        <v>0</v>
      </c>
      <c r="AH253" t="s">
        <v>100</v>
      </c>
    </row>
    <row r="254" spans="1:34" x14ac:dyDescent="0.3">
      <c r="A254" t="s">
        <v>573</v>
      </c>
      <c r="B254" t="s">
        <v>574</v>
      </c>
      <c r="C254" t="s">
        <v>73</v>
      </c>
      <c r="D254" t="s">
        <v>90</v>
      </c>
      <c r="E254" s="1">
        <v>46007</v>
      </c>
      <c r="F254" s="1">
        <v>46107</v>
      </c>
      <c r="G254" t="s">
        <v>38</v>
      </c>
      <c r="H254">
        <v>5065</v>
      </c>
      <c r="I254" t="s">
        <v>65</v>
      </c>
      <c r="J254" t="b">
        <v>0</v>
      </c>
      <c r="K254">
        <v>100</v>
      </c>
      <c r="L254">
        <v>3</v>
      </c>
      <c r="M254">
        <v>2026</v>
      </c>
      <c r="N254">
        <v>3</v>
      </c>
      <c r="O254">
        <v>12</v>
      </c>
      <c r="P254">
        <v>2025</v>
      </c>
      <c r="Q254">
        <v>1</v>
      </c>
      <c r="R254" t="s">
        <v>40</v>
      </c>
      <c r="S254" t="s">
        <v>55</v>
      </c>
      <c r="T254" t="s">
        <v>42</v>
      </c>
      <c r="U254" t="s">
        <v>40</v>
      </c>
      <c r="V254" t="s">
        <v>74</v>
      </c>
      <c r="W254" t="s">
        <v>75</v>
      </c>
      <c r="X254" t="s">
        <v>76</v>
      </c>
      <c r="Y254">
        <v>75</v>
      </c>
      <c r="Z254" t="s">
        <v>93</v>
      </c>
      <c r="AA254" t="s">
        <v>94</v>
      </c>
      <c r="AB254" s="1">
        <v>46107</v>
      </c>
      <c r="AC254" t="s">
        <v>40</v>
      </c>
      <c r="AD254" t="s">
        <v>40</v>
      </c>
      <c r="AE254" t="s">
        <v>60</v>
      </c>
      <c r="AF254" t="s">
        <v>40</v>
      </c>
      <c r="AG254">
        <v>0</v>
      </c>
      <c r="AH254" t="s">
        <v>49</v>
      </c>
    </row>
    <row r="255" spans="1:34" x14ac:dyDescent="0.3">
      <c r="A255" t="s">
        <v>575</v>
      </c>
      <c r="B255" t="s">
        <v>406</v>
      </c>
      <c r="C255" t="s">
        <v>73</v>
      </c>
      <c r="D255" t="s">
        <v>80</v>
      </c>
      <c r="E255" s="1">
        <v>45814</v>
      </c>
      <c r="F255" s="1">
        <v>45828</v>
      </c>
      <c r="G255" t="s">
        <v>81</v>
      </c>
      <c r="H255">
        <v>10941</v>
      </c>
      <c r="I255" t="s">
        <v>39</v>
      </c>
      <c r="J255" t="b">
        <v>0</v>
      </c>
      <c r="K255">
        <v>14</v>
      </c>
      <c r="L255">
        <v>6</v>
      </c>
      <c r="M255">
        <v>2025</v>
      </c>
      <c r="N255">
        <v>4</v>
      </c>
      <c r="O255">
        <v>6</v>
      </c>
      <c r="P255">
        <v>2025</v>
      </c>
      <c r="Q255">
        <v>4</v>
      </c>
      <c r="R255" t="s">
        <v>40</v>
      </c>
      <c r="S255" t="s">
        <v>55</v>
      </c>
      <c r="T255" t="s">
        <v>42</v>
      </c>
      <c r="U255" t="s">
        <v>40</v>
      </c>
      <c r="V255" t="s">
        <v>74</v>
      </c>
      <c r="W255" t="s">
        <v>75</v>
      </c>
      <c r="X255" t="s">
        <v>76</v>
      </c>
      <c r="Y255">
        <v>75</v>
      </c>
      <c r="Z255" t="s">
        <v>84</v>
      </c>
      <c r="AA255" t="s">
        <v>85</v>
      </c>
      <c r="AB255" s="1">
        <v>45828</v>
      </c>
      <c r="AC255" t="s">
        <v>40</v>
      </c>
      <c r="AD255" t="s">
        <v>40</v>
      </c>
      <c r="AE255" t="s">
        <v>60</v>
      </c>
      <c r="AF255" t="s">
        <v>40</v>
      </c>
      <c r="AG255">
        <v>0</v>
      </c>
      <c r="AH255" t="s">
        <v>70</v>
      </c>
    </row>
    <row r="256" spans="1:34" x14ac:dyDescent="0.3">
      <c r="A256" t="s">
        <v>576</v>
      </c>
      <c r="B256" t="s">
        <v>577</v>
      </c>
      <c r="C256" t="s">
        <v>97</v>
      </c>
      <c r="D256" t="s">
        <v>53</v>
      </c>
      <c r="E256" s="1">
        <v>46194</v>
      </c>
      <c r="F256" s="1">
        <v>46294</v>
      </c>
      <c r="G256" t="s">
        <v>41</v>
      </c>
      <c r="H256">
        <v>6300</v>
      </c>
      <c r="I256" t="s">
        <v>65</v>
      </c>
      <c r="J256" t="b">
        <v>0</v>
      </c>
      <c r="K256">
        <v>100</v>
      </c>
      <c r="L256">
        <v>9</v>
      </c>
      <c r="M256">
        <v>2026</v>
      </c>
      <c r="N256">
        <v>1</v>
      </c>
      <c r="O256">
        <v>6</v>
      </c>
      <c r="P256">
        <v>2026</v>
      </c>
      <c r="Q256">
        <v>6</v>
      </c>
      <c r="R256" t="s">
        <v>40</v>
      </c>
      <c r="S256" t="s">
        <v>55</v>
      </c>
      <c r="T256" t="s">
        <v>42</v>
      </c>
      <c r="U256" t="s">
        <v>66</v>
      </c>
      <c r="V256" t="s">
        <v>98</v>
      </c>
      <c r="W256" t="s">
        <v>99</v>
      </c>
      <c r="X256" t="s">
        <v>76</v>
      </c>
      <c r="Y256">
        <v>80</v>
      </c>
      <c r="Z256" t="s">
        <v>58</v>
      </c>
      <c r="AA256" t="s">
        <v>59</v>
      </c>
      <c r="AB256" s="1">
        <v>46294</v>
      </c>
      <c r="AC256" t="s">
        <v>40</v>
      </c>
      <c r="AD256" t="s">
        <v>40</v>
      </c>
      <c r="AE256" t="s">
        <v>60</v>
      </c>
      <c r="AF256" t="s">
        <v>40</v>
      </c>
      <c r="AG256">
        <v>0</v>
      </c>
      <c r="AH256" t="s">
        <v>49</v>
      </c>
    </row>
    <row r="257" spans="1:34" x14ac:dyDescent="0.3">
      <c r="A257" t="s">
        <v>578</v>
      </c>
      <c r="B257" t="s">
        <v>579</v>
      </c>
      <c r="C257" t="s">
        <v>79</v>
      </c>
      <c r="D257" t="s">
        <v>90</v>
      </c>
      <c r="E257" s="1">
        <v>45688</v>
      </c>
      <c r="F257" s="1">
        <v>45748</v>
      </c>
      <c r="G257" t="s">
        <v>41</v>
      </c>
      <c r="H257">
        <v>8822</v>
      </c>
      <c r="I257" t="s">
        <v>39</v>
      </c>
      <c r="J257" t="b">
        <v>0</v>
      </c>
      <c r="K257">
        <v>60</v>
      </c>
      <c r="L257">
        <v>4</v>
      </c>
      <c r="M257">
        <v>2025</v>
      </c>
      <c r="N257">
        <v>1</v>
      </c>
      <c r="O257">
        <v>1</v>
      </c>
      <c r="P257">
        <v>2025</v>
      </c>
      <c r="Q257">
        <v>4</v>
      </c>
      <c r="R257" t="s">
        <v>40</v>
      </c>
      <c r="S257" t="s">
        <v>41</v>
      </c>
      <c r="T257" t="s">
        <v>123</v>
      </c>
      <c r="U257" t="s">
        <v>66</v>
      </c>
      <c r="V257" t="s">
        <v>82</v>
      </c>
      <c r="W257" t="s">
        <v>83</v>
      </c>
      <c r="X257" t="s">
        <v>76</v>
      </c>
      <c r="Y257">
        <v>100</v>
      </c>
      <c r="Z257" t="s">
        <v>93</v>
      </c>
      <c r="AA257" t="s">
        <v>94</v>
      </c>
      <c r="AB257" s="1">
        <v>45748</v>
      </c>
      <c r="AC257" t="s">
        <v>40</v>
      </c>
      <c r="AD257" t="s">
        <v>40</v>
      </c>
      <c r="AE257" t="s">
        <v>69</v>
      </c>
      <c r="AF257" t="s">
        <v>40</v>
      </c>
      <c r="AG257">
        <v>0</v>
      </c>
      <c r="AH257" t="s">
        <v>61</v>
      </c>
    </row>
    <row r="258" spans="1:34" x14ac:dyDescent="0.3">
      <c r="A258" t="s">
        <v>580</v>
      </c>
      <c r="B258" t="s">
        <v>581</v>
      </c>
      <c r="C258" t="s">
        <v>97</v>
      </c>
      <c r="D258" t="s">
        <v>130</v>
      </c>
      <c r="E258" s="1">
        <v>46284</v>
      </c>
      <c r="F258" s="1">
        <v>46314</v>
      </c>
      <c r="G258" t="s">
        <v>38</v>
      </c>
      <c r="H258">
        <v>4445</v>
      </c>
      <c r="I258" t="s">
        <v>39</v>
      </c>
      <c r="J258" t="b">
        <v>0</v>
      </c>
      <c r="K258">
        <v>30</v>
      </c>
      <c r="L258">
        <v>10</v>
      </c>
      <c r="M258">
        <v>2026</v>
      </c>
      <c r="N258">
        <v>0</v>
      </c>
      <c r="O258">
        <v>9</v>
      </c>
      <c r="P258">
        <v>2026</v>
      </c>
      <c r="Q258">
        <v>5</v>
      </c>
      <c r="R258" t="s">
        <v>40</v>
      </c>
      <c r="S258" t="s">
        <v>45</v>
      </c>
      <c r="T258" t="s">
        <v>139</v>
      </c>
      <c r="U258" t="s">
        <v>40</v>
      </c>
      <c r="V258" t="s">
        <v>98</v>
      </c>
      <c r="W258" t="s">
        <v>99</v>
      </c>
      <c r="X258" t="s">
        <v>76</v>
      </c>
      <c r="Y258">
        <v>80</v>
      </c>
      <c r="Z258" t="s">
        <v>133</v>
      </c>
      <c r="AA258" t="s">
        <v>134</v>
      </c>
      <c r="AB258" s="1">
        <v>46314</v>
      </c>
      <c r="AC258" t="s">
        <v>40</v>
      </c>
      <c r="AD258" t="s">
        <v>40</v>
      </c>
      <c r="AE258" t="s">
        <v>60</v>
      </c>
      <c r="AF258" t="s">
        <v>40</v>
      </c>
      <c r="AG258">
        <v>0</v>
      </c>
      <c r="AH258" t="s">
        <v>70</v>
      </c>
    </row>
    <row r="259" spans="1:34" x14ac:dyDescent="0.3">
      <c r="A259" t="s">
        <v>582</v>
      </c>
      <c r="B259" t="s">
        <v>583</v>
      </c>
      <c r="C259" t="s">
        <v>122</v>
      </c>
      <c r="D259" t="s">
        <v>37</v>
      </c>
      <c r="E259" s="1">
        <v>46323</v>
      </c>
      <c r="F259" s="1">
        <v>46337</v>
      </c>
      <c r="G259" t="s">
        <v>41</v>
      </c>
      <c r="H259">
        <v>5791</v>
      </c>
      <c r="I259" t="s">
        <v>212</v>
      </c>
      <c r="J259" t="b">
        <v>0</v>
      </c>
      <c r="K259">
        <v>14</v>
      </c>
      <c r="L259">
        <v>11</v>
      </c>
      <c r="M259">
        <v>2026</v>
      </c>
      <c r="N259">
        <v>2</v>
      </c>
      <c r="O259">
        <v>10</v>
      </c>
      <c r="P259">
        <v>2026</v>
      </c>
      <c r="Q259">
        <v>2</v>
      </c>
      <c r="R259" t="s">
        <v>40</v>
      </c>
      <c r="S259" t="s">
        <v>55</v>
      </c>
      <c r="T259" t="s">
        <v>286</v>
      </c>
      <c r="U259" t="s">
        <v>40</v>
      </c>
      <c r="V259" t="s">
        <v>124</v>
      </c>
      <c r="W259" t="s">
        <v>125</v>
      </c>
      <c r="X259" t="s">
        <v>126</v>
      </c>
      <c r="Y259">
        <v>85</v>
      </c>
      <c r="Z259" t="s">
        <v>46</v>
      </c>
      <c r="AA259" t="s">
        <v>47</v>
      </c>
      <c r="AB259" s="1">
        <v>46337</v>
      </c>
      <c r="AC259" t="s">
        <v>40</v>
      </c>
      <c r="AD259" t="s">
        <v>40</v>
      </c>
      <c r="AE259" t="s">
        <v>86</v>
      </c>
      <c r="AF259" t="s">
        <v>40</v>
      </c>
      <c r="AG259">
        <v>0</v>
      </c>
      <c r="AH259" t="s">
        <v>70</v>
      </c>
    </row>
    <row r="260" spans="1:34" x14ac:dyDescent="0.3">
      <c r="A260" t="s">
        <v>584</v>
      </c>
      <c r="B260" t="s">
        <v>585</v>
      </c>
      <c r="C260" t="s">
        <v>103</v>
      </c>
      <c r="D260" t="s">
        <v>90</v>
      </c>
      <c r="E260" s="1">
        <v>46345</v>
      </c>
      <c r="F260" s="1">
        <v>46565</v>
      </c>
      <c r="G260" t="s">
        <v>38</v>
      </c>
      <c r="H260">
        <v>5299</v>
      </c>
      <c r="I260" t="s">
        <v>65</v>
      </c>
      <c r="J260" t="b">
        <v>0</v>
      </c>
      <c r="K260">
        <v>220</v>
      </c>
      <c r="L260">
        <v>6</v>
      </c>
      <c r="M260">
        <v>2027</v>
      </c>
      <c r="N260">
        <v>6</v>
      </c>
      <c r="O260">
        <v>11</v>
      </c>
      <c r="P260">
        <v>2026</v>
      </c>
      <c r="Q260">
        <v>3</v>
      </c>
      <c r="R260" t="s">
        <v>66</v>
      </c>
      <c r="S260" t="s">
        <v>45</v>
      </c>
      <c r="T260" t="s">
        <v>286</v>
      </c>
      <c r="U260" t="s">
        <v>40</v>
      </c>
      <c r="V260" t="s">
        <v>105</v>
      </c>
      <c r="W260" t="s">
        <v>106</v>
      </c>
      <c r="X260" t="s">
        <v>45</v>
      </c>
      <c r="Y260">
        <v>140</v>
      </c>
      <c r="Z260" t="s">
        <v>93</v>
      </c>
      <c r="AA260" t="s">
        <v>94</v>
      </c>
      <c r="AB260" s="1"/>
      <c r="AC260" t="s">
        <v>48</v>
      </c>
      <c r="AD260" t="s">
        <v>48</v>
      </c>
      <c r="AE260" t="s">
        <v>48</v>
      </c>
      <c r="AF260" t="s">
        <v>48</v>
      </c>
      <c r="AG260">
        <v>0</v>
      </c>
      <c r="AH260" t="s">
        <v>142</v>
      </c>
    </row>
    <row r="261" spans="1:34" x14ac:dyDescent="0.3">
      <c r="A261" t="s">
        <v>586</v>
      </c>
      <c r="B261" t="s">
        <v>587</v>
      </c>
      <c r="C261" t="s">
        <v>103</v>
      </c>
      <c r="D261" t="s">
        <v>130</v>
      </c>
      <c r="E261" s="1">
        <v>46280</v>
      </c>
      <c r="F261" s="1">
        <v>46340</v>
      </c>
      <c r="G261" t="s">
        <v>41</v>
      </c>
      <c r="H261">
        <v>7196</v>
      </c>
      <c r="I261" t="s">
        <v>65</v>
      </c>
      <c r="J261" t="b">
        <v>0</v>
      </c>
      <c r="K261">
        <v>60</v>
      </c>
      <c r="L261">
        <v>11</v>
      </c>
      <c r="M261">
        <v>2026</v>
      </c>
      <c r="N261">
        <v>5</v>
      </c>
      <c r="O261">
        <v>9</v>
      </c>
      <c r="P261">
        <v>2026</v>
      </c>
      <c r="Q261">
        <v>1</v>
      </c>
      <c r="R261" t="s">
        <v>66</v>
      </c>
      <c r="S261" t="s">
        <v>55</v>
      </c>
      <c r="T261" t="s">
        <v>68</v>
      </c>
      <c r="U261" t="s">
        <v>40</v>
      </c>
      <c r="V261" t="s">
        <v>105</v>
      </c>
      <c r="W261" t="s">
        <v>106</v>
      </c>
      <c r="X261" t="s">
        <v>45</v>
      </c>
      <c r="Y261">
        <v>140</v>
      </c>
      <c r="Z261" t="s">
        <v>133</v>
      </c>
      <c r="AA261" t="s">
        <v>134</v>
      </c>
      <c r="AB261" s="1">
        <v>46340</v>
      </c>
      <c r="AC261" t="s">
        <v>66</v>
      </c>
      <c r="AD261" t="s">
        <v>40</v>
      </c>
      <c r="AE261" t="s">
        <v>86</v>
      </c>
      <c r="AF261" t="s">
        <v>40</v>
      </c>
      <c r="AG261">
        <v>0</v>
      </c>
      <c r="AH261" t="s">
        <v>61</v>
      </c>
    </row>
    <row r="262" spans="1:34" x14ac:dyDescent="0.3">
      <c r="A262" t="s">
        <v>588</v>
      </c>
      <c r="B262" t="s">
        <v>589</v>
      </c>
      <c r="C262" t="s">
        <v>36</v>
      </c>
      <c r="D262" t="s">
        <v>104</v>
      </c>
      <c r="E262" s="1">
        <v>46125</v>
      </c>
      <c r="F262" s="1">
        <v>46225</v>
      </c>
      <c r="G262" t="s">
        <v>64</v>
      </c>
      <c r="H262">
        <v>3262</v>
      </c>
      <c r="I262" t="s">
        <v>65</v>
      </c>
      <c r="J262" t="b">
        <v>0</v>
      </c>
      <c r="K262">
        <v>100</v>
      </c>
      <c r="L262">
        <v>7</v>
      </c>
      <c r="M262">
        <v>2026</v>
      </c>
      <c r="N262">
        <v>2</v>
      </c>
      <c r="O262">
        <v>4</v>
      </c>
      <c r="P262">
        <v>2026</v>
      </c>
      <c r="Q262">
        <v>0</v>
      </c>
      <c r="R262" t="s">
        <v>40</v>
      </c>
      <c r="S262" t="s">
        <v>55</v>
      </c>
      <c r="T262" t="s">
        <v>68</v>
      </c>
      <c r="U262" t="s">
        <v>66</v>
      </c>
      <c r="V262" t="s">
        <v>43</v>
      </c>
      <c r="W262" t="s">
        <v>44</v>
      </c>
      <c r="X262" t="s">
        <v>45</v>
      </c>
      <c r="Y262">
        <v>150</v>
      </c>
      <c r="Z262" t="s">
        <v>107</v>
      </c>
      <c r="AA262" t="s">
        <v>108</v>
      </c>
      <c r="AB262" s="1">
        <v>46225</v>
      </c>
      <c r="AC262" t="s">
        <v>40</v>
      </c>
      <c r="AD262" t="s">
        <v>40</v>
      </c>
      <c r="AE262" t="s">
        <v>86</v>
      </c>
      <c r="AF262" t="s">
        <v>40</v>
      </c>
      <c r="AG262">
        <v>0</v>
      </c>
      <c r="AH262" t="s">
        <v>49</v>
      </c>
    </row>
    <row r="263" spans="1:34" x14ac:dyDescent="0.3">
      <c r="A263" t="s">
        <v>590</v>
      </c>
      <c r="B263" t="s">
        <v>591</v>
      </c>
      <c r="C263" t="s">
        <v>73</v>
      </c>
      <c r="D263" t="s">
        <v>53</v>
      </c>
      <c r="E263" s="1">
        <v>46108</v>
      </c>
      <c r="F263" s="1">
        <v>46122</v>
      </c>
      <c r="G263" t="s">
        <v>81</v>
      </c>
      <c r="H263">
        <v>9960</v>
      </c>
      <c r="I263" t="s">
        <v>54</v>
      </c>
      <c r="J263" t="b">
        <v>0</v>
      </c>
      <c r="K263">
        <v>14</v>
      </c>
      <c r="L263">
        <v>4</v>
      </c>
      <c r="M263">
        <v>2026</v>
      </c>
      <c r="N263">
        <v>4</v>
      </c>
      <c r="O263">
        <v>3</v>
      </c>
      <c r="P263">
        <v>2026</v>
      </c>
      <c r="Q263">
        <v>4</v>
      </c>
      <c r="R263" t="s">
        <v>40</v>
      </c>
      <c r="S263" t="s">
        <v>67</v>
      </c>
      <c r="T263" t="s">
        <v>42</v>
      </c>
      <c r="U263" t="s">
        <v>40</v>
      </c>
      <c r="V263" t="s">
        <v>74</v>
      </c>
      <c r="W263" t="s">
        <v>75</v>
      </c>
      <c r="X263" t="s">
        <v>76</v>
      </c>
      <c r="Y263">
        <v>75</v>
      </c>
      <c r="Z263" t="s">
        <v>58</v>
      </c>
      <c r="AA263" t="s">
        <v>59</v>
      </c>
      <c r="AB263" s="1">
        <v>46122</v>
      </c>
      <c r="AC263" t="s">
        <v>40</v>
      </c>
      <c r="AD263" t="s">
        <v>40</v>
      </c>
      <c r="AE263" t="s">
        <v>69</v>
      </c>
      <c r="AF263" t="s">
        <v>40</v>
      </c>
      <c r="AG263">
        <v>1</v>
      </c>
      <c r="AH263" t="s">
        <v>70</v>
      </c>
    </row>
    <row r="264" spans="1:34" x14ac:dyDescent="0.3">
      <c r="A264" t="s">
        <v>592</v>
      </c>
      <c r="B264" t="s">
        <v>593</v>
      </c>
      <c r="C264" t="s">
        <v>97</v>
      </c>
      <c r="D264" t="s">
        <v>104</v>
      </c>
      <c r="E264" s="1">
        <v>46319</v>
      </c>
      <c r="F264" s="1">
        <v>46333</v>
      </c>
      <c r="G264" t="s">
        <v>64</v>
      </c>
      <c r="H264">
        <v>3794</v>
      </c>
      <c r="I264" t="s">
        <v>39</v>
      </c>
      <c r="J264" t="b">
        <v>0</v>
      </c>
      <c r="K264">
        <v>14</v>
      </c>
      <c r="L264">
        <v>11</v>
      </c>
      <c r="M264">
        <v>2026</v>
      </c>
      <c r="N264">
        <v>5</v>
      </c>
      <c r="O264">
        <v>10</v>
      </c>
      <c r="P264">
        <v>2026</v>
      </c>
      <c r="Q264">
        <v>5</v>
      </c>
      <c r="R264" t="s">
        <v>66</v>
      </c>
      <c r="S264" t="s">
        <v>41</v>
      </c>
      <c r="T264" t="s">
        <v>42</v>
      </c>
      <c r="U264" t="s">
        <v>40</v>
      </c>
      <c r="V264" t="s">
        <v>98</v>
      </c>
      <c r="W264" t="s">
        <v>99</v>
      </c>
      <c r="X264" t="s">
        <v>76</v>
      </c>
      <c r="Y264">
        <v>80</v>
      </c>
      <c r="Z264" t="s">
        <v>107</v>
      </c>
      <c r="AA264" t="s">
        <v>108</v>
      </c>
      <c r="AB264" s="1">
        <v>46333</v>
      </c>
      <c r="AC264" t="s">
        <v>66</v>
      </c>
      <c r="AD264" t="s">
        <v>40</v>
      </c>
      <c r="AE264" t="s">
        <v>86</v>
      </c>
      <c r="AF264" t="s">
        <v>40</v>
      </c>
      <c r="AG264">
        <v>0</v>
      </c>
      <c r="AH264" t="s">
        <v>70</v>
      </c>
    </row>
    <row r="265" spans="1:34" x14ac:dyDescent="0.3">
      <c r="A265" t="s">
        <v>594</v>
      </c>
      <c r="B265" t="s">
        <v>595</v>
      </c>
      <c r="C265" t="s">
        <v>155</v>
      </c>
      <c r="D265" t="s">
        <v>37</v>
      </c>
      <c r="E265" s="1">
        <v>45864</v>
      </c>
      <c r="F265" s="1">
        <v>45964</v>
      </c>
      <c r="G265" t="s">
        <v>64</v>
      </c>
      <c r="H265">
        <v>2863</v>
      </c>
      <c r="I265" t="s">
        <v>39</v>
      </c>
      <c r="J265" t="b">
        <v>0</v>
      </c>
      <c r="K265">
        <v>100</v>
      </c>
      <c r="L265">
        <v>11</v>
      </c>
      <c r="M265">
        <v>2025</v>
      </c>
      <c r="N265">
        <v>0</v>
      </c>
      <c r="O265">
        <v>7</v>
      </c>
      <c r="P265">
        <v>2025</v>
      </c>
      <c r="Q265">
        <v>5</v>
      </c>
      <c r="R265" t="s">
        <v>40</v>
      </c>
      <c r="S265" t="s">
        <v>55</v>
      </c>
      <c r="T265" t="s">
        <v>42</v>
      </c>
      <c r="U265" t="s">
        <v>40</v>
      </c>
      <c r="V265" t="s">
        <v>156</v>
      </c>
      <c r="W265" t="s">
        <v>157</v>
      </c>
      <c r="X265" t="s">
        <v>158</v>
      </c>
      <c r="Y265">
        <v>70</v>
      </c>
      <c r="Z265" t="s">
        <v>46</v>
      </c>
      <c r="AA265" t="s">
        <v>47</v>
      </c>
      <c r="AB265" s="1">
        <v>45964</v>
      </c>
      <c r="AC265" t="s">
        <v>40</v>
      </c>
      <c r="AD265" t="s">
        <v>40</v>
      </c>
      <c r="AE265" t="s">
        <v>86</v>
      </c>
      <c r="AF265" t="s">
        <v>40</v>
      </c>
      <c r="AG265">
        <v>0</v>
      </c>
      <c r="AH265" t="s">
        <v>49</v>
      </c>
    </row>
    <row r="266" spans="1:34" x14ac:dyDescent="0.3">
      <c r="A266" t="s">
        <v>596</v>
      </c>
      <c r="B266" t="s">
        <v>336</v>
      </c>
      <c r="C266" t="s">
        <v>89</v>
      </c>
      <c r="D266" t="s">
        <v>104</v>
      </c>
      <c r="E266" s="1">
        <v>46181</v>
      </c>
      <c r="F266" s="1">
        <v>46211</v>
      </c>
      <c r="G266" t="s">
        <v>38</v>
      </c>
      <c r="H266">
        <v>5058</v>
      </c>
      <c r="I266" t="s">
        <v>65</v>
      </c>
      <c r="J266" t="b">
        <v>0</v>
      </c>
      <c r="K266">
        <v>30</v>
      </c>
      <c r="L266">
        <v>7</v>
      </c>
      <c r="M266">
        <v>2026</v>
      </c>
      <c r="N266">
        <v>2</v>
      </c>
      <c r="O266">
        <v>6</v>
      </c>
      <c r="P266">
        <v>2026</v>
      </c>
      <c r="Q266">
        <v>0</v>
      </c>
      <c r="R266" t="s">
        <v>40</v>
      </c>
      <c r="S266" t="s">
        <v>55</v>
      </c>
      <c r="T266" t="s">
        <v>42</v>
      </c>
      <c r="U266" t="s">
        <v>40</v>
      </c>
      <c r="V266" t="s">
        <v>91</v>
      </c>
      <c r="W266" t="s">
        <v>92</v>
      </c>
      <c r="X266" t="s">
        <v>76</v>
      </c>
      <c r="Y266">
        <v>65</v>
      </c>
      <c r="Z266" t="s">
        <v>107</v>
      </c>
      <c r="AA266" t="s">
        <v>108</v>
      </c>
      <c r="AB266" s="1">
        <v>46211</v>
      </c>
      <c r="AC266" t="s">
        <v>40</v>
      </c>
      <c r="AD266" t="s">
        <v>40</v>
      </c>
      <c r="AE266" t="s">
        <v>86</v>
      </c>
      <c r="AF266" t="s">
        <v>40</v>
      </c>
      <c r="AG266">
        <v>0</v>
      </c>
      <c r="AH266" t="s">
        <v>70</v>
      </c>
    </row>
    <row r="267" spans="1:34" x14ac:dyDescent="0.3">
      <c r="A267" t="s">
        <v>597</v>
      </c>
      <c r="B267" t="s">
        <v>452</v>
      </c>
      <c r="C267" t="s">
        <v>97</v>
      </c>
      <c r="D267" t="s">
        <v>90</v>
      </c>
      <c r="E267" s="1">
        <v>45841</v>
      </c>
      <c r="F267" s="1">
        <v>45901</v>
      </c>
      <c r="G267" t="s">
        <v>64</v>
      </c>
      <c r="H267">
        <v>2830</v>
      </c>
      <c r="I267" t="s">
        <v>54</v>
      </c>
      <c r="J267" t="b">
        <v>0</v>
      </c>
      <c r="K267">
        <v>60</v>
      </c>
      <c r="L267">
        <v>9</v>
      </c>
      <c r="M267">
        <v>2025</v>
      </c>
      <c r="N267">
        <v>0</v>
      </c>
      <c r="O267">
        <v>7</v>
      </c>
      <c r="P267">
        <v>2025</v>
      </c>
      <c r="Q267">
        <v>3</v>
      </c>
      <c r="R267" t="s">
        <v>40</v>
      </c>
      <c r="S267" t="s">
        <v>55</v>
      </c>
      <c r="T267" t="s">
        <v>42</v>
      </c>
      <c r="U267" t="s">
        <v>40</v>
      </c>
      <c r="V267" t="s">
        <v>98</v>
      </c>
      <c r="W267" t="s">
        <v>99</v>
      </c>
      <c r="X267" t="s">
        <v>76</v>
      </c>
      <c r="Y267">
        <v>80</v>
      </c>
      <c r="Z267" t="s">
        <v>93</v>
      </c>
      <c r="AA267" t="s">
        <v>94</v>
      </c>
      <c r="AB267" s="1">
        <v>45901</v>
      </c>
      <c r="AC267" t="s">
        <v>40</v>
      </c>
      <c r="AD267" t="s">
        <v>40</v>
      </c>
      <c r="AE267" t="s">
        <v>60</v>
      </c>
      <c r="AF267" t="s">
        <v>40</v>
      </c>
      <c r="AG267">
        <v>1</v>
      </c>
      <c r="AH267" t="s">
        <v>61</v>
      </c>
    </row>
    <row r="268" spans="1:34" x14ac:dyDescent="0.3">
      <c r="A268" t="s">
        <v>598</v>
      </c>
      <c r="B268" t="s">
        <v>581</v>
      </c>
      <c r="C268" t="s">
        <v>73</v>
      </c>
      <c r="D268" t="s">
        <v>130</v>
      </c>
      <c r="E268" s="1">
        <v>46295</v>
      </c>
      <c r="F268" s="1">
        <v>46355</v>
      </c>
      <c r="G268" t="s">
        <v>64</v>
      </c>
      <c r="H268">
        <v>18088</v>
      </c>
      <c r="I268" t="s">
        <v>39</v>
      </c>
      <c r="J268" t="b">
        <v>1</v>
      </c>
      <c r="K268">
        <v>60</v>
      </c>
      <c r="L268">
        <v>11</v>
      </c>
      <c r="M268">
        <v>2026</v>
      </c>
      <c r="N268">
        <v>6</v>
      </c>
      <c r="O268">
        <v>9</v>
      </c>
      <c r="P268">
        <v>2026</v>
      </c>
      <c r="Q268">
        <v>2</v>
      </c>
      <c r="R268" t="s">
        <v>66</v>
      </c>
      <c r="S268" t="s">
        <v>45</v>
      </c>
      <c r="T268" t="s">
        <v>139</v>
      </c>
      <c r="U268" t="s">
        <v>40</v>
      </c>
      <c r="V268" t="s">
        <v>74</v>
      </c>
      <c r="W268" t="s">
        <v>75</v>
      </c>
      <c r="X268" t="s">
        <v>76</v>
      </c>
      <c r="Y268">
        <v>75</v>
      </c>
      <c r="Z268" t="s">
        <v>133</v>
      </c>
      <c r="AA268" t="s">
        <v>134</v>
      </c>
      <c r="AB268" s="1">
        <v>46355</v>
      </c>
      <c r="AC268" t="s">
        <v>66</v>
      </c>
      <c r="AD268" t="s">
        <v>40</v>
      </c>
      <c r="AE268" t="s">
        <v>86</v>
      </c>
      <c r="AF268" t="s">
        <v>40</v>
      </c>
      <c r="AG268">
        <v>0</v>
      </c>
      <c r="AH268" t="s">
        <v>61</v>
      </c>
    </row>
    <row r="269" spans="1:34" x14ac:dyDescent="0.3">
      <c r="A269" t="s">
        <v>599</v>
      </c>
      <c r="B269" t="s">
        <v>460</v>
      </c>
      <c r="C269" t="s">
        <v>122</v>
      </c>
      <c r="D269" t="s">
        <v>104</v>
      </c>
      <c r="E269" s="1">
        <v>46110</v>
      </c>
      <c r="F269" s="1">
        <v>46111</v>
      </c>
      <c r="G269" t="s">
        <v>64</v>
      </c>
      <c r="H269">
        <v>4006</v>
      </c>
      <c r="I269" t="s">
        <v>39</v>
      </c>
      <c r="J269" t="b">
        <v>0</v>
      </c>
      <c r="K269">
        <v>1</v>
      </c>
      <c r="L269">
        <v>3</v>
      </c>
      <c r="M269">
        <v>2026</v>
      </c>
      <c r="N269">
        <v>0</v>
      </c>
      <c r="O269">
        <v>3</v>
      </c>
      <c r="P269">
        <v>2026</v>
      </c>
      <c r="Q269">
        <v>6</v>
      </c>
      <c r="R269" t="s">
        <v>40</v>
      </c>
      <c r="S269" t="s">
        <v>41</v>
      </c>
      <c r="T269" t="s">
        <v>286</v>
      </c>
      <c r="U269" t="s">
        <v>40</v>
      </c>
      <c r="V269" t="s">
        <v>124</v>
      </c>
      <c r="W269" t="s">
        <v>125</v>
      </c>
      <c r="X269" t="s">
        <v>126</v>
      </c>
      <c r="Y269">
        <v>85</v>
      </c>
      <c r="Z269" t="s">
        <v>107</v>
      </c>
      <c r="AA269" t="s">
        <v>108</v>
      </c>
      <c r="AB269" s="1">
        <v>46111</v>
      </c>
      <c r="AC269" t="s">
        <v>40</v>
      </c>
      <c r="AD269" t="s">
        <v>40</v>
      </c>
      <c r="AE269" t="s">
        <v>60</v>
      </c>
      <c r="AF269" t="s">
        <v>40</v>
      </c>
      <c r="AG269">
        <v>0</v>
      </c>
      <c r="AH269" t="s">
        <v>100</v>
      </c>
    </row>
    <row r="270" spans="1:34" x14ac:dyDescent="0.3">
      <c r="A270" t="s">
        <v>600</v>
      </c>
      <c r="B270" t="s">
        <v>601</v>
      </c>
      <c r="C270" t="s">
        <v>97</v>
      </c>
      <c r="D270" t="s">
        <v>130</v>
      </c>
      <c r="E270" s="1">
        <v>46326</v>
      </c>
      <c r="F270" s="1">
        <v>46340</v>
      </c>
      <c r="G270" t="s">
        <v>38</v>
      </c>
      <c r="H270">
        <v>5867</v>
      </c>
      <c r="I270" t="s">
        <v>54</v>
      </c>
      <c r="J270" t="b">
        <v>0</v>
      </c>
      <c r="K270">
        <v>14</v>
      </c>
      <c r="L270">
        <v>11</v>
      </c>
      <c r="M270">
        <v>2026</v>
      </c>
      <c r="N270">
        <v>5</v>
      </c>
      <c r="O270">
        <v>10</v>
      </c>
      <c r="P270">
        <v>2026</v>
      </c>
      <c r="Q270">
        <v>5</v>
      </c>
      <c r="R270" t="s">
        <v>66</v>
      </c>
      <c r="S270" t="s">
        <v>67</v>
      </c>
      <c r="T270" t="s">
        <v>42</v>
      </c>
      <c r="U270" t="s">
        <v>40</v>
      </c>
      <c r="V270" t="s">
        <v>98</v>
      </c>
      <c r="W270" t="s">
        <v>99</v>
      </c>
      <c r="X270" t="s">
        <v>76</v>
      </c>
      <c r="Y270">
        <v>80</v>
      </c>
      <c r="Z270" t="s">
        <v>133</v>
      </c>
      <c r="AA270" t="s">
        <v>134</v>
      </c>
      <c r="AB270" s="1">
        <v>46340</v>
      </c>
      <c r="AC270" t="s">
        <v>66</v>
      </c>
      <c r="AD270" t="s">
        <v>40</v>
      </c>
      <c r="AE270" t="s">
        <v>86</v>
      </c>
      <c r="AF270" t="s">
        <v>40</v>
      </c>
      <c r="AG270">
        <v>1</v>
      </c>
      <c r="AH270" t="s">
        <v>70</v>
      </c>
    </row>
    <row r="271" spans="1:34" x14ac:dyDescent="0.3">
      <c r="A271" t="s">
        <v>602</v>
      </c>
      <c r="B271" t="s">
        <v>603</v>
      </c>
      <c r="C271" t="s">
        <v>103</v>
      </c>
      <c r="D271" t="s">
        <v>90</v>
      </c>
      <c r="E271" s="1">
        <v>45823</v>
      </c>
      <c r="F271" s="1">
        <v>45883</v>
      </c>
      <c r="G271" t="s">
        <v>38</v>
      </c>
      <c r="H271">
        <v>5871</v>
      </c>
      <c r="I271" t="s">
        <v>39</v>
      </c>
      <c r="J271" t="b">
        <v>0</v>
      </c>
      <c r="K271">
        <v>60</v>
      </c>
      <c r="L271">
        <v>8</v>
      </c>
      <c r="M271">
        <v>2025</v>
      </c>
      <c r="N271">
        <v>3</v>
      </c>
      <c r="O271">
        <v>6</v>
      </c>
      <c r="P271">
        <v>2025</v>
      </c>
      <c r="Q271">
        <v>6</v>
      </c>
      <c r="R271" t="s">
        <v>40</v>
      </c>
      <c r="S271" t="s">
        <v>55</v>
      </c>
      <c r="T271" t="s">
        <v>286</v>
      </c>
      <c r="U271" t="s">
        <v>40</v>
      </c>
      <c r="V271" t="s">
        <v>105</v>
      </c>
      <c r="W271" t="s">
        <v>106</v>
      </c>
      <c r="X271" t="s">
        <v>45</v>
      </c>
      <c r="Y271">
        <v>140</v>
      </c>
      <c r="Z271" t="s">
        <v>93</v>
      </c>
      <c r="AA271" t="s">
        <v>94</v>
      </c>
      <c r="AB271" s="1">
        <v>45883</v>
      </c>
      <c r="AC271" t="s">
        <v>40</v>
      </c>
      <c r="AD271" t="s">
        <v>40</v>
      </c>
      <c r="AE271" t="s">
        <v>86</v>
      </c>
      <c r="AF271" t="s">
        <v>40</v>
      </c>
      <c r="AG271">
        <v>0</v>
      </c>
      <c r="AH271" t="s">
        <v>61</v>
      </c>
    </row>
    <row r="272" spans="1:34" x14ac:dyDescent="0.3">
      <c r="A272" t="s">
        <v>604</v>
      </c>
      <c r="B272" t="s">
        <v>605</v>
      </c>
      <c r="C272" t="s">
        <v>36</v>
      </c>
      <c r="D272" t="s">
        <v>104</v>
      </c>
      <c r="E272" s="1">
        <v>46221</v>
      </c>
      <c r="F272" s="1">
        <v>46222</v>
      </c>
      <c r="G272" t="s">
        <v>41</v>
      </c>
      <c r="H272">
        <v>7158</v>
      </c>
      <c r="I272" t="s">
        <v>39</v>
      </c>
      <c r="J272" t="b">
        <v>0</v>
      </c>
      <c r="K272">
        <v>1</v>
      </c>
      <c r="L272">
        <v>7</v>
      </c>
      <c r="M272">
        <v>2026</v>
      </c>
      <c r="N272">
        <v>6</v>
      </c>
      <c r="O272">
        <v>7</v>
      </c>
      <c r="P272">
        <v>2026</v>
      </c>
      <c r="Q272">
        <v>5</v>
      </c>
      <c r="R272" t="s">
        <v>66</v>
      </c>
      <c r="S272" t="s">
        <v>41</v>
      </c>
      <c r="T272" t="s">
        <v>42</v>
      </c>
      <c r="U272" t="s">
        <v>40</v>
      </c>
      <c r="V272" t="s">
        <v>43</v>
      </c>
      <c r="W272" t="s">
        <v>44</v>
      </c>
      <c r="X272" t="s">
        <v>45</v>
      </c>
      <c r="Y272">
        <v>150</v>
      </c>
      <c r="Z272" t="s">
        <v>107</v>
      </c>
      <c r="AA272" t="s">
        <v>108</v>
      </c>
      <c r="AB272" s="1">
        <v>46222</v>
      </c>
      <c r="AC272" t="s">
        <v>66</v>
      </c>
      <c r="AD272" t="s">
        <v>40</v>
      </c>
      <c r="AE272" t="s">
        <v>86</v>
      </c>
      <c r="AF272" t="s">
        <v>40</v>
      </c>
      <c r="AG272">
        <v>0</v>
      </c>
      <c r="AH272" t="s">
        <v>100</v>
      </c>
    </row>
    <row r="273" spans="1:34" x14ac:dyDescent="0.3">
      <c r="A273" t="s">
        <v>606</v>
      </c>
      <c r="B273" t="s">
        <v>346</v>
      </c>
      <c r="C273" t="s">
        <v>79</v>
      </c>
      <c r="D273" t="s">
        <v>90</v>
      </c>
      <c r="E273" s="1">
        <v>46287</v>
      </c>
      <c r="F273" s="1">
        <v>46317</v>
      </c>
      <c r="G273" t="s">
        <v>41</v>
      </c>
      <c r="H273">
        <v>5953</v>
      </c>
      <c r="I273" t="s">
        <v>39</v>
      </c>
      <c r="J273" t="b">
        <v>0</v>
      </c>
      <c r="K273">
        <v>30</v>
      </c>
      <c r="L273">
        <v>10</v>
      </c>
      <c r="M273">
        <v>2026</v>
      </c>
      <c r="N273">
        <v>3</v>
      </c>
      <c r="O273">
        <v>9</v>
      </c>
      <c r="P273">
        <v>2026</v>
      </c>
      <c r="Q273">
        <v>1</v>
      </c>
      <c r="R273" t="s">
        <v>40</v>
      </c>
      <c r="S273" t="s">
        <v>45</v>
      </c>
      <c r="T273" t="s">
        <v>42</v>
      </c>
      <c r="U273" t="s">
        <v>66</v>
      </c>
      <c r="V273" t="s">
        <v>82</v>
      </c>
      <c r="W273" t="s">
        <v>83</v>
      </c>
      <c r="X273" t="s">
        <v>76</v>
      </c>
      <c r="Y273">
        <v>100</v>
      </c>
      <c r="Z273" t="s">
        <v>93</v>
      </c>
      <c r="AA273" t="s">
        <v>94</v>
      </c>
      <c r="AB273" s="1">
        <v>46317</v>
      </c>
      <c r="AC273" t="s">
        <v>40</v>
      </c>
      <c r="AD273" t="s">
        <v>40</v>
      </c>
      <c r="AE273" t="s">
        <v>60</v>
      </c>
      <c r="AF273" t="s">
        <v>40</v>
      </c>
      <c r="AG273">
        <v>0</v>
      </c>
      <c r="AH273" t="s">
        <v>70</v>
      </c>
    </row>
    <row r="274" spans="1:34" x14ac:dyDescent="0.3">
      <c r="A274" t="s">
        <v>607</v>
      </c>
      <c r="B274" t="s">
        <v>608</v>
      </c>
      <c r="C274" t="s">
        <v>122</v>
      </c>
      <c r="D274" t="s">
        <v>37</v>
      </c>
      <c r="E274" s="1">
        <v>45778</v>
      </c>
      <c r="F274" s="1">
        <v>45838</v>
      </c>
      <c r="G274" t="s">
        <v>38</v>
      </c>
      <c r="H274">
        <v>5195</v>
      </c>
      <c r="I274" t="s">
        <v>39</v>
      </c>
      <c r="J274" t="b">
        <v>0</v>
      </c>
      <c r="K274">
        <v>60</v>
      </c>
      <c r="L274">
        <v>6</v>
      </c>
      <c r="M274">
        <v>2025</v>
      </c>
      <c r="N274">
        <v>0</v>
      </c>
      <c r="O274">
        <v>5</v>
      </c>
      <c r="P274">
        <v>2025</v>
      </c>
      <c r="Q274">
        <v>3</v>
      </c>
      <c r="R274" t="s">
        <v>40</v>
      </c>
      <c r="S274" t="s">
        <v>67</v>
      </c>
      <c r="T274" t="s">
        <v>42</v>
      </c>
      <c r="U274" t="s">
        <v>40</v>
      </c>
      <c r="V274" t="s">
        <v>124</v>
      </c>
      <c r="W274" t="s">
        <v>125</v>
      </c>
      <c r="X274" t="s">
        <v>126</v>
      </c>
      <c r="Y274">
        <v>85</v>
      </c>
      <c r="Z274" t="s">
        <v>46</v>
      </c>
      <c r="AA274" t="s">
        <v>47</v>
      </c>
      <c r="AB274" s="1">
        <v>45838</v>
      </c>
      <c r="AC274" t="s">
        <v>40</v>
      </c>
      <c r="AD274" t="s">
        <v>40</v>
      </c>
      <c r="AE274" t="s">
        <v>60</v>
      </c>
      <c r="AF274" t="s">
        <v>40</v>
      </c>
      <c r="AG274">
        <v>0</v>
      </c>
      <c r="AH274" t="s">
        <v>61</v>
      </c>
    </row>
    <row r="275" spans="1:34" x14ac:dyDescent="0.3">
      <c r="A275" t="s">
        <v>609</v>
      </c>
      <c r="B275" t="s">
        <v>610</v>
      </c>
      <c r="C275" t="s">
        <v>89</v>
      </c>
      <c r="D275" t="s">
        <v>53</v>
      </c>
      <c r="E275" s="1">
        <v>45918</v>
      </c>
      <c r="F275" s="1">
        <v>45978</v>
      </c>
      <c r="G275" t="s">
        <v>81</v>
      </c>
      <c r="H275">
        <v>39808</v>
      </c>
      <c r="I275" t="s">
        <v>39</v>
      </c>
      <c r="J275" t="b">
        <v>1</v>
      </c>
      <c r="K275">
        <v>60</v>
      </c>
      <c r="L275">
        <v>11</v>
      </c>
      <c r="M275">
        <v>2025</v>
      </c>
      <c r="N275">
        <v>0</v>
      </c>
      <c r="O275">
        <v>9</v>
      </c>
      <c r="P275">
        <v>2025</v>
      </c>
      <c r="Q275">
        <v>3</v>
      </c>
      <c r="R275" t="s">
        <v>40</v>
      </c>
      <c r="S275" t="s">
        <v>41</v>
      </c>
      <c r="T275" t="s">
        <v>42</v>
      </c>
      <c r="U275" t="s">
        <v>66</v>
      </c>
      <c r="V275" t="s">
        <v>91</v>
      </c>
      <c r="W275" t="s">
        <v>92</v>
      </c>
      <c r="X275" t="s">
        <v>76</v>
      </c>
      <c r="Y275">
        <v>65</v>
      </c>
      <c r="Z275" t="s">
        <v>58</v>
      </c>
      <c r="AA275" t="s">
        <v>59</v>
      </c>
      <c r="AB275" s="1">
        <v>45978</v>
      </c>
      <c r="AC275" t="s">
        <v>40</v>
      </c>
      <c r="AD275" t="s">
        <v>40</v>
      </c>
      <c r="AE275" t="s">
        <v>86</v>
      </c>
      <c r="AF275" t="s">
        <v>40</v>
      </c>
      <c r="AG275">
        <v>0</v>
      </c>
      <c r="AH275" t="s">
        <v>61</v>
      </c>
    </row>
    <row r="276" spans="1:34" x14ac:dyDescent="0.3">
      <c r="A276" t="s">
        <v>611</v>
      </c>
      <c r="B276" t="s">
        <v>612</v>
      </c>
      <c r="C276" t="s">
        <v>155</v>
      </c>
      <c r="D276" t="s">
        <v>130</v>
      </c>
      <c r="E276" s="1">
        <v>45837</v>
      </c>
      <c r="F276" s="1">
        <v>45844</v>
      </c>
      <c r="G276" t="s">
        <v>81</v>
      </c>
      <c r="H276">
        <v>6791</v>
      </c>
      <c r="I276" t="s">
        <v>39</v>
      </c>
      <c r="J276" t="b">
        <v>0</v>
      </c>
      <c r="K276">
        <v>7</v>
      </c>
      <c r="L276">
        <v>7</v>
      </c>
      <c r="M276">
        <v>2025</v>
      </c>
      <c r="N276">
        <v>6</v>
      </c>
      <c r="O276">
        <v>6</v>
      </c>
      <c r="P276">
        <v>2025</v>
      </c>
      <c r="Q276">
        <v>6</v>
      </c>
      <c r="R276" t="s">
        <v>66</v>
      </c>
      <c r="S276" t="s">
        <v>41</v>
      </c>
      <c r="T276" t="s">
        <v>42</v>
      </c>
      <c r="U276" t="s">
        <v>66</v>
      </c>
      <c r="V276" t="s">
        <v>156</v>
      </c>
      <c r="W276" t="s">
        <v>157</v>
      </c>
      <c r="X276" t="s">
        <v>158</v>
      </c>
      <c r="Y276">
        <v>70</v>
      </c>
      <c r="Z276" t="s">
        <v>133</v>
      </c>
      <c r="AA276" t="s">
        <v>134</v>
      </c>
      <c r="AB276" s="1">
        <v>45844</v>
      </c>
      <c r="AC276" t="s">
        <v>66</v>
      </c>
      <c r="AD276" t="s">
        <v>40</v>
      </c>
      <c r="AE276" t="s">
        <v>86</v>
      </c>
      <c r="AF276" t="s">
        <v>40</v>
      </c>
      <c r="AG276">
        <v>0</v>
      </c>
      <c r="AH276" t="s">
        <v>100</v>
      </c>
    </row>
    <row r="277" spans="1:34" x14ac:dyDescent="0.3">
      <c r="A277" t="s">
        <v>613</v>
      </c>
      <c r="B277" t="s">
        <v>614</v>
      </c>
      <c r="C277" t="s">
        <v>79</v>
      </c>
      <c r="D277" t="s">
        <v>104</v>
      </c>
      <c r="E277" s="1">
        <v>46081</v>
      </c>
      <c r="F277" s="1">
        <v>46231</v>
      </c>
      <c r="G277" t="s">
        <v>64</v>
      </c>
      <c r="H277">
        <v>2813</v>
      </c>
      <c r="I277" t="s">
        <v>54</v>
      </c>
      <c r="J277" t="b">
        <v>0</v>
      </c>
      <c r="K277">
        <v>150</v>
      </c>
      <c r="L277">
        <v>7</v>
      </c>
      <c r="M277">
        <v>2026</v>
      </c>
      <c r="N277">
        <v>1</v>
      </c>
      <c r="O277">
        <v>2</v>
      </c>
      <c r="P277">
        <v>2026</v>
      </c>
      <c r="Q277">
        <v>5</v>
      </c>
      <c r="R277" t="s">
        <v>40</v>
      </c>
      <c r="S277" t="s">
        <v>67</v>
      </c>
      <c r="T277" t="s">
        <v>42</v>
      </c>
      <c r="U277" t="s">
        <v>40</v>
      </c>
      <c r="V277" t="s">
        <v>82</v>
      </c>
      <c r="W277" t="s">
        <v>83</v>
      </c>
      <c r="X277" t="s">
        <v>76</v>
      </c>
      <c r="Y277">
        <v>100</v>
      </c>
      <c r="Z277" t="s">
        <v>107</v>
      </c>
      <c r="AA277" t="s">
        <v>108</v>
      </c>
      <c r="AB277" s="1">
        <v>46231</v>
      </c>
      <c r="AC277" t="s">
        <v>40</v>
      </c>
      <c r="AD277" t="s">
        <v>40</v>
      </c>
      <c r="AE277" t="s">
        <v>86</v>
      </c>
      <c r="AF277" t="s">
        <v>40</v>
      </c>
      <c r="AG277">
        <v>1</v>
      </c>
      <c r="AH277" t="s">
        <v>49</v>
      </c>
    </row>
    <row r="278" spans="1:34" x14ac:dyDescent="0.3">
      <c r="A278" t="s">
        <v>615</v>
      </c>
      <c r="B278" t="s">
        <v>330</v>
      </c>
      <c r="C278" t="s">
        <v>79</v>
      </c>
      <c r="D278" t="s">
        <v>130</v>
      </c>
      <c r="E278" s="1">
        <v>45810</v>
      </c>
      <c r="F278" s="1">
        <v>45817</v>
      </c>
      <c r="G278" t="s">
        <v>64</v>
      </c>
      <c r="H278">
        <v>2968</v>
      </c>
      <c r="I278" t="s">
        <v>39</v>
      </c>
      <c r="J278" t="b">
        <v>0</v>
      </c>
      <c r="K278">
        <v>7</v>
      </c>
      <c r="L278">
        <v>6</v>
      </c>
      <c r="M278">
        <v>2025</v>
      </c>
      <c r="N278">
        <v>0</v>
      </c>
      <c r="O278">
        <v>6</v>
      </c>
      <c r="P278">
        <v>2025</v>
      </c>
      <c r="Q278">
        <v>0</v>
      </c>
      <c r="R278" t="s">
        <v>40</v>
      </c>
      <c r="S278" t="s">
        <v>45</v>
      </c>
      <c r="T278" t="s">
        <v>42</v>
      </c>
      <c r="U278" t="s">
        <v>40</v>
      </c>
      <c r="V278" t="s">
        <v>82</v>
      </c>
      <c r="W278" t="s">
        <v>83</v>
      </c>
      <c r="X278" t="s">
        <v>76</v>
      </c>
      <c r="Y278">
        <v>100</v>
      </c>
      <c r="Z278" t="s">
        <v>133</v>
      </c>
      <c r="AA278" t="s">
        <v>134</v>
      </c>
      <c r="AB278" s="1">
        <v>45817</v>
      </c>
      <c r="AC278" t="s">
        <v>40</v>
      </c>
      <c r="AD278" t="s">
        <v>40</v>
      </c>
      <c r="AE278" t="s">
        <v>60</v>
      </c>
      <c r="AF278" t="s">
        <v>40</v>
      </c>
      <c r="AG278">
        <v>0</v>
      </c>
      <c r="AH278" t="s">
        <v>100</v>
      </c>
    </row>
    <row r="279" spans="1:34" x14ac:dyDescent="0.3">
      <c r="A279" t="s">
        <v>616</v>
      </c>
      <c r="B279" t="s">
        <v>617</v>
      </c>
      <c r="C279" t="s">
        <v>89</v>
      </c>
      <c r="D279" t="s">
        <v>53</v>
      </c>
      <c r="E279" s="1">
        <v>45690</v>
      </c>
      <c r="F279" s="1">
        <v>45697</v>
      </c>
      <c r="G279" t="s">
        <v>64</v>
      </c>
      <c r="H279">
        <v>3996</v>
      </c>
      <c r="I279" t="s">
        <v>39</v>
      </c>
      <c r="J279" t="b">
        <v>0</v>
      </c>
      <c r="K279">
        <v>7</v>
      </c>
      <c r="L279">
        <v>2</v>
      </c>
      <c r="M279">
        <v>2025</v>
      </c>
      <c r="N279">
        <v>6</v>
      </c>
      <c r="O279">
        <v>2</v>
      </c>
      <c r="P279">
        <v>2025</v>
      </c>
      <c r="Q279">
        <v>6</v>
      </c>
      <c r="R279" t="s">
        <v>66</v>
      </c>
      <c r="S279" t="s">
        <v>55</v>
      </c>
      <c r="T279" t="s">
        <v>68</v>
      </c>
      <c r="U279" t="s">
        <v>66</v>
      </c>
      <c r="V279" t="s">
        <v>91</v>
      </c>
      <c r="W279" t="s">
        <v>92</v>
      </c>
      <c r="X279" t="s">
        <v>76</v>
      </c>
      <c r="Y279">
        <v>65</v>
      </c>
      <c r="Z279" t="s">
        <v>58</v>
      </c>
      <c r="AA279" t="s">
        <v>59</v>
      </c>
      <c r="AB279" s="1">
        <v>45697</v>
      </c>
      <c r="AC279" t="s">
        <v>66</v>
      </c>
      <c r="AD279" t="s">
        <v>40</v>
      </c>
      <c r="AE279" t="s">
        <v>60</v>
      </c>
      <c r="AF279" t="s">
        <v>40</v>
      </c>
      <c r="AG279">
        <v>0</v>
      </c>
      <c r="AH279" t="s">
        <v>100</v>
      </c>
    </row>
    <row r="280" spans="1:34" x14ac:dyDescent="0.3">
      <c r="A280" t="s">
        <v>618</v>
      </c>
      <c r="B280" t="s">
        <v>471</v>
      </c>
      <c r="C280" t="s">
        <v>36</v>
      </c>
      <c r="D280" t="s">
        <v>53</v>
      </c>
      <c r="E280" s="1">
        <v>45696</v>
      </c>
      <c r="F280" s="1">
        <v>45756</v>
      </c>
      <c r="G280" t="s">
        <v>64</v>
      </c>
      <c r="H280">
        <v>3236</v>
      </c>
      <c r="I280" t="s">
        <v>54</v>
      </c>
      <c r="J280" t="b">
        <v>0</v>
      </c>
      <c r="K280">
        <v>60</v>
      </c>
      <c r="L280">
        <v>4</v>
      </c>
      <c r="M280">
        <v>2025</v>
      </c>
      <c r="N280">
        <v>2</v>
      </c>
      <c r="O280">
        <v>2</v>
      </c>
      <c r="P280">
        <v>2025</v>
      </c>
      <c r="Q280">
        <v>5</v>
      </c>
      <c r="R280" t="s">
        <v>40</v>
      </c>
      <c r="S280" t="s">
        <v>45</v>
      </c>
      <c r="T280" t="s">
        <v>113</v>
      </c>
      <c r="U280" t="s">
        <v>66</v>
      </c>
      <c r="V280" t="s">
        <v>43</v>
      </c>
      <c r="W280" t="s">
        <v>44</v>
      </c>
      <c r="X280" t="s">
        <v>45</v>
      </c>
      <c r="Y280">
        <v>150</v>
      </c>
      <c r="Z280" t="s">
        <v>58</v>
      </c>
      <c r="AA280" t="s">
        <v>59</v>
      </c>
      <c r="AB280" s="1">
        <v>45756</v>
      </c>
      <c r="AC280" t="s">
        <v>40</v>
      </c>
      <c r="AD280" t="s">
        <v>40</v>
      </c>
      <c r="AE280" t="s">
        <v>69</v>
      </c>
      <c r="AF280" t="s">
        <v>40</v>
      </c>
      <c r="AG280">
        <v>1</v>
      </c>
      <c r="AH280" t="s">
        <v>61</v>
      </c>
    </row>
    <row r="281" spans="1:34" x14ac:dyDescent="0.3">
      <c r="A281" t="s">
        <v>619</v>
      </c>
      <c r="B281" t="s">
        <v>620</v>
      </c>
      <c r="C281" t="s">
        <v>89</v>
      </c>
      <c r="D281" t="s">
        <v>80</v>
      </c>
      <c r="E281" s="1">
        <v>45975</v>
      </c>
      <c r="F281" s="1">
        <v>46035</v>
      </c>
      <c r="G281" t="s">
        <v>38</v>
      </c>
      <c r="H281">
        <v>5614</v>
      </c>
      <c r="I281" t="s">
        <v>65</v>
      </c>
      <c r="J281" t="b">
        <v>0</v>
      </c>
      <c r="K281">
        <v>60</v>
      </c>
      <c r="L281">
        <v>1</v>
      </c>
      <c r="M281">
        <v>2026</v>
      </c>
      <c r="N281">
        <v>1</v>
      </c>
      <c r="O281">
        <v>11</v>
      </c>
      <c r="P281">
        <v>2025</v>
      </c>
      <c r="Q281">
        <v>4</v>
      </c>
      <c r="R281" t="s">
        <v>40</v>
      </c>
      <c r="S281" t="s">
        <v>45</v>
      </c>
      <c r="T281" t="s">
        <v>42</v>
      </c>
      <c r="U281" t="s">
        <v>40</v>
      </c>
      <c r="V281" t="s">
        <v>91</v>
      </c>
      <c r="W281" t="s">
        <v>92</v>
      </c>
      <c r="X281" t="s">
        <v>76</v>
      </c>
      <c r="Y281">
        <v>65</v>
      </c>
      <c r="Z281" t="s">
        <v>84</v>
      </c>
      <c r="AA281" t="s">
        <v>85</v>
      </c>
      <c r="AB281" s="1">
        <v>46035</v>
      </c>
      <c r="AC281" t="s">
        <v>40</v>
      </c>
      <c r="AD281" t="s">
        <v>40</v>
      </c>
      <c r="AE281" t="s">
        <v>86</v>
      </c>
      <c r="AF281" t="s">
        <v>40</v>
      </c>
      <c r="AG281">
        <v>0</v>
      </c>
      <c r="AH281" t="s">
        <v>61</v>
      </c>
    </row>
    <row r="282" spans="1:34" x14ac:dyDescent="0.3">
      <c r="A282" t="s">
        <v>621</v>
      </c>
      <c r="B282" t="s">
        <v>622</v>
      </c>
      <c r="C282" t="s">
        <v>36</v>
      </c>
      <c r="D282" t="s">
        <v>130</v>
      </c>
      <c r="E282" s="1">
        <v>45976</v>
      </c>
      <c r="F282" s="1">
        <v>46126</v>
      </c>
      <c r="G282" t="s">
        <v>64</v>
      </c>
      <c r="H282">
        <v>3156</v>
      </c>
      <c r="I282" t="s">
        <v>39</v>
      </c>
      <c r="J282" t="b">
        <v>0</v>
      </c>
      <c r="K282">
        <v>150</v>
      </c>
      <c r="L282">
        <v>4</v>
      </c>
      <c r="M282">
        <v>2026</v>
      </c>
      <c r="N282">
        <v>1</v>
      </c>
      <c r="O282">
        <v>11</v>
      </c>
      <c r="P282">
        <v>2025</v>
      </c>
      <c r="Q282">
        <v>5</v>
      </c>
      <c r="R282" t="s">
        <v>40</v>
      </c>
      <c r="S282" t="s">
        <v>41</v>
      </c>
      <c r="T282" t="s">
        <v>113</v>
      </c>
      <c r="U282" t="s">
        <v>40</v>
      </c>
      <c r="V282" t="s">
        <v>43</v>
      </c>
      <c r="W282" t="s">
        <v>44</v>
      </c>
      <c r="X282" t="s">
        <v>45</v>
      </c>
      <c r="Y282">
        <v>150</v>
      </c>
      <c r="Z282" t="s">
        <v>133</v>
      </c>
      <c r="AA282" t="s">
        <v>134</v>
      </c>
      <c r="AB282" s="1">
        <v>46126</v>
      </c>
      <c r="AC282" t="s">
        <v>40</v>
      </c>
      <c r="AD282" t="s">
        <v>40</v>
      </c>
      <c r="AE282" t="s">
        <v>69</v>
      </c>
      <c r="AF282" t="s">
        <v>66</v>
      </c>
      <c r="AG282">
        <v>0</v>
      </c>
      <c r="AH282" t="s">
        <v>49</v>
      </c>
    </row>
    <row r="283" spans="1:34" x14ac:dyDescent="0.3">
      <c r="A283" t="s">
        <v>623</v>
      </c>
      <c r="B283" t="s">
        <v>624</v>
      </c>
      <c r="C283" t="s">
        <v>129</v>
      </c>
      <c r="D283" t="s">
        <v>90</v>
      </c>
      <c r="E283" s="1">
        <v>45986</v>
      </c>
      <c r="F283" s="1">
        <v>45993</v>
      </c>
      <c r="G283" t="s">
        <v>81</v>
      </c>
      <c r="H283">
        <v>10113</v>
      </c>
      <c r="I283" t="s">
        <v>39</v>
      </c>
      <c r="J283" t="b">
        <v>0</v>
      </c>
      <c r="K283">
        <v>7</v>
      </c>
      <c r="L283">
        <v>12</v>
      </c>
      <c r="M283">
        <v>2025</v>
      </c>
      <c r="N283">
        <v>1</v>
      </c>
      <c r="O283">
        <v>11</v>
      </c>
      <c r="P283">
        <v>2025</v>
      </c>
      <c r="Q283">
        <v>1</v>
      </c>
      <c r="R283" t="s">
        <v>40</v>
      </c>
      <c r="S283" t="s">
        <v>45</v>
      </c>
      <c r="T283" t="s">
        <v>42</v>
      </c>
      <c r="U283" t="s">
        <v>40</v>
      </c>
      <c r="V283" t="s">
        <v>131</v>
      </c>
      <c r="W283" t="s">
        <v>132</v>
      </c>
      <c r="X283" t="s">
        <v>45</v>
      </c>
      <c r="Y283">
        <v>110</v>
      </c>
      <c r="Z283" t="s">
        <v>93</v>
      </c>
      <c r="AA283" t="s">
        <v>94</v>
      </c>
      <c r="AB283" s="1">
        <v>45993</v>
      </c>
      <c r="AC283" t="s">
        <v>40</v>
      </c>
      <c r="AD283" t="s">
        <v>40</v>
      </c>
      <c r="AE283" t="s">
        <v>69</v>
      </c>
      <c r="AF283" t="s">
        <v>40</v>
      </c>
      <c r="AG283">
        <v>0</v>
      </c>
      <c r="AH283" t="s">
        <v>100</v>
      </c>
    </row>
    <row r="284" spans="1:34" x14ac:dyDescent="0.3">
      <c r="A284" t="s">
        <v>625</v>
      </c>
      <c r="B284" t="s">
        <v>626</v>
      </c>
      <c r="C284" t="s">
        <v>155</v>
      </c>
      <c r="D284" t="s">
        <v>80</v>
      </c>
      <c r="E284" s="1">
        <v>46184</v>
      </c>
      <c r="F284" s="1">
        <v>46187</v>
      </c>
      <c r="G284" t="s">
        <v>81</v>
      </c>
      <c r="H284">
        <v>7659</v>
      </c>
      <c r="I284" t="s">
        <v>39</v>
      </c>
      <c r="J284" t="b">
        <v>0</v>
      </c>
      <c r="K284">
        <v>3</v>
      </c>
      <c r="L284">
        <v>6</v>
      </c>
      <c r="M284">
        <v>2026</v>
      </c>
      <c r="N284">
        <v>6</v>
      </c>
      <c r="O284">
        <v>6</v>
      </c>
      <c r="P284">
        <v>2026</v>
      </c>
      <c r="Q284">
        <v>3</v>
      </c>
      <c r="R284" t="s">
        <v>66</v>
      </c>
      <c r="S284" t="s">
        <v>55</v>
      </c>
      <c r="T284" t="s">
        <v>42</v>
      </c>
      <c r="U284" t="s">
        <v>40</v>
      </c>
      <c r="V284" t="s">
        <v>156</v>
      </c>
      <c r="W284" t="s">
        <v>157</v>
      </c>
      <c r="X284" t="s">
        <v>158</v>
      </c>
      <c r="Y284">
        <v>70</v>
      </c>
      <c r="Z284" t="s">
        <v>84</v>
      </c>
      <c r="AA284" t="s">
        <v>85</v>
      </c>
      <c r="AB284" s="1">
        <v>46187</v>
      </c>
      <c r="AC284" t="s">
        <v>66</v>
      </c>
      <c r="AD284" t="s">
        <v>40</v>
      </c>
      <c r="AE284" t="s">
        <v>60</v>
      </c>
      <c r="AF284" t="s">
        <v>40</v>
      </c>
      <c r="AG284">
        <v>0</v>
      </c>
      <c r="AH284" t="s">
        <v>100</v>
      </c>
    </row>
    <row r="285" spans="1:34" x14ac:dyDescent="0.3">
      <c r="A285" t="s">
        <v>627</v>
      </c>
      <c r="B285" t="s">
        <v>628</v>
      </c>
      <c r="C285" t="s">
        <v>169</v>
      </c>
      <c r="D285" t="s">
        <v>80</v>
      </c>
      <c r="E285" s="1">
        <v>46004</v>
      </c>
      <c r="F285" s="1">
        <v>46034</v>
      </c>
      <c r="G285" t="s">
        <v>64</v>
      </c>
      <c r="H285">
        <v>2259</v>
      </c>
      <c r="I285" t="s">
        <v>39</v>
      </c>
      <c r="J285" t="b">
        <v>0</v>
      </c>
      <c r="K285">
        <v>30</v>
      </c>
      <c r="L285">
        <v>1</v>
      </c>
      <c r="M285">
        <v>2026</v>
      </c>
      <c r="N285">
        <v>0</v>
      </c>
      <c r="O285">
        <v>12</v>
      </c>
      <c r="P285">
        <v>2025</v>
      </c>
      <c r="Q285">
        <v>5</v>
      </c>
      <c r="R285" t="s">
        <v>40</v>
      </c>
      <c r="S285" t="s">
        <v>45</v>
      </c>
      <c r="T285" t="s">
        <v>113</v>
      </c>
      <c r="U285" t="s">
        <v>66</v>
      </c>
      <c r="V285" t="s">
        <v>170</v>
      </c>
      <c r="W285" t="s">
        <v>171</v>
      </c>
      <c r="X285" t="s">
        <v>126</v>
      </c>
      <c r="Y285">
        <v>90</v>
      </c>
      <c r="Z285" t="s">
        <v>84</v>
      </c>
      <c r="AA285" t="s">
        <v>85</v>
      </c>
      <c r="AB285" s="1">
        <v>46034</v>
      </c>
      <c r="AC285" t="s">
        <v>40</v>
      </c>
      <c r="AD285" t="s">
        <v>40</v>
      </c>
      <c r="AE285" t="s">
        <v>86</v>
      </c>
      <c r="AF285" t="s">
        <v>40</v>
      </c>
      <c r="AG285">
        <v>0</v>
      </c>
      <c r="AH285" t="s">
        <v>70</v>
      </c>
    </row>
    <row r="286" spans="1:34" x14ac:dyDescent="0.3">
      <c r="A286" t="s">
        <v>629</v>
      </c>
      <c r="B286" t="s">
        <v>630</v>
      </c>
      <c r="C286" t="s">
        <v>155</v>
      </c>
      <c r="D286" t="s">
        <v>37</v>
      </c>
      <c r="E286" s="1">
        <v>46114</v>
      </c>
      <c r="F286" s="1">
        <v>46144</v>
      </c>
      <c r="G286" t="s">
        <v>81</v>
      </c>
      <c r="H286">
        <v>11995</v>
      </c>
      <c r="I286" t="s">
        <v>65</v>
      </c>
      <c r="J286" t="b">
        <v>0</v>
      </c>
      <c r="K286">
        <v>30</v>
      </c>
      <c r="L286">
        <v>5</v>
      </c>
      <c r="M286">
        <v>2026</v>
      </c>
      <c r="N286">
        <v>5</v>
      </c>
      <c r="O286">
        <v>4</v>
      </c>
      <c r="P286">
        <v>2026</v>
      </c>
      <c r="Q286">
        <v>3</v>
      </c>
      <c r="R286" t="s">
        <v>66</v>
      </c>
      <c r="S286" t="s">
        <v>45</v>
      </c>
      <c r="T286" t="s">
        <v>42</v>
      </c>
      <c r="U286" t="s">
        <v>40</v>
      </c>
      <c r="V286" t="s">
        <v>156</v>
      </c>
      <c r="W286" t="s">
        <v>157</v>
      </c>
      <c r="X286" t="s">
        <v>158</v>
      </c>
      <c r="Y286">
        <v>70</v>
      </c>
      <c r="Z286" t="s">
        <v>46</v>
      </c>
      <c r="AA286" t="s">
        <v>47</v>
      </c>
      <c r="AB286" s="1">
        <v>46144</v>
      </c>
      <c r="AC286" t="s">
        <v>66</v>
      </c>
      <c r="AD286" t="s">
        <v>40</v>
      </c>
      <c r="AE286" t="s">
        <v>69</v>
      </c>
      <c r="AF286" t="s">
        <v>40</v>
      </c>
      <c r="AG286">
        <v>0</v>
      </c>
      <c r="AH286" t="s">
        <v>70</v>
      </c>
    </row>
    <row r="287" spans="1:34" x14ac:dyDescent="0.3">
      <c r="A287" t="s">
        <v>631</v>
      </c>
      <c r="B287" t="s">
        <v>632</v>
      </c>
      <c r="C287" t="s">
        <v>155</v>
      </c>
      <c r="D287" t="s">
        <v>90</v>
      </c>
      <c r="E287" s="1">
        <v>45753</v>
      </c>
      <c r="F287" s="1">
        <v>45853</v>
      </c>
      <c r="G287" t="s">
        <v>41</v>
      </c>
      <c r="H287">
        <v>7909</v>
      </c>
      <c r="I287" t="s">
        <v>212</v>
      </c>
      <c r="J287" t="b">
        <v>0</v>
      </c>
      <c r="K287">
        <v>100</v>
      </c>
      <c r="L287">
        <v>7</v>
      </c>
      <c r="M287">
        <v>2025</v>
      </c>
      <c r="N287">
        <v>1</v>
      </c>
      <c r="O287">
        <v>4</v>
      </c>
      <c r="P287">
        <v>2025</v>
      </c>
      <c r="Q287">
        <v>6</v>
      </c>
      <c r="R287" t="s">
        <v>40</v>
      </c>
      <c r="S287" t="s">
        <v>55</v>
      </c>
      <c r="T287" t="s">
        <v>42</v>
      </c>
      <c r="U287" t="s">
        <v>40</v>
      </c>
      <c r="V287" t="s">
        <v>156</v>
      </c>
      <c r="W287" t="s">
        <v>157</v>
      </c>
      <c r="X287" t="s">
        <v>158</v>
      </c>
      <c r="Y287">
        <v>70</v>
      </c>
      <c r="Z287" t="s">
        <v>93</v>
      </c>
      <c r="AA287" t="s">
        <v>94</v>
      </c>
      <c r="AB287" s="1">
        <v>45853</v>
      </c>
      <c r="AC287" t="s">
        <v>40</v>
      </c>
      <c r="AD287" t="s">
        <v>40</v>
      </c>
      <c r="AE287" t="s">
        <v>86</v>
      </c>
      <c r="AF287" t="s">
        <v>40</v>
      </c>
      <c r="AG287">
        <v>0</v>
      </c>
      <c r="AH287" t="s">
        <v>49</v>
      </c>
    </row>
    <row r="288" spans="1:34" x14ac:dyDescent="0.3">
      <c r="A288" t="s">
        <v>633</v>
      </c>
      <c r="B288" t="s">
        <v>431</v>
      </c>
      <c r="C288" t="s">
        <v>155</v>
      </c>
      <c r="D288" t="s">
        <v>53</v>
      </c>
      <c r="E288" s="1">
        <v>46030</v>
      </c>
      <c r="F288" s="1">
        <v>46044</v>
      </c>
      <c r="G288" t="s">
        <v>81</v>
      </c>
      <c r="H288">
        <v>6747</v>
      </c>
      <c r="I288" t="s">
        <v>39</v>
      </c>
      <c r="J288" t="b">
        <v>0</v>
      </c>
      <c r="K288">
        <v>14</v>
      </c>
      <c r="L288">
        <v>1</v>
      </c>
      <c r="M288">
        <v>2026</v>
      </c>
      <c r="N288">
        <v>3</v>
      </c>
      <c r="O288">
        <v>1</v>
      </c>
      <c r="P288">
        <v>2026</v>
      </c>
      <c r="Q288">
        <v>3</v>
      </c>
      <c r="R288" t="s">
        <v>40</v>
      </c>
      <c r="S288" t="s">
        <v>67</v>
      </c>
      <c r="T288" t="s">
        <v>42</v>
      </c>
      <c r="U288" t="s">
        <v>40</v>
      </c>
      <c r="V288" t="s">
        <v>156</v>
      </c>
      <c r="W288" t="s">
        <v>157</v>
      </c>
      <c r="X288" t="s">
        <v>158</v>
      </c>
      <c r="Y288">
        <v>70</v>
      </c>
      <c r="Z288" t="s">
        <v>58</v>
      </c>
      <c r="AA288" t="s">
        <v>59</v>
      </c>
      <c r="AB288" s="1">
        <v>46044</v>
      </c>
      <c r="AC288" t="s">
        <v>40</v>
      </c>
      <c r="AD288" t="s">
        <v>40</v>
      </c>
      <c r="AE288" t="s">
        <v>86</v>
      </c>
      <c r="AF288" t="s">
        <v>40</v>
      </c>
      <c r="AG288">
        <v>0</v>
      </c>
      <c r="AH288" t="s">
        <v>70</v>
      </c>
    </row>
    <row r="289" spans="1:34" x14ac:dyDescent="0.3">
      <c r="A289" t="s">
        <v>634</v>
      </c>
      <c r="B289" t="s">
        <v>635</v>
      </c>
      <c r="C289" t="s">
        <v>169</v>
      </c>
      <c r="D289" t="s">
        <v>53</v>
      </c>
      <c r="E289" s="1">
        <v>46276</v>
      </c>
      <c r="F289" s="1">
        <v>46306</v>
      </c>
      <c r="G289" t="s">
        <v>64</v>
      </c>
      <c r="H289">
        <v>3874</v>
      </c>
      <c r="I289" t="s">
        <v>39</v>
      </c>
      <c r="J289" t="b">
        <v>0</v>
      </c>
      <c r="K289">
        <v>30</v>
      </c>
      <c r="L289">
        <v>10</v>
      </c>
      <c r="M289">
        <v>2026</v>
      </c>
      <c r="N289">
        <v>6</v>
      </c>
      <c r="O289">
        <v>9</v>
      </c>
      <c r="P289">
        <v>2026</v>
      </c>
      <c r="Q289">
        <v>4</v>
      </c>
      <c r="R289" t="s">
        <v>66</v>
      </c>
      <c r="S289" t="s">
        <v>41</v>
      </c>
      <c r="T289" t="s">
        <v>123</v>
      </c>
      <c r="U289" t="s">
        <v>40</v>
      </c>
      <c r="V289" t="s">
        <v>170</v>
      </c>
      <c r="W289" t="s">
        <v>171</v>
      </c>
      <c r="X289" t="s">
        <v>126</v>
      </c>
      <c r="Y289">
        <v>90</v>
      </c>
      <c r="Z289" t="s">
        <v>58</v>
      </c>
      <c r="AA289" t="s">
        <v>59</v>
      </c>
      <c r="AB289" s="1">
        <v>46306</v>
      </c>
      <c r="AC289" t="s">
        <v>66</v>
      </c>
      <c r="AD289" t="s">
        <v>40</v>
      </c>
      <c r="AE289" t="s">
        <v>60</v>
      </c>
      <c r="AF289" t="s">
        <v>40</v>
      </c>
      <c r="AG289">
        <v>0</v>
      </c>
      <c r="AH289" t="s">
        <v>70</v>
      </c>
    </row>
    <row r="290" spans="1:34" x14ac:dyDescent="0.3">
      <c r="A290" t="s">
        <v>636</v>
      </c>
      <c r="B290" t="s">
        <v>637</v>
      </c>
      <c r="C290" t="s">
        <v>155</v>
      </c>
      <c r="D290" t="s">
        <v>104</v>
      </c>
      <c r="E290" s="1">
        <v>45902</v>
      </c>
      <c r="F290" s="1">
        <v>45932</v>
      </c>
      <c r="G290" t="s">
        <v>38</v>
      </c>
      <c r="H290">
        <v>3770</v>
      </c>
      <c r="I290" t="s">
        <v>65</v>
      </c>
      <c r="J290" t="b">
        <v>0</v>
      </c>
      <c r="K290">
        <v>30</v>
      </c>
      <c r="L290">
        <v>10</v>
      </c>
      <c r="M290">
        <v>2025</v>
      </c>
      <c r="N290">
        <v>3</v>
      </c>
      <c r="O290">
        <v>9</v>
      </c>
      <c r="P290">
        <v>2025</v>
      </c>
      <c r="Q290">
        <v>1</v>
      </c>
      <c r="R290" t="s">
        <v>40</v>
      </c>
      <c r="S290" t="s">
        <v>45</v>
      </c>
      <c r="T290" t="s">
        <v>42</v>
      </c>
      <c r="U290" t="s">
        <v>40</v>
      </c>
      <c r="V290" t="s">
        <v>156</v>
      </c>
      <c r="W290" t="s">
        <v>157</v>
      </c>
      <c r="X290" t="s">
        <v>158</v>
      </c>
      <c r="Y290">
        <v>70</v>
      </c>
      <c r="Z290" t="s">
        <v>107</v>
      </c>
      <c r="AA290" t="s">
        <v>108</v>
      </c>
      <c r="AB290" s="1">
        <v>45932</v>
      </c>
      <c r="AC290" t="s">
        <v>40</v>
      </c>
      <c r="AD290" t="s">
        <v>66</v>
      </c>
      <c r="AE290" t="s">
        <v>60</v>
      </c>
      <c r="AF290" t="s">
        <v>66</v>
      </c>
      <c r="AG290">
        <v>0</v>
      </c>
      <c r="AH290" t="s">
        <v>70</v>
      </c>
    </row>
    <row r="291" spans="1:34" x14ac:dyDescent="0.3">
      <c r="A291" t="s">
        <v>638</v>
      </c>
      <c r="B291" t="s">
        <v>168</v>
      </c>
      <c r="C291" t="s">
        <v>155</v>
      </c>
      <c r="D291" t="s">
        <v>53</v>
      </c>
      <c r="E291" s="1">
        <v>46215</v>
      </c>
      <c r="F291" s="1">
        <v>46275</v>
      </c>
      <c r="G291" t="s">
        <v>38</v>
      </c>
      <c r="H291">
        <v>5851</v>
      </c>
      <c r="I291" t="s">
        <v>39</v>
      </c>
      <c r="J291" t="b">
        <v>0</v>
      </c>
      <c r="K291">
        <v>60</v>
      </c>
      <c r="L291">
        <v>9</v>
      </c>
      <c r="M291">
        <v>2026</v>
      </c>
      <c r="N291">
        <v>3</v>
      </c>
      <c r="O291">
        <v>7</v>
      </c>
      <c r="P291">
        <v>2026</v>
      </c>
      <c r="Q291">
        <v>6</v>
      </c>
      <c r="R291" t="s">
        <v>40</v>
      </c>
      <c r="S291" t="s">
        <v>55</v>
      </c>
      <c r="T291" t="s">
        <v>42</v>
      </c>
      <c r="U291" t="s">
        <v>40</v>
      </c>
      <c r="V291" t="s">
        <v>156</v>
      </c>
      <c r="W291" t="s">
        <v>157</v>
      </c>
      <c r="X291" t="s">
        <v>158</v>
      </c>
      <c r="Y291">
        <v>70</v>
      </c>
      <c r="Z291" t="s">
        <v>58</v>
      </c>
      <c r="AA291" t="s">
        <v>59</v>
      </c>
      <c r="AB291" s="1">
        <v>46275</v>
      </c>
      <c r="AC291" t="s">
        <v>40</v>
      </c>
      <c r="AD291" t="s">
        <v>40</v>
      </c>
      <c r="AE291" t="s">
        <v>60</v>
      </c>
      <c r="AF291" t="s">
        <v>40</v>
      </c>
      <c r="AG291">
        <v>0</v>
      </c>
      <c r="AH291" t="s">
        <v>61</v>
      </c>
    </row>
    <row r="292" spans="1:34" x14ac:dyDescent="0.3">
      <c r="A292" t="s">
        <v>639</v>
      </c>
      <c r="B292" t="s">
        <v>640</v>
      </c>
      <c r="C292" t="s">
        <v>97</v>
      </c>
      <c r="D292" t="s">
        <v>53</v>
      </c>
      <c r="E292" s="1">
        <v>46073</v>
      </c>
      <c r="F292" s="1">
        <v>46074</v>
      </c>
      <c r="G292" t="s">
        <v>64</v>
      </c>
      <c r="H292">
        <v>3779</v>
      </c>
      <c r="I292" t="s">
        <v>54</v>
      </c>
      <c r="J292" t="b">
        <v>0</v>
      </c>
      <c r="K292">
        <v>1</v>
      </c>
      <c r="L292">
        <v>2</v>
      </c>
      <c r="M292">
        <v>2026</v>
      </c>
      <c r="N292">
        <v>5</v>
      </c>
      <c r="O292">
        <v>2</v>
      </c>
      <c r="P292">
        <v>2026</v>
      </c>
      <c r="Q292">
        <v>4</v>
      </c>
      <c r="R292" t="s">
        <v>66</v>
      </c>
      <c r="S292" t="s">
        <v>55</v>
      </c>
      <c r="T292" t="s">
        <v>139</v>
      </c>
      <c r="U292" t="s">
        <v>66</v>
      </c>
      <c r="V292" t="s">
        <v>98</v>
      </c>
      <c r="W292" t="s">
        <v>99</v>
      </c>
      <c r="X292" t="s">
        <v>76</v>
      </c>
      <c r="Y292">
        <v>80</v>
      </c>
      <c r="Z292" t="s">
        <v>58</v>
      </c>
      <c r="AA292" t="s">
        <v>59</v>
      </c>
      <c r="AB292" s="1">
        <v>46074</v>
      </c>
      <c r="AC292" t="s">
        <v>66</v>
      </c>
      <c r="AD292" t="s">
        <v>40</v>
      </c>
      <c r="AE292" t="s">
        <v>60</v>
      </c>
      <c r="AF292" t="s">
        <v>40</v>
      </c>
      <c r="AG292">
        <v>1</v>
      </c>
      <c r="AH292" t="s">
        <v>100</v>
      </c>
    </row>
    <row r="293" spans="1:34" x14ac:dyDescent="0.3">
      <c r="A293" t="s">
        <v>641</v>
      </c>
      <c r="B293" t="s">
        <v>642</v>
      </c>
      <c r="C293" t="s">
        <v>97</v>
      </c>
      <c r="D293" t="s">
        <v>80</v>
      </c>
      <c r="E293" s="1">
        <v>46309</v>
      </c>
      <c r="F293" s="1">
        <v>46369</v>
      </c>
      <c r="G293" t="s">
        <v>38</v>
      </c>
      <c r="H293">
        <v>5676</v>
      </c>
      <c r="I293" t="s">
        <v>39</v>
      </c>
      <c r="J293" t="b">
        <v>0</v>
      </c>
      <c r="K293">
        <v>60</v>
      </c>
      <c r="L293">
        <v>12</v>
      </c>
      <c r="M293">
        <v>2026</v>
      </c>
      <c r="N293">
        <v>6</v>
      </c>
      <c r="O293">
        <v>10</v>
      </c>
      <c r="P293">
        <v>2026</v>
      </c>
      <c r="Q293">
        <v>2</v>
      </c>
      <c r="R293" t="s">
        <v>66</v>
      </c>
      <c r="S293" t="s">
        <v>41</v>
      </c>
      <c r="T293" t="s">
        <v>42</v>
      </c>
      <c r="U293" t="s">
        <v>40</v>
      </c>
      <c r="V293" t="s">
        <v>98</v>
      </c>
      <c r="W293" t="s">
        <v>99</v>
      </c>
      <c r="X293" t="s">
        <v>76</v>
      </c>
      <c r="Y293">
        <v>80</v>
      </c>
      <c r="Z293" t="s">
        <v>84</v>
      </c>
      <c r="AA293" t="s">
        <v>85</v>
      </c>
      <c r="AB293" s="1">
        <v>46369</v>
      </c>
      <c r="AC293" t="s">
        <v>66</v>
      </c>
      <c r="AD293" t="s">
        <v>40</v>
      </c>
      <c r="AE293" t="s">
        <v>69</v>
      </c>
      <c r="AF293" t="s">
        <v>40</v>
      </c>
      <c r="AG293">
        <v>0</v>
      </c>
      <c r="AH293" t="s">
        <v>61</v>
      </c>
    </row>
    <row r="294" spans="1:34" x14ac:dyDescent="0.3">
      <c r="A294" t="s">
        <v>643</v>
      </c>
      <c r="B294" t="s">
        <v>644</v>
      </c>
      <c r="C294" t="s">
        <v>169</v>
      </c>
      <c r="D294" t="s">
        <v>80</v>
      </c>
      <c r="E294" s="1">
        <v>46353</v>
      </c>
      <c r="F294" s="1">
        <v>46360</v>
      </c>
      <c r="G294" t="s">
        <v>41</v>
      </c>
      <c r="H294">
        <v>7504</v>
      </c>
      <c r="I294" t="s">
        <v>39</v>
      </c>
      <c r="J294" t="b">
        <v>0</v>
      </c>
      <c r="K294">
        <v>7</v>
      </c>
      <c r="L294">
        <v>12</v>
      </c>
      <c r="M294">
        <v>2026</v>
      </c>
      <c r="N294">
        <v>4</v>
      </c>
      <c r="O294">
        <v>11</v>
      </c>
      <c r="P294">
        <v>2026</v>
      </c>
      <c r="Q294">
        <v>4</v>
      </c>
      <c r="R294" t="s">
        <v>40</v>
      </c>
      <c r="S294" t="s">
        <v>41</v>
      </c>
      <c r="T294" t="s">
        <v>139</v>
      </c>
      <c r="U294" t="s">
        <v>40</v>
      </c>
      <c r="V294" t="s">
        <v>170</v>
      </c>
      <c r="W294" t="s">
        <v>171</v>
      </c>
      <c r="X294" t="s">
        <v>126</v>
      </c>
      <c r="Y294">
        <v>90</v>
      </c>
      <c r="Z294" t="s">
        <v>84</v>
      </c>
      <c r="AA294" t="s">
        <v>85</v>
      </c>
      <c r="AB294" s="1">
        <v>46360</v>
      </c>
      <c r="AC294" t="s">
        <v>40</v>
      </c>
      <c r="AD294" t="s">
        <v>40</v>
      </c>
      <c r="AE294" t="s">
        <v>69</v>
      </c>
      <c r="AF294" t="s">
        <v>40</v>
      </c>
      <c r="AG294">
        <v>0</v>
      </c>
      <c r="AH294" t="s">
        <v>100</v>
      </c>
    </row>
    <row r="295" spans="1:34" x14ac:dyDescent="0.3">
      <c r="A295" t="s">
        <v>645</v>
      </c>
      <c r="B295" t="s">
        <v>646</v>
      </c>
      <c r="C295" t="s">
        <v>52</v>
      </c>
      <c r="D295" t="s">
        <v>53</v>
      </c>
      <c r="E295" s="1">
        <v>46220</v>
      </c>
      <c r="F295" s="1">
        <v>46370</v>
      </c>
      <c r="G295" t="s">
        <v>64</v>
      </c>
      <c r="H295">
        <v>3880</v>
      </c>
      <c r="I295" t="s">
        <v>54</v>
      </c>
      <c r="J295" t="b">
        <v>0</v>
      </c>
      <c r="K295">
        <v>150</v>
      </c>
      <c r="L295">
        <v>12</v>
      </c>
      <c r="M295">
        <v>2026</v>
      </c>
      <c r="N295">
        <v>0</v>
      </c>
      <c r="O295">
        <v>7</v>
      </c>
      <c r="P295">
        <v>2026</v>
      </c>
      <c r="Q295">
        <v>4</v>
      </c>
      <c r="R295" t="s">
        <v>40</v>
      </c>
      <c r="S295" t="s">
        <v>41</v>
      </c>
      <c r="T295" t="s">
        <v>42</v>
      </c>
      <c r="U295" t="s">
        <v>40</v>
      </c>
      <c r="V295" t="s">
        <v>56</v>
      </c>
      <c r="W295" t="s">
        <v>57</v>
      </c>
      <c r="X295" t="s">
        <v>45</v>
      </c>
      <c r="Y295">
        <v>120</v>
      </c>
      <c r="Z295" t="s">
        <v>58</v>
      </c>
      <c r="AA295" t="s">
        <v>59</v>
      </c>
      <c r="AB295" s="1">
        <v>46370</v>
      </c>
      <c r="AC295" t="s">
        <v>40</v>
      </c>
      <c r="AD295" t="s">
        <v>40</v>
      </c>
      <c r="AE295" t="s">
        <v>69</v>
      </c>
      <c r="AF295" t="s">
        <v>40</v>
      </c>
      <c r="AG295">
        <v>1</v>
      </c>
      <c r="AH295" t="s">
        <v>49</v>
      </c>
    </row>
    <row r="296" spans="1:34" x14ac:dyDescent="0.3">
      <c r="A296" t="s">
        <v>647</v>
      </c>
      <c r="B296" t="s">
        <v>195</v>
      </c>
      <c r="C296" t="s">
        <v>89</v>
      </c>
      <c r="D296" t="s">
        <v>80</v>
      </c>
      <c r="E296" s="1">
        <v>46061</v>
      </c>
      <c r="F296" s="1">
        <v>46091</v>
      </c>
      <c r="G296" t="s">
        <v>41</v>
      </c>
      <c r="H296">
        <v>5865</v>
      </c>
      <c r="I296" t="s">
        <v>39</v>
      </c>
      <c r="J296" t="b">
        <v>0</v>
      </c>
      <c r="K296">
        <v>30</v>
      </c>
      <c r="L296">
        <v>3</v>
      </c>
      <c r="M296">
        <v>2026</v>
      </c>
      <c r="N296">
        <v>1</v>
      </c>
      <c r="O296">
        <v>2</v>
      </c>
      <c r="P296">
        <v>2026</v>
      </c>
      <c r="Q296">
        <v>6</v>
      </c>
      <c r="R296" t="s">
        <v>40</v>
      </c>
      <c r="S296" t="s">
        <v>55</v>
      </c>
      <c r="T296" t="s">
        <v>42</v>
      </c>
      <c r="U296" t="s">
        <v>40</v>
      </c>
      <c r="V296" t="s">
        <v>91</v>
      </c>
      <c r="W296" t="s">
        <v>92</v>
      </c>
      <c r="X296" t="s">
        <v>76</v>
      </c>
      <c r="Y296">
        <v>65</v>
      </c>
      <c r="Z296" t="s">
        <v>84</v>
      </c>
      <c r="AA296" t="s">
        <v>85</v>
      </c>
      <c r="AB296" s="1">
        <v>46091</v>
      </c>
      <c r="AC296" t="s">
        <v>40</v>
      </c>
      <c r="AD296" t="s">
        <v>40</v>
      </c>
      <c r="AE296" t="s">
        <v>60</v>
      </c>
      <c r="AF296" t="s">
        <v>40</v>
      </c>
      <c r="AG296">
        <v>0</v>
      </c>
      <c r="AH296" t="s">
        <v>70</v>
      </c>
    </row>
    <row r="297" spans="1:34" x14ac:dyDescent="0.3">
      <c r="A297" t="s">
        <v>648</v>
      </c>
      <c r="B297" t="s">
        <v>649</v>
      </c>
      <c r="C297" t="s">
        <v>79</v>
      </c>
      <c r="D297" t="s">
        <v>104</v>
      </c>
      <c r="E297" s="1">
        <v>45815</v>
      </c>
      <c r="F297" s="1">
        <v>45822</v>
      </c>
      <c r="G297" t="s">
        <v>38</v>
      </c>
      <c r="H297">
        <v>3793</v>
      </c>
      <c r="I297" t="s">
        <v>65</v>
      </c>
      <c r="J297" t="b">
        <v>0</v>
      </c>
      <c r="K297">
        <v>7</v>
      </c>
      <c r="L297">
        <v>6</v>
      </c>
      <c r="M297">
        <v>2025</v>
      </c>
      <c r="N297">
        <v>5</v>
      </c>
      <c r="O297">
        <v>6</v>
      </c>
      <c r="P297">
        <v>2025</v>
      </c>
      <c r="Q297">
        <v>5</v>
      </c>
      <c r="R297" t="s">
        <v>66</v>
      </c>
      <c r="S297" t="s">
        <v>45</v>
      </c>
      <c r="T297" t="s">
        <v>286</v>
      </c>
      <c r="U297" t="s">
        <v>40</v>
      </c>
      <c r="V297" t="s">
        <v>82</v>
      </c>
      <c r="W297" t="s">
        <v>83</v>
      </c>
      <c r="X297" t="s">
        <v>76</v>
      </c>
      <c r="Y297">
        <v>100</v>
      </c>
      <c r="Z297" t="s">
        <v>107</v>
      </c>
      <c r="AA297" t="s">
        <v>108</v>
      </c>
      <c r="AB297" s="1">
        <v>45822</v>
      </c>
      <c r="AC297" t="s">
        <v>66</v>
      </c>
      <c r="AD297" t="s">
        <v>40</v>
      </c>
      <c r="AE297" t="s">
        <v>60</v>
      </c>
      <c r="AF297" t="s">
        <v>40</v>
      </c>
      <c r="AG297">
        <v>0</v>
      </c>
      <c r="AH297" t="s">
        <v>100</v>
      </c>
    </row>
    <row r="298" spans="1:34" x14ac:dyDescent="0.3">
      <c r="A298" t="s">
        <v>650</v>
      </c>
      <c r="B298" t="s">
        <v>651</v>
      </c>
      <c r="C298" t="s">
        <v>36</v>
      </c>
      <c r="D298" t="s">
        <v>90</v>
      </c>
      <c r="E298" s="1">
        <v>46315</v>
      </c>
      <c r="F298" s="1">
        <v>46375</v>
      </c>
      <c r="G298" t="s">
        <v>41</v>
      </c>
      <c r="H298">
        <v>5736</v>
      </c>
      <c r="I298" t="s">
        <v>65</v>
      </c>
      <c r="J298" t="b">
        <v>0</v>
      </c>
      <c r="K298">
        <v>60</v>
      </c>
      <c r="L298">
        <v>12</v>
      </c>
      <c r="M298">
        <v>2026</v>
      </c>
      <c r="N298">
        <v>5</v>
      </c>
      <c r="O298">
        <v>10</v>
      </c>
      <c r="P298">
        <v>2026</v>
      </c>
      <c r="Q298">
        <v>1</v>
      </c>
      <c r="R298" t="s">
        <v>66</v>
      </c>
      <c r="S298" t="s">
        <v>45</v>
      </c>
      <c r="T298" t="s">
        <v>286</v>
      </c>
      <c r="U298" t="s">
        <v>66</v>
      </c>
      <c r="V298" t="s">
        <v>43</v>
      </c>
      <c r="W298" t="s">
        <v>44</v>
      </c>
      <c r="X298" t="s">
        <v>45</v>
      </c>
      <c r="Y298">
        <v>150</v>
      </c>
      <c r="Z298" t="s">
        <v>93</v>
      </c>
      <c r="AA298" t="s">
        <v>94</v>
      </c>
      <c r="AB298" s="1">
        <v>46375</v>
      </c>
      <c r="AC298" t="s">
        <v>66</v>
      </c>
      <c r="AD298" t="s">
        <v>40</v>
      </c>
      <c r="AE298" t="s">
        <v>69</v>
      </c>
      <c r="AF298" t="s">
        <v>40</v>
      </c>
      <c r="AG298">
        <v>0</v>
      </c>
      <c r="AH298" t="s">
        <v>61</v>
      </c>
    </row>
    <row r="299" spans="1:34" x14ac:dyDescent="0.3">
      <c r="A299" t="s">
        <v>652</v>
      </c>
      <c r="B299" t="s">
        <v>649</v>
      </c>
      <c r="C299" t="s">
        <v>79</v>
      </c>
      <c r="D299" t="s">
        <v>90</v>
      </c>
      <c r="E299" s="1">
        <v>45848</v>
      </c>
      <c r="F299" s="1">
        <v>45862</v>
      </c>
      <c r="G299" t="s">
        <v>64</v>
      </c>
      <c r="H299">
        <v>3220</v>
      </c>
      <c r="I299" t="s">
        <v>39</v>
      </c>
      <c r="J299" t="b">
        <v>0</v>
      </c>
      <c r="K299">
        <v>14</v>
      </c>
      <c r="L299">
        <v>7</v>
      </c>
      <c r="M299">
        <v>2025</v>
      </c>
      <c r="N299">
        <v>3</v>
      </c>
      <c r="O299">
        <v>7</v>
      </c>
      <c r="P299">
        <v>2025</v>
      </c>
      <c r="Q299">
        <v>3</v>
      </c>
      <c r="R299" t="s">
        <v>40</v>
      </c>
      <c r="S299" t="s">
        <v>45</v>
      </c>
      <c r="T299" t="s">
        <v>286</v>
      </c>
      <c r="U299" t="s">
        <v>40</v>
      </c>
      <c r="V299" t="s">
        <v>82</v>
      </c>
      <c r="W299" t="s">
        <v>83</v>
      </c>
      <c r="X299" t="s">
        <v>76</v>
      </c>
      <c r="Y299">
        <v>100</v>
      </c>
      <c r="Z299" t="s">
        <v>93</v>
      </c>
      <c r="AA299" t="s">
        <v>94</v>
      </c>
      <c r="AB299" s="1">
        <v>45862</v>
      </c>
      <c r="AC299" t="s">
        <v>40</v>
      </c>
      <c r="AD299" t="s">
        <v>40</v>
      </c>
      <c r="AE299" t="s">
        <v>86</v>
      </c>
      <c r="AF299" t="s">
        <v>40</v>
      </c>
      <c r="AG299">
        <v>0</v>
      </c>
      <c r="AH299" t="s">
        <v>70</v>
      </c>
    </row>
    <row r="300" spans="1:34" x14ac:dyDescent="0.3">
      <c r="A300" t="s">
        <v>653</v>
      </c>
      <c r="B300" t="s">
        <v>361</v>
      </c>
      <c r="C300" t="s">
        <v>155</v>
      </c>
      <c r="D300" t="s">
        <v>104</v>
      </c>
      <c r="E300" s="1">
        <v>46035</v>
      </c>
      <c r="F300" s="1">
        <v>46038</v>
      </c>
      <c r="G300" t="s">
        <v>41</v>
      </c>
      <c r="H300">
        <v>6904</v>
      </c>
      <c r="I300" t="s">
        <v>39</v>
      </c>
      <c r="J300" t="b">
        <v>0</v>
      </c>
      <c r="K300">
        <v>3</v>
      </c>
      <c r="L300">
        <v>1</v>
      </c>
      <c r="M300">
        <v>2026</v>
      </c>
      <c r="N300">
        <v>4</v>
      </c>
      <c r="O300">
        <v>1</v>
      </c>
      <c r="P300">
        <v>2026</v>
      </c>
      <c r="Q300">
        <v>1</v>
      </c>
      <c r="R300" t="s">
        <v>40</v>
      </c>
      <c r="S300" t="s">
        <v>67</v>
      </c>
      <c r="T300" t="s">
        <v>286</v>
      </c>
      <c r="U300" t="s">
        <v>40</v>
      </c>
      <c r="V300" t="s">
        <v>156</v>
      </c>
      <c r="W300" t="s">
        <v>157</v>
      </c>
      <c r="X300" t="s">
        <v>158</v>
      </c>
      <c r="Y300">
        <v>70</v>
      </c>
      <c r="Z300" t="s">
        <v>107</v>
      </c>
      <c r="AA300" t="s">
        <v>108</v>
      </c>
      <c r="AB300" s="1">
        <v>46038</v>
      </c>
      <c r="AC300" t="s">
        <v>40</v>
      </c>
      <c r="AD300" t="s">
        <v>40</v>
      </c>
      <c r="AE300" t="s">
        <v>86</v>
      </c>
      <c r="AF300" t="s">
        <v>40</v>
      </c>
      <c r="AG300">
        <v>0</v>
      </c>
      <c r="AH300" t="s">
        <v>100</v>
      </c>
    </row>
    <row r="301" spans="1:34" x14ac:dyDescent="0.3">
      <c r="A301" t="s">
        <v>654</v>
      </c>
      <c r="B301" t="s">
        <v>655</v>
      </c>
      <c r="C301" t="s">
        <v>122</v>
      </c>
      <c r="D301" t="s">
        <v>37</v>
      </c>
      <c r="E301" s="1">
        <v>46337</v>
      </c>
      <c r="F301" s="1">
        <v>46487</v>
      </c>
      <c r="G301" t="s">
        <v>64</v>
      </c>
      <c r="H301">
        <v>3834</v>
      </c>
      <c r="I301" t="s">
        <v>65</v>
      </c>
      <c r="J301" t="b">
        <v>0</v>
      </c>
      <c r="K301">
        <v>150</v>
      </c>
      <c r="L301">
        <v>4</v>
      </c>
      <c r="M301">
        <v>2027</v>
      </c>
      <c r="N301">
        <v>5</v>
      </c>
      <c r="O301">
        <v>11</v>
      </c>
      <c r="P301">
        <v>2026</v>
      </c>
      <c r="Q301">
        <v>2</v>
      </c>
      <c r="R301" t="s">
        <v>66</v>
      </c>
      <c r="S301" t="s">
        <v>45</v>
      </c>
      <c r="T301" t="s">
        <v>48</v>
      </c>
      <c r="U301" t="s">
        <v>40</v>
      </c>
      <c r="V301" t="s">
        <v>124</v>
      </c>
      <c r="W301" t="s">
        <v>125</v>
      </c>
      <c r="X301" t="s">
        <v>126</v>
      </c>
      <c r="Y301">
        <v>85</v>
      </c>
      <c r="Z301" t="s">
        <v>46</v>
      </c>
      <c r="AA301" t="s">
        <v>47</v>
      </c>
      <c r="AB301" s="1"/>
      <c r="AC301" t="s">
        <v>48</v>
      </c>
      <c r="AD301" t="s">
        <v>48</v>
      </c>
      <c r="AE301" t="s">
        <v>48</v>
      </c>
      <c r="AF301" t="s">
        <v>48</v>
      </c>
      <c r="AG301">
        <v>0</v>
      </c>
      <c r="AH301" t="s">
        <v>49</v>
      </c>
    </row>
    <row r="302" spans="1:34" x14ac:dyDescent="0.3">
      <c r="A302" t="s">
        <v>656</v>
      </c>
      <c r="B302" t="s">
        <v>657</v>
      </c>
      <c r="C302" t="s">
        <v>122</v>
      </c>
      <c r="D302" t="s">
        <v>80</v>
      </c>
      <c r="E302" s="1">
        <v>46138</v>
      </c>
      <c r="F302" s="1">
        <v>46168</v>
      </c>
      <c r="G302" t="s">
        <v>81</v>
      </c>
      <c r="H302">
        <v>8869</v>
      </c>
      <c r="I302" t="s">
        <v>65</v>
      </c>
      <c r="J302" t="b">
        <v>0</v>
      </c>
      <c r="K302">
        <v>30</v>
      </c>
      <c r="L302">
        <v>5</v>
      </c>
      <c r="M302">
        <v>2026</v>
      </c>
      <c r="N302">
        <v>1</v>
      </c>
      <c r="O302">
        <v>4</v>
      </c>
      <c r="P302">
        <v>2026</v>
      </c>
      <c r="Q302">
        <v>6</v>
      </c>
      <c r="R302" t="s">
        <v>40</v>
      </c>
      <c r="S302" t="s">
        <v>55</v>
      </c>
      <c r="T302" t="s">
        <v>123</v>
      </c>
      <c r="U302" t="s">
        <v>40</v>
      </c>
      <c r="V302" t="s">
        <v>124</v>
      </c>
      <c r="W302" t="s">
        <v>125</v>
      </c>
      <c r="X302" t="s">
        <v>126</v>
      </c>
      <c r="Y302">
        <v>85</v>
      </c>
      <c r="Z302" t="s">
        <v>84</v>
      </c>
      <c r="AA302" t="s">
        <v>85</v>
      </c>
      <c r="AB302" s="1">
        <v>46168</v>
      </c>
      <c r="AC302" t="s">
        <v>40</v>
      </c>
      <c r="AD302" t="s">
        <v>40</v>
      </c>
      <c r="AE302" t="s">
        <v>69</v>
      </c>
      <c r="AF302" t="s">
        <v>40</v>
      </c>
      <c r="AG302">
        <v>0</v>
      </c>
      <c r="AH302" t="s">
        <v>70</v>
      </c>
    </row>
    <row r="303" spans="1:34" x14ac:dyDescent="0.3">
      <c r="A303" t="s">
        <v>658</v>
      </c>
      <c r="B303" t="s">
        <v>659</v>
      </c>
      <c r="C303" t="s">
        <v>169</v>
      </c>
      <c r="D303" t="s">
        <v>130</v>
      </c>
      <c r="E303" s="1">
        <v>46302</v>
      </c>
      <c r="F303" s="1">
        <v>46316</v>
      </c>
      <c r="G303" t="s">
        <v>38</v>
      </c>
      <c r="H303">
        <v>4695</v>
      </c>
      <c r="I303" t="s">
        <v>39</v>
      </c>
      <c r="J303" t="b">
        <v>0</v>
      </c>
      <c r="K303">
        <v>14</v>
      </c>
      <c r="L303">
        <v>10</v>
      </c>
      <c r="M303">
        <v>2026</v>
      </c>
      <c r="N303">
        <v>2</v>
      </c>
      <c r="O303">
        <v>10</v>
      </c>
      <c r="P303">
        <v>2026</v>
      </c>
      <c r="Q303">
        <v>2</v>
      </c>
      <c r="R303" t="s">
        <v>40</v>
      </c>
      <c r="S303" t="s">
        <v>45</v>
      </c>
      <c r="T303" t="s">
        <v>286</v>
      </c>
      <c r="U303" t="s">
        <v>66</v>
      </c>
      <c r="V303" t="s">
        <v>170</v>
      </c>
      <c r="W303" t="s">
        <v>171</v>
      </c>
      <c r="X303" t="s">
        <v>126</v>
      </c>
      <c r="Y303">
        <v>90</v>
      </c>
      <c r="Z303" t="s">
        <v>133</v>
      </c>
      <c r="AA303" t="s">
        <v>134</v>
      </c>
      <c r="AB303" s="1">
        <v>46316</v>
      </c>
      <c r="AC303" t="s">
        <v>40</v>
      </c>
      <c r="AD303" t="s">
        <v>40</v>
      </c>
      <c r="AE303" t="s">
        <v>60</v>
      </c>
      <c r="AF303" t="s">
        <v>40</v>
      </c>
      <c r="AG303">
        <v>0</v>
      </c>
      <c r="AH303" t="s">
        <v>70</v>
      </c>
    </row>
    <row r="304" spans="1:34" x14ac:dyDescent="0.3">
      <c r="A304" t="s">
        <v>660</v>
      </c>
      <c r="B304" t="s">
        <v>661</v>
      </c>
      <c r="C304" t="s">
        <v>169</v>
      </c>
      <c r="D304" t="s">
        <v>90</v>
      </c>
      <c r="E304" s="1">
        <v>46288</v>
      </c>
      <c r="F304" s="1">
        <v>46295</v>
      </c>
      <c r="G304" t="s">
        <v>81</v>
      </c>
      <c r="H304">
        <v>11446</v>
      </c>
      <c r="I304" t="s">
        <v>65</v>
      </c>
      <c r="J304" t="b">
        <v>0</v>
      </c>
      <c r="K304">
        <v>7</v>
      </c>
      <c r="L304">
        <v>9</v>
      </c>
      <c r="M304">
        <v>2026</v>
      </c>
      <c r="N304">
        <v>2</v>
      </c>
      <c r="O304">
        <v>9</v>
      </c>
      <c r="P304">
        <v>2026</v>
      </c>
      <c r="Q304">
        <v>2</v>
      </c>
      <c r="R304" t="s">
        <v>40</v>
      </c>
      <c r="S304" t="s">
        <v>55</v>
      </c>
      <c r="T304" t="s">
        <v>42</v>
      </c>
      <c r="U304" t="s">
        <v>40</v>
      </c>
      <c r="V304" t="s">
        <v>170</v>
      </c>
      <c r="W304" t="s">
        <v>171</v>
      </c>
      <c r="X304" t="s">
        <v>126</v>
      </c>
      <c r="Y304">
        <v>90</v>
      </c>
      <c r="Z304" t="s">
        <v>93</v>
      </c>
      <c r="AA304" t="s">
        <v>94</v>
      </c>
      <c r="AB304" s="1">
        <v>46295</v>
      </c>
      <c r="AC304" t="s">
        <v>40</v>
      </c>
      <c r="AD304" t="s">
        <v>40</v>
      </c>
      <c r="AE304" t="s">
        <v>60</v>
      </c>
      <c r="AF304" t="s">
        <v>40</v>
      </c>
      <c r="AG304">
        <v>0</v>
      </c>
      <c r="AH304" t="s">
        <v>100</v>
      </c>
    </row>
    <row r="305" spans="1:34" x14ac:dyDescent="0.3">
      <c r="A305" t="s">
        <v>662</v>
      </c>
      <c r="B305" t="s">
        <v>663</v>
      </c>
      <c r="C305" t="s">
        <v>97</v>
      </c>
      <c r="D305" t="s">
        <v>53</v>
      </c>
      <c r="E305" s="1">
        <v>45899</v>
      </c>
      <c r="F305" s="1">
        <v>45913</v>
      </c>
      <c r="G305" t="s">
        <v>64</v>
      </c>
      <c r="H305">
        <v>2372</v>
      </c>
      <c r="I305" t="s">
        <v>65</v>
      </c>
      <c r="J305" t="b">
        <v>0</v>
      </c>
      <c r="K305">
        <v>14</v>
      </c>
      <c r="L305">
        <v>9</v>
      </c>
      <c r="M305">
        <v>2025</v>
      </c>
      <c r="N305">
        <v>5</v>
      </c>
      <c r="O305">
        <v>8</v>
      </c>
      <c r="P305">
        <v>2025</v>
      </c>
      <c r="Q305">
        <v>5</v>
      </c>
      <c r="R305" t="s">
        <v>66</v>
      </c>
      <c r="S305" t="s">
        <v>67</v>
      </c>
      <c r="T305" t="s">
        <v>42</v>
      </c>
      <c r="U305" t="s">
        <v>40</v>
      </c>
      <c r="V305" t="s">
        <v>98</v>
      </c>
      <c r="W305" t="s">
        <v>99</v>
      </c>
      <c r="X305" t="s">
        <v>76</v>
      </c>
      <c r="Y305">
        <v>80</v>
      </c>
      <c r="Z305" t="s">
        <v>58</v>
      </c>
      <c r="AA305" t="s">
        <v>59</v>
      </c>
      <c r="AB305" s="1">
        <v>45913</v>
      </c>
      <c r="AC305" t="s">
        <v>66</v>
      </c>
      <c r="AD305" t="s">
        <v>40</v>
      </c>
      <c r="AE305" t="s">
        <v>60</v>
      </c>
      <c r="AF305" t="s">
        <v>40</v>
      </c>
      <c r="AG305">
        <v>0</v>
      </c>
      <c r="AH305" t="s">
        <v>70</v>
      </c>
    </row>
    <row r="306" spans="1:34" x14ac:dyDescent="0.3">
      <c r="A306" t="s">
        <v>664</v>
      </c>
      <c r="B306" t="s">
        <v>665</v>
      </c>
      <c r="C306" t="s">
        <v>103</v>
      </c>
      <c r="D306" t="s">
        <v>90</v>
      </c>
      <c r="E306" s="1">
        <v>46334</v>
      </c>
      <c r="F306" s="1">
        <v>46348</v>
      </c>
      <c r="G306" t="s">
        <v>38</v>
      </c>
      <c r="H306">
        <v>4913</v>
      </c>
      <c r="I306" t="s">
        <v>39</v>
      </c>
      <c r="J306" t="b">
        <v>0</v>
      </c>
      <c r="K306">
        <v>14</v>
      </c>
      <c r="L306">
        <v>11</v>
      </c>
      <c r="M306">
        <v>2026</v>
      </c>
      <c r="N306">
        <v>6</v>
      </c>
      <c r="O306">
        <v>11</v>
      </c>
      <c r="P306">
        <v>2026</v>
      </c>
      <c r="Q306">
        <v>6</v>
      </c>
      <c r="R306" t="s">
        <v>66</v>
      </c>
      <c r="S306" t="s">
        <v>45</v>
      </c>
      <c r="T306" t="s">
        <v>42</v>
      </c>
      <c r="U306" t="s">
        <v>66</v>
      </c>
      <c r="V306" t="s">
        <v>105</v>
      </c>
      <c r="W306" t="s">
        <v>106</v>
      </c>
      <c r="X306" t="s">
        <v>45</v>
      </c>
      <c r="Y306">
        <v>140</v>
      </c>
      <c r="Z306" t="s">
        <v>93</v>
      </c>
      <c r="AA306" t="s">
        <v>94</v>
      </c>
      <c r="AB306" s="1">
        <v>46348</v>
      </c>
      <c r="AC306" t="s">
        <v>66</v>
      </c>
      <c r="AD306" t="s">
        <v>40</v>
      </c>
      <c r="AE306" t="s">
        <v>86</v>
      </c>
      <c r="AF306" t="s">
        <v>40</v>
      </c>
      <c r="AG306">
        <v>0</v>
      </c>
      <c r="AH306" t="s">
        <v>70</v>
      </c>
    </row>
    <row r="307" spans="1:34" x14ac:dyDescent="0.3">
      <c r="A307" t="s">
        <v>666</v>
      </c>
      <c r="B307" t="s">
        <v>338</v>
      </c>
      <c r="C307" t="s">
        <v>103</v>
      </c>
      <c r="D307" t="s">
        <v>104</v>
      </c>
      <c r="E307" s="1">
        <v>45966</v>
      </c>
      <c r="F307" s="1">
        <v>45980</v>
      </c>
      <c r="G307" t="s">
        <v>38</v>
      </c>
      <c r="H307">
        <v>5097</v>
      </c>
      <c r="I307" t="s">
        <v>39</v>
      </c>
      <c r="J307" t="b">
        <v>0</v>
      </c>
      <c r="K307">
        <v>14</v>
      </c>
      <c r="L307">
        <v>11</v>
      </c>
      <c r="M307">
        <v>2025</v>
      </c>
      <c r="N307">
        <v>2</v>
      </c>
      <c r="O307">
        <v>11</v>
      </c>
      <c r="P307">
        <v>2025</v>
      </c>
      <c r="Q307">
        <v>2</v>
      </c>
      <c r="R307" t="s">
        <v>40</v>
      </c>
      <c r="S307" t="s">
        <v>45</v>
      </c>
      <c r="T307" t="s">
        <v>42</v>
      </c>
      <c r="U307" t="s">
        <v>40</v>
      </c>
      <c r="V307" t="s">
        <v>105</v>
      </c>
      <c r="W307" t="s">
        <v>106</v>
      </c>
      <c r="X307" t="s">
        <v>45</v>
      </c>
      <c r="Y307">
        <v>140</v>
      </c>
      <c r="Z307" t="s">
        <v>107</v>
      </c>
      <c r="AA307" t="s">
        <v>108</v>
      </c>
      <c r="AB307" s="1">
        <v>45980</v>
      </c>
      <c r="AC307" t="s">
        <v>40</v>
      </c>
      <c r="AD307" t="s">
        <v>40</v>
      </c>
      <c r="AE307" t="s">
        <v>86</v>
      </c>
      <c r="AF307" t="s">
        <v>40</v>
      </c>
      <c r="AG307">
        <v>0</v>
      </c>
      <c r="AH307" t="s">
        <v>70</v>
      </c>
    </row>
    <row r="308" spans="1:34" x14ac:dyDescent="0.3">
      <c r="A308" t="s">
        <v>667</v>
      </c>
      <c r="B308" t="s">
        <v>668</v>
      </c>
      <c r="C308" t="s">
        <v>103</v>
      </c>
      <c r="D308" t="s">
        <v>37</v>
      </c>
      <c r="E308" s="1">
        <v>45981</v>
      </c>
      <c r="F308" s="1">
        <v>46131</v>
      </c>
      <c r="G308" t="s">
        <v>64</v>
      </c>
      <c r="H308">
        <v>4079</v>
      </c>
      <c r="I308" t="s">
        <v>65</v>
      </c>
      <c r="J308" t="b">
        <v>0</v>
      </c>
      <c r="K308">
        <v>150</v>
      </c>
      <c r="L308">
        <v>4</v>
      </c>
      <c r="M308">
        <v>2026</v>
      </c>
      <c r="N308">
        <v>6</v>
      </c>
      <c r="O308">
        <v>11</v>
      </c>
      <c r="P308">
        <v>2025</v>
      </c>
      <c r="Q308">
        <v>3</v>
      </c>
      <c r="R308" t="s">
        <v>66</v>
      </c>
      <c r="S308" t="s">
        <v>67</v>
      </c>
      <c r="T308" t="s">
        <v>42</v>
      </c>
      <c r="U308" t="s">
        <v>66</v>
      </c>
      <c r="V308" t="s">
        <v>105</v>
      </c>
      <c r="W308" t="s">
        <v>106</v>
      </c>
      <c r="X308" t="s">
        <v>45</v>
      </c>
      <c r="Y308">
        <v>140</v>
      </c>
      <c r="Z308" t="s">
        <v>46</v>
      </c>
      <c r="AA308" t="s">
        <v>47</v>
      </c>
      <c r="AB308" s="1">
        <v>46131</v>
      </c>
      <c r="AC308" t="s">
        <v>66</v>
      </c>
      <c r="AD308" t="s">
        <v>40</v>
      </c>
      <c r="AE308" t="s">
        <v>69</v>
      </c>
      <c r="AF308" t="s">
        <v>40</v>
      </c>
      <c r="AG308">
        <v>0</v>
      </c>
      <c r="AH308" t="s">
        <v>49</v>
      </c>
    </row>
    <row r="309" spans="1:34" x14ac:dyDescent="0.3">
      <c r="A309" t="s">
        <v>669</v>
      </c>
      <c r="B309" t="s">
        <v>670</v>
      </c>
      <c r="C309" t="s">
        <v>79</v>
      </c>
      <c r="D309" t="s">
        <v>53</v>
      </c>
      <c r="E309" s="1">
        <v>45931</v>
      </c>
      <c r="F309" s="1">
        <v>45991</v>
      </c>
      <c r="G309" t="s">
        <v>81</v>
      </c>
      <c r="H309">
        <v>8480</v>
      </c>
      <c r="I309" t="s">
        <v>39</v>
      </c>
      <c r="J309" t="b">
        <v>0</v>
      </c>
      <c r="K309">
        <v>60</v>
      </c>
      <c r="L309">
        <v>11</v>
      </c>
      <c r="M309">
        <v>2025</v>
      </c>
      <c r="N309">
        <v>6</v>
      </c>
      <c r="O309">
        <v>10</v>
      </c>
      <c r="P309">
        <v>2025</v>
      </c>
      <c r="Q309">
        <v>2</v>
      </c>
      <c r="R309" t="s">
        <v>66</v>
      </c>
      <c r="S309" t="s">
        <v>55</v>
      </c>
      <c r="T309" t="s">
        <v>42</v>
      </c>
      <c r="U309" t="s">
        <v>40</v>
      </c>
      <c r="V309" t="s">
        <v>82</v>
      </c>
      <c r="W309" t="s">
        <v>83</v>
      </c>
      <c r="X309" t="s">
        <v>76</v>
      </c>
      <c r="Y309">
        <v>100</v>
      </c>
      <c r="Z309" t="s">
        <v>58</v>
      </c>
      <c r="AA309" t="s">
        <v>59</v>
      </c>
      <c r="AB309" s="1">
        <v>45991</v>
      </c>
      <c r="AC309" t="s">
        <v>66</v>
      </c>
      <c r="AD309" t="s">
        <v>40</v>
      </c>
      <c r="AE309" t="s">
        <v>86</v>
      </c>
      <c r="AF309" t="s">
        <v>40</v>
      </c>
      <c r="AG309">
        <v>0</v>
      </c>
      <c r="AH309" t="s">
        <v>61</v>
      </c>
    </row>
    <row r="310" spans="1:34" x14ac:dyDescent="0.3">
      <c r="A310" t="s">
        <v>671</v>
      </c>
      <c r="B310" t="s">
        <v>456</v>
      </c>
      <c r="C310" t="s">
        <v>79</v>
      </c>
      <c r="D310" t="s">
        <v>80</v>
      </c>
      <c r="E310" s="1">
        <v>45668</v>
      </c>
      <c r="F310" s="1">
        <v>45728</v>
      </c>
      <c r="G310" t="s">
        <v>64</v>
      </c>
      <c r="H310">
        <v>3042</v>
      </c>
      <c r="I310" t="s">
        <v>65</v>
      </c>
      <c r="J310" t="b">
        <v>0</v>
      </c>
      <c r="K310">
        <v>60</v>
      </c>
      <c r="L310">
        <v>3</v>
      </c>
      <c r="M310">
        <v>2025</v>
      </c>
      <c r="N310">
        <v>2</v>
      </c>
      <c r="O310">
        <v>1</v>
      </c>
      <c r="P310">
        <v>2025</v>
      </c>
      <c r="Q310">
        <v>5</v>
      </c>
      <c r="R310" t="s">
        <v>40</v>
      </c>
      <c r="S310" t="s">
        <v>55</v>
      </c>
      <c r="T310" t="s">
        <v>123</v>
      </c>
      <c r="U310" t="s">
        <v>40</v>
      </c>
      <c r="V310" t="s">
        <v>82</v>
      </c>
      <c r="W310" t="s">
        <v>83</v>
      </c>
      <c r="X310" t="s">
        <v>76</v>
      </c>
      <c r="Y310">
        <v>100</v>
      </c>
      <c r="Z310" t="s">
        <v>84</v>
      </c>
      <c r="AA310" t="s">
        <v>85</v>
      </c>
      <c r="AB310" s="1">
        <v>45728</v>
      </c>
      <c r="AC310" t="s">
        <v>40</v>
      </c>
      <c r="AD310" t="s">
        <v>40</v>
      </c>
      <c r="AE310" t="s">
        <v>60</v>
      </c>
      <c r="AF310" t="s">
        <v>40</v>
      </c>
      <c r="AG310">
        <v>0</v>
      </c>
      <c r="AH310" t="s">
        <v>61</v>
      </c>
    </row>
    <row r="311" spans="1:34" x14ac:dyDescent="0.3">
      <c r="A311" t="s">
        <v>672</v>
      </c>
      <c r="B311" t="s">
        <v>673</v>
      </c>
      <c r="C311" t="s">
        <v>73</v>
      </c>
      <c r="D311" t="s">
        <v>130</v>
      </c>
      <c r="E311" s="1">
        <v>45682</v>
      </c>
      <c r="F311" s="1">
        <v>45712</v>
      </c>
      <c r="G311" t="s">
        <v>64</v>
      </c>
      <c r="H311">
        <v>3544</v>
      </c>
      <c r="I311" t="s">
        <v>39</v>
      </c>
      <c r="J311" t="b">
        <v>0</v>
      </c>
      <c r="K311">
        <v>30</v>
      </c>
      <c r="L311">
        <v>2</v>
      </c>
      <c r="M311">
        <v>2025</v>
      </c>
      <c r="N311">
        <v>0</v>
      </c>
      <c r="O311">
        <v>1</v>
      </c>
      <c r="P311">
        <v>2025</v>
      </c>
      <c r="Q311">
        <v>5</v>
      </c>
      <c r="R311" t="s">
        <v>40</v>
      </c>
      <c r="S311" t="s">
        <v>55</v>
      </c>
      <c r="T311" t="s">
        <v>42</v>
      </c>
      <c r="U311" t="s">
        <v>40</v>
      </c>
      <c r="V311" t="s">
        <v>74</v>
      </c>
      <c r="W311" t="s">
        <v>75</v>
      </c>
      <c r="X311" t="s">
        <v>76</v>
      </c>
      <c r="Y311">
        <v>75</v>
      </c>
      <c r="Z311" t="s">
        <v>133</v>
      </c>
      <c r="AA311" t="s">
        <v>134</v>
      </c>
      <c r="AB311" s="1">
        <v>45712</v>
      </c>
      <c r="AC311" t="s">
        <v>40</v>
      </c>
      <c r="AD311" t="s">
        <v>40</v>
      </c>
      <c r="AE311" t="s">
        <v>60</v>
      </c>
      <c r="AF311" t="s">
        <v>40</v>
      </c>
      <c r="AG311">
        <v>0</v>
      </c>
      <c r="AH311" t="s">
        <v>70</v>
      </c>
    </row>
    <row r="312" spans="1:34" x14ac:dyDescent="0.3">
      <c r="A312" t="s">
        <v>674</v>
      </c>
      <c r="B312" t="s">
        <v>583</v>
      </c>
      <c r="C312" t="s">
        <v>97</v>
      </c>
      <c r="D312" t="s">
        <v>104</v>
      </c>
      <c r="E312" s="1">
        <v>46330</v>
      </c>
      <c r="F312" s="1">
        <v>46390</v>
      </c>
      <c r="G312" t="s">
        <v>38</v>
      </c>
      <c r="H312">
        <v>4254</v>
      </c>
      <c r="I312" t="s">
        <v>39</v>
      </c>
      <c r="J312" t="b">
        <v>0</v>
      </c>
      <c r="K312">
        <v>60</v>
      </c>
      <c r="L312">
        <v>1</v>
      </c>
      <c r="M312">
        <v>2027</v>
      </c>
      <c r="N312">
        <v>6</v>
      </c>
      <c r="O312">
        <v>11</v>
      </c>
      <c r="P312">
        <v>2026</v>
      </c>
      <c r="Q312">
        <v>2</v>
      </c>
      <c r="R312" t="s">
        <v>66</v>
      </c>
      <c r="S312" t="s">
        <v>55</v>
      </c>
      <c r="T312" t="s">
        <v>286</v>
      </c>
      <c r="U312" t="s">
        <v>40</v>
      </c>
      <c r="V312" t="s">
        <v>98</v>
      </c>
      <c r="W312" t="s">
        <v>99</v>
      </c>
      <c r="X312" t="s">
        <v>76</v>
      </c>
      <c r="Y312">
        <v>80</v>
      </c>
      <c r="Z312" t="s">
        <v>107</v>
      </c>
      <c r="AA312" t="s">
        <v>108</v>
      </c>
      <c r="AB312" s="1"/>
      <c r="AC312" t="s">
        <v>48</v>
      </c>
      <c r="AD312" t="s">
        <v>48</v>
      </c>
      <c r="AE312" t="s">
        <v>48</v>
      </c>
      <c r="AF312" t="s">
        <v>48</v>
      </c>
      <c r="AG312">
        <v>0</v>
      </c>
      <c r="AH312" t="s">
        <v>61</v>
      </c>
    </row>
    <row r="313" spans="1:34" x14ac:dyDescent="0.3">
      <c r="A313" t="s">
        <v>675</v>
      </c>
      <c r="B313" t="s">
        <v>348</v>
      </c>
      <c r="C313" t="s">
        <v>103</v>
      </c>
      <c r="D313" t="s">
        <v>37</v>
      </c>
      <c r="E313" s="1">
        <v>46341</v>
      </c>
      <c r="F313" s="1">
        <v>46401</v>
      </c>
      <c r="G313" t="s">
        <v>81</v>
      </c>
      <c r="H313">
        <v>8771</v>
      </c>
      <c r="I313" t="s">
        <v>212</v>
      </c>
      <c r="J313" t="b">
        <v>0</v>
      </c>
      <c r="K313">
        <v>60</v>
      </c>
      <c r="L313">
        <v>1</v>
      </c>
      <c r="M313">
        <v>2027</v>
      </c>
      <c r="N313">
        <v>3</v>
      </c>
      <c r="O313">
        <v>11</v>
      </c>
      <c r="P313">
        <v>2026</v>
      </c>
      <c r="Q313">
        <v>6</v>
      </c>
      <c r="R313" t="s">
        <v>40</v>
      </c>
      <c r="S313" t="s">
        <v>41</v>
      </c>
      <c r="T313" t="s">
        <v>286</v>
      </c>
      <c r="U313" t="s">
        <v>66</v>
      </c>
      <c r="V313" t="s">
        <v>105</v>
      </c>
      <c r="W313" t="s">
        <v>106</v>
      </c>
      <c r="X313" t="s">
        <v>45</v>
      </c>
      <c r="Y313">
        <v>140</v>
      </c>
      <c r="Z313" t="s">
        <v>46</v>
      </c>
      <c r="AA313" t="s">
        <v>47</v>
      </c>
      <c r="AB313" s="1"/>
      <c r="AC313" t="s">
        <v>48</v>
      </c>
      <c r="AD313" t="s">
        <v>48</v>
      </c>
      <c r="AE313" t="s">
        <v>48</v>
      </c>
      <c r="AF313" t="s">
        <v>48</v>
      </c>
      <c r="AG313">
        <v>0</v>
      </c>
      <c r="AH313" t="s">
        <v>61</v>
      </c>
    </row>
    <row r="314" spans="1:34" x14ac:dyDescent="0.3">
      <c r="A314" t="s">
        <v>676</v>
      </c>
      <c r="B314" t="s">
        <v>677</v>
      </c>
      <c r="C314" t="s">
        <v>169</v>
      </c>
      <c r="D314" t="s">
        <v>90</v>
      </c>
      <c r="E314" s="1">
        <v>46109</v>
      </c>
      <c r="F314" s="1">
        <v>46110</v>
      </c>
      <c r="G314" t="s">
        <v>38</v>
      </c>
      <c r="H314">
        <v>4230</v>
      </c>
      <c r="I314" t="s">
        <v>39</v>
      </c>
      <c r="J314" t="b">
        <v>0</v>
      </c>
      <c r="K314">
        <v>1</v>
      </c>
      <c r="L314">
        <v>3</v>
      </c>
      <c r="M314">
        <v>2026</v>
      </c>
      <c r="N314">
        <v>6</v>
      </c>
      <c r="O314">
        <v>3</v>
      </c>
      <c r="P314">
        <v>2026</v>
      </c>
      <c r="Q314">
        <v>5</v>
      </c>
      <c r="R314" t="s">
        <v>66</v>
      </c>
      <c r="S314" t="s">
        <v>67</v>
      </c>
      <c r="T314" t="s">
        <v>286</v>
      </c>
      <c r="U314" t="s">
        <v>40</v>
      </c>
      <c r="V314" t="s">
        <v>170</v>
      </c>
      <c r="W314" t="s">
        <v>171</v>
      </c>
      <c r="X314" t="s">
        <v>126</v>
      </c>
      <c r="Y314">
        <v>90</v>
      </c>
      <c r="Z314" t="s">
        <v>93</v>
      </c>
      <c r="AA314" t="s">
        <v>94</v>
      </c>
      <c r="AB314" s="1">
        <v>46110</v>
      </c>
      <c r="AC314" t="s">
        <v>66</v>
      </c>
      <c r="AD314" t="s">
        <v>40</v>
      </c>
      <c r="AE314" t="s">
        <v>60</v>
      </c>
      <c r="AF314" t="s">
        <v>40</v>
      </c>
      <c r="AG314">
        <v>0</v>
      </c>
      <c r="AH314" t="s">
        <v>100</v>
      </c>
    </row>
    <row r="315" spans="1:34" x14ac:dyDescent="0.3">
      <c r="A315" t="s">
        <v>678</v>
      </c>
      <c r="B315" t="s">
        <v>154</v>
      </c>
      <c r="C315" t="s">
        <v>129</v>
      </c>
      <c r="D315" t="s">
        <v>130</v>
      </c>
      <c r="E315" s="1">
        <v>46110</v>
      </c>
      <c r="F315" s="1">
        <v>46170</v>
      </c>
      <c r="G315" t="s">
        <v>64</v>
      </c>
      <c r="H315">
        <v>2349</v>
      </c>
      <c r="I315" t="s">
        <v>65</v>
      </c>
      <c r="J315" t="b">
        <v>0</v>
      </c>
      <c r="K315">
        <v>60</v>
      </c>
      <c r="L315">
        <v>5</v>
      </c>
      <c r="M315">
        <v>2026</v>
      </c>
      <c r="N315">
        <v>3</v>
      </c>
      <c r="O315">
        <v>3</v>
      </c>
      <c r="P315">
        <v>2026</v>
      </c>
      <c r="Q315">
        <v>6</v>
      </c>
      <c r="R315" t="s">
        <v>40</v>
      </c>
      <c r="S315" t="s">
        <v>55</v>
      </c>
      <c r="T315" t="s">
        <v>42</v>
      </c>
      <c r="U315" t="s">
        <v>40</v>
      </c>
      <c r="V315" t="s">
        <v>131</v>
      </c>
      <c r="W315" t="s">
        <v>132</v>
      </c>
      <c r="X315" t="s">
        <v>45</v>
      </c>
      <c r="Y315">
        <v>110</v>
      </c>
      <c r="Z315" t="s">
        <v>133</v>
      </c>
      <c r="AA315" t="s">
        <v>134</v>
      </c>
      <c r="AB315" s="1">
        <v>46170</v>
      </c>
      <c r="AC315" t="s">
        <v>40</v>
      </c>
      <c r="AD315" t="s">
        <v>40</v>
      </c>
      <c r="AE315" t="s">
        <v>69</v>
      </c>
      <c r="AF315" t="s">
        <v>40</v>
      </c>
      <c r="AG315">
        <v>0</v>
      </c>
      <c r="AH315" t="s">
        <v>61</v>
      </c>
    </row>
    <row r="316" spans="1:34" x14ac:dyDescent="0.3">
      <c r="A316" t="s">
        <v>679</v>
      </c>
      <c r="B316" t="s">
        <v>680</v>
      </c>
      <c r="C316" t="s">
        <v>129</v>
      </c>
      <c r="D316" t="s">
        <v>37</v>
      </c>
      <c r="E316" s="1">
        <v>45658</v>
      </c>
      <c r="F316" s="1">
        <v>45808</v>
      </c>
      <c r="G316" t="s">
        <v>41</v>
      </c>
      <c r="H316">
        <v>39475</v>
      </c>
      <c r="I316" t="s">
        <v>39</v>
      </c>
      <c r="J316" t="b">
        <v>1</v>
      </c>
      <c r="K316">
        <v>150</v>
      </c>
      <c r="L316">
        <v>5</v>
      </c>
      <c r="M316">
        <v>2025</v>
      </c>
      <c r="N316">
        <v>5</v>
      </c>
      <c r="O316">
        <v>1</v>
      </c>
      <c r="P316">
        <v>2025</v>
      </c>
      <c r="Q316">
        <v>2</v>
      </c>
      <c r="R316" t="s">
        <v>66</v>
      </c>
      <c r="S316" t="s">
        <v>41</v>
      </c>
      <c r="T316" t="s">
        <v>42</v>
      </c>
      <c r="U316" t="s">
        <v>40</v>
      </c>
      <c r="V316" t="s">
        <v>131</v>
      </c>
      <c r="W316" t="s">
        <v>132</v>
      </c>
      <c r="X316" t="s">
        <v>45</v>
      </c>
      <c r="Y316">
        <v>110</v>
      </c>
      <c r="Z316" t="s">
        <v>46</v>
      </c>
      <c r="AA316" t="s">
        <v>47</v>
      </c>
      <c r="AB316" s="1">
        <v>45808</v>
      </c>
      <c r="AC316" t="s">
        <v>66</v>
      </c>
      <c r="AD316" t="s">
        <v>40</v>
      </c>
      <c r="AE316" t="s">
        <v>69</v>
      </c>
      <c r="AF316" t="s">
        <v>40</v>
      </c>
      <c r="AG316">
        <v>0</v>
      </c>
      <c r="AH316" t="s">
        <v>49</v>
      </c>
    </row>
    <row r="317" spans="1:34" x14ac:dyDescent="0.3">
      <c r="A317" t="s">
        <v>681</v>
      </c>
      <c r="B317" t="s">
        <v>682</v>
      </c>
      <c r="C317" t="s">
        <v>103</v>
      </c>
      <c r="D317" t="s">
        <v>37</v>
      </c>
      <c r="E317" s="1">
        <v>45729</v>
      </c>
      <c r="F317" s="1">
        <v>45759</v>
      </c>
      <c r="G317" t="s">
        <v>64</v>
      </c>
      <c r="H317">
        <v>4154</v>
      </c>
      <c r="I317" t="s">
        <v>39</v>
      </c>
      <c r="J317" t="b">
        <v>0</v>
      </c>
      <c r="K317">
        <v>30</v>
      </c>
      <c r="L317">
        <v>4</v>
      </c>
      <c r="M317">
        <v>2025</v>
      </c>
      <c r="N317">
        <v>5</v>
      </c>
      <c r="O317">
        <v>3</v>
      </c>
      <c r="P317">
        <v>2025</v>
      </c>
      <c r="Q317">
        <v>3</v>
      </c>
      <c r="R317" t="s">
        <v>66</v>
      </c>
      <c r="S317" t="s">
        <v>41</v>
      </c>
      <c r="T317" t="s">
        <v>48</v>
      </c>
      <c r="U317" t="s">
        <v>40</v>
      </c>
      <c r="V317" t="s">
        <v>105</v>
      </c>
      <c r="W317" t="s">
        <v>106</v>
      </c>
      <c r="X317" t="s">
        <v>45</v>
      </c>
      <c r="Y317">
        <v>140</v>
      </c>
      <c r="Z317" t="s">
        <v>46</v>
      </c>
      <c r="AA317" t="s">
        <v>47</v>
      </c>
      <c r="AB317" s="1">
        <v>45759</v>
      </c>
      <c r="AC317" t="s">
        <v>66</v>
      </c>
      <c r="AD317" t="s">
        <v>40</v>
      </c>
      <c r="AE317" t="s">
        <v>69</v>
      </c>
      <c r="AF317" t="s">
        <v>40</v>
      </c>
      <c r="AG317">
        <v>0</v>
      </c>
      <c r="AH317" t="s">
        <v>70</v>
      </c>
    </row>
    <row r="318" spans="1:34" x14ac:dyDescent="0.3">
      <c r="A318" t="s">
        <v>683</v>
      </c>
      <c r="B318" t="s">
        <v>112</v>
      </c>
      <c r="C318" t="s">
        <v>103</v>
      </c>
      <c r="D318" t="s">
        <v>130</v>
      </c>
      <c r="E318" s="1">
        <v>46305</v>
      </c>
      <c r="F318" s="1">
        <v>46525</v>
      </c>
      <c r="G318" t="s">
        <v>64</v>
      </c>
      <c r="H318">
        <v>3294</v>
      </c>
      <c r="I318" t="s">
        <v>39</v>
      </c>
      <c r="J318" t="b">
        <v>0</v>
      </c>
      <c r="K318">
        <v>220</v>
      </c>
      <c r="L318">
        <v>5</v>
      </c>
      <c r="M318">
        <v>2027</v>
      </c>
      <c r="N318">
        <v>1</v>
      </c>
      <c r="O318">
        <v>10</v>
      </c>
      <c r="P318">
        <v>2026</v>
      </c>
      <c r="Q318">
        <v>5</v>
      </c>
      <c r="R318" t="s">
        <v>40</v>
      </c>
      <c r="S318" t="s">
        <v>55</v>
      </c>
      <c r="T318" t="s">
        <v>113</v>
      </c>
      <c r="U318" t="s">
        <v>66</v>
      </c>
      <c r="V318" t="s">
        <v>105</v>
      </c>
      <c r="W318" t="s">
        <v>106</v>
      </c>
      <c r="X318" t="s">
        <v>45</v>
      </c>
      <c r="Y318">
        <v>140</v>
      </c>
      <c r="Z318" t="s">
        <v>133</v>
      </c>
      <c r="AA318" t="s">
        <v>134</v>
      </c>
      <c r="AB318" s="1"/>
      <c r="AC318" t="s">
        <v>48</v>
      </c>
      <c r="AD318" t="s">
        <v>48</v>
      </c>
      <c r="AE318" t="s">
        <v>48</v>
      </c>
      <c r="AF318" t="s">
        <v>48</v>
      </c>
      <c r="AG318">
        <v>0</v>
      </c>
      <c r="AH318" t="s">
        <v>142</v>
      </c>
    </row>
    <row r="319" spans="1:34" x14ac:dyDescent="0.3">
      <c r="A319" t="s">
        <v>684</v>
      </c>
      <c r="B319" t="s">
        <v>685</v>
      </c>
      <c r="C319" t="s">
        <v>146</v>
      </c>
      <c r="D319" t="s">
        <v>130</v>
      </c>
      <c r="E319" s="1">
        <v>46051</v>
      </c>
      <c r="F319" s="1">
        <v>46081</v>
      </c>
      <c r="G319" t="s">
        <v>81</v>
      </c>
      <c r="H319">
        <v>11666</v>
      </c>
      <c r="I319" t="s">
        <v>39</v>
      </c>
      <c r="J319" t="b">
        <v>0</v>
      </c>
      <c r="K319">
        <v>30</v>
      </c>
      <c r="L319">
        <v>2</v>
      </c>
      <c r="M319">
        <v>2026</v>
      </c>
      <c r="N319">
        <v>5</v>
      </c>
      <c r="O319">
        <v>1</v>
      </c>
      <c r="P319">
        <v>2026</v>
      </c>
      <c r="Q319">
        <v>3</v>
      </c>
      <c r="R319" t="s">
        <v>66</v>
      </c>
      <c r="S319" t="s">
        <v>41</v>
      </c>
      <c r="T319" t="s">
        <v>68</v>
      </c>
      <c r="U319" t="s">
        <v>66</v>
      </c>
      <c r="V319" t="s">
        <v>147</v>
      </c>
      <c r="W319" t="s">
        <v>148</v>
      </c>
      <c r="X319" t="s">
        <v>45</v>
      </c>
      <c r="Y319">
        <v>160</v>
      </c>
      <c r="Z319" t="s">
        <v>133</v>
      </c>
      <c r="AA319" t="s">
        <v>134</v>
      </c>
      <c r="AB319" s="1">
        <v>46081</v>
      </c>
      <c r="AC319" t="s">
        <v>66</v>
      </c>
      <c r="AD319" t="s">
        <v>40</v>
      </c>
      <c r="AE319" t="s">
        <v>60</v>
      </c>
      <c r="AF319" t="s">
        <v>40</v>
      </c>
      <c r="AG319">
        <v>0</v>
      </c>
      <c r="AH319" t="s">
        <v>70</v>
      </c>
    </row>
    <row r="320" spans="1:34" x14ac:dyDescent="0.3">
      <c r="A320" t="s">
        <v>686</v>
      </c>
      <c r="B320" t="s">
        <v>484</v>
      </c>
      <c r="C320" t="s">
        <v>97</v>
      </c>
      <c r="D320" t="s">
        <v>130</v>
      </c>
      <c r="E320" s="1">
        <v>45855</v>
      </c>
      <c r="F320" s="1">
        <v>45856</v>
      </c>
      <c r="G320" t="s">
        <v>38</v>
      </c>
      <c r="H320">
        <v>3758</v>
      </c>
      <c r="I320" t="s">
        <v>65</v>
      </c>
      <c r="J320" t="b">
        <v>0</v>
      </c>
      <c r="K320">
        <v>1</v>
      </c>
      <c r="L320">
        <v>7</v>
      </c>
      <c r="M320">
        <v>2025</v>
      </c>
      <c r="N320">
        <v>4</v>
      </c>
      <c r="O320">
        <v>7</v>
      </c>
      <c r="P320">
        <v>2025</v>
      </c>
      <c r="Q320">
        <v>3</v>
      </c>
      <c r="R320" t="s">
        <v>40</v>
      </c>
      <c r="S320" t="s">
        <v>41</v>
      </c>
      <c r="T320" t="s">
        <v>42</v>
      </c>
      <c r="U320" t="s">
        <v>40</v>
      </c>
      <c r="V320" t="s">
        <v>98</v>
      </c>
      <c r="W320" t="s">
        <v>99</v>
      </c>
      <c r="X320" t="s">
        <v>76</v>
      </c>
      <c r="Y320">
        <v>80</v>
      </c>
      <c r="Z320" t="s">
        <v>133</v>
      </c>
      <c r="AA320" t="s">
        <v>134</v>
      </c>
      <c r="AB320" s="1">
        <v>45856</v>
      </c>
      <c r="AC320" t="s">
        <v>40</v>
      </c>
      <c r="AD320" t="s">
        <v>40</v>
      </c>
      <c r="AE320" t="s">
        <v>86</v>
      </c>
      <c r="AF320" t="s">
        <v>40</v>
      </c>
      <c r="AG320">
        <v>0</v>
      </c>
      <c r="AH320" t="s">
        <v>100</v>
      </c>
    </row>
    <row r="321" spans="1:34" x14ac:dyDescent="0.3">
      <c r="A321" t="s">
        <v>687</v>
      </c>
      <c r="B321" t="s">
        <v>688</v>
      </c>
      <c r="C321" t="s">
        <v>52</v>
      </c>
      <c r="D321" t="s">
        <v>130</v>
      </c>
      <c r="E321" s="1">
        <v>46005</v>
      </c>
      <c r="F321" s="1">
        <v>46006</v>
      </c>
      <c r="G321" t="s">
        <v>64</v>
      </c>
      <c r="H321">
        <v>2442</v>
      </c>
      <c r="I321" t="s">
        <v>65</v>
      </c>
      <c r="J321" t="b">
        <v>0</v>
      </c>
      <c r="K321">
        <v>1</v>
      </c>
      <c r="L321">
        <v>12</v>
      </c>
      <c r="M321">
        <v>2025</v>
      </c>
      <c r="N321">
        <v>0</v>
      </c>
      <c r="O321">
        <v>12</v>
      </c>
      <c r="P321">
        <v>2025</v>
      </c>
      <c r="Q321">
        <v>6</v>
      </c>
      <c r="R321" t="s">
        <v>40</v>
      </c>
      <c r="S321" t="s">
        <v>67</v>
      </c>
      <c r="T321" t="s">
        <v>286</v>
      </c>
      <c r="U321" t="s">
        <v>40</v>
      </c>
      <c r="V321" t="s">
        <v>56</v>
      </c>
      <c r="W321" t="s">
        <v>57</v>
      </c>
      <c r="X321" t="s">
        <v>45</v>
      </c>
      <c r="Y321">
        <v>120</v>
      </c>
      <c r="Z321" t="s">
        <v>133</v>
      </c>
      <c r="AA321" t="s">
        <v>134</v>
      </c>
      <c r="AB321" s="1">
        <v>46006</v>
      </c>
      <c r="AC321" t="s">
        <v>40</v>
      </c>
      <c r="AD321" t="s">
        <v>40</v>
      </c>
      <c r="AE321" t="s">
        <v>69</v>
      </c>
      <c r="AF321" t="s">
        <v>40</v>
      </c>
      <c r="AG321">
        <v>0</v>
      </c>
      <c r="AH321" t="s">
        <v>100</v>
      </c>
    </row>
    <row r="322" spans="1:34" x14ac:dyDescent="0.3">
      <c r="A322" t="s">
        <v>689</v>
      </c>
      <c r="B322" t="s">
        <v>614</v>
      </c>
      <c r="C322" t="s">
        <v>97</v>
      </c>
      <c r="D322" t="s">
        <v>37</v>
      </c>
      <c r="E322" s="1">
        <v>46251</v>
      </c>
      <c r="F322" s="1">
        <v>46258</v>
      </c>
      <c r="G322" t="s">
        <v>64</v>
      </c>
      <c r="H322">
        <v>3706</v>
      </c>
      <c r="I322" t="s">
        <v>39</v>
      </c>
      <c r="J322" t="b">
        <v>0</v>
      </c>
      <c r="K322">
        <v>7</v>
      </c>
      <c r="L322">
        <v>8</v>
      </c>
      <c r="M322">
        <v>2026</v>
      </c>
      <c r="N322">
        <v>0</v>
      </c>
      <c r="O322">
        <v>8</v>
      </c>
      <c r="P322">
        <v>2026</v>
      </c>
      <c r="Q322">
        <v>0</v>
      </c>
      <c r="R322" t="s">
        <v>40</v>
      </c>
      <c r="S322" t="s">
        <v>67</v>
      </c>
      <c r="T322" t="s">
        <v>42</v>
      </c>
      <c r="U322" t="s">
        <v>40</v>
      </c>
      <c r="V322" t="s">
        <v>98</v>
      </c>
      <c r="W322" t="s">
        <v>99</v>
      </c>
      <c r="X322" t="s">
        <v>76</v>
      </c>
      <c r="Y322">
        <v>80</v>
      </c>
      <c r="Z322" t="s">
        <v>46</v>
      </c>
      <c r="AA322" t="s">
        <v>47</v>
      </c>
      <c r="AB322" s="1">
        <v>46258</v>
      </c>
      <c r="AC322" t="s">
        <v>40</v>
      </c>
      <c r="AD322" t="s">
        <v>40</v>
      </c>
      <c r="AE322" t="s">
        <v>86</v>
      </c>
      <c r="AF322" t="s">
        <v>40</v>
      </c>
      <c r="AG322">
        <v>0</v>
      </c>
      <c r="AH322" t="s">
        <v>100</v>
      </c>
    </row>
    <row r="323" spans="1:34" x14ac:dyDescent="0.3">
      <c r="A323" t="s">
        <v>690</v>
      </c>
      <c r="B323" t="s">
        <v>177</v>
      </c>
      <c r="C323" t="s">
        <v>89</v>
      </c>
      <c r="D323" t="s">
        <v>37</v>
      </c>
      <c r="E323" s="1">
        <v>45791</v>
      </c>
      <c r="F323" s="1">
        <v>45792</v>
      </c>
      <c r="G323" t="s">
        <v>64</v>
      </c>
      <c r="H323">
        <v>3880</v>
      </c>
      <c r="I323" t="s">
        <v>65</v>
      </c>
      <c r="J323" t="b">
        <v>0</v>
      </c>
      <c r="K323">
        <v>1</v>
      </c>
      <c r="L323">
        <v>5</v>
      </c>
      <c r="M323">
        <v>2025</v>
      </c>
      <c r="N323">
        <v>3</v>
      </c>
      <c r="O323">
        <v>5</v>
      </c>
      <c r="P323">
        <v>2025</v>
      </c>
      <c r="Q323">
        <v>2</v>
      </c>
      <c r="R323" t="s">
        <v>40</v>
      </c>
      <c r="S323" t="s">
        <v>55</v>
      </c>
      <c r="T323" t="s">
        <v>68</v>
      </c>
      <c r="U323" t="s">
        <v>40</v>
      </c>
      <c r="V323" t="s">
        <v>91</v>
      </c>
      <c r="W323" t="s">
        <v>92</v>
      </c>
      <c r="X323" t="s">
        <v>76</v>
      </c>
      <c r="Y323">
        <v>65</v>
      </c>
      <c r="Z323" t="s">
        <v>46</v>
      </c>
      <c r="AA323" t="s">
        <v>47</v>
      </c>
      <c r="AB323" s="1">
        <v>45792</v>
      </c>
      <c r="AC323" t="s">
        <v>40</v>
      </c>
      <c r="AD323" t="s">
        <v>40</v>
      </c>
      <c r="AE323" t="s">
        <v>69</v>
      </c>
      <c r="AF323" t="s">
        <v>40</v>
      </c>
      <c r="AG323">
        <v>0</v>
      </c>
      <c r="AH323" t="s">
        <v>100</v>
      </c>
    </row>
    <row r="324" spans="1:34" x14ac:dyDescent="0.3">
      <c r="A324" t="s">
        <v>691</v>
      </c>
      <c r="B324" t="s">
        <v>692</v>
      </c>
      <c r="C324" t="s">
        <v>36</v>
      </c>
      <c r="D324" t="s">
        <v>104</v>
      </c>
      <c r="E324" s="1">
        <v>46267</v>
      </c>
      <c r="F324" s="1">
        <v>46327</v>
      </c>
      <c r="G324" t="s">
        <v>38</v>
      </c>
      <c r="H324">
        <v>4330</v>
      </c>
      <c r="I324" t="s">
        <v>65</v>
      </c>
      <c r="J324" t="b">
        <v>0</v>
      </c>
      <c r="K324">
        <v>60</v>
      </c>
      <c r="L324">
        <v>11</v>
      </c>
      <c r="M324">
        <v>2026</v>
      </c>
      <c r="N324">
        <v>6</v>
      </c>
      <c r="O324">
        <v>9</v>
      </c>
      <c r="P324">
        <v>2026</v>
      </c>
      <c r="Q324">
        <v>2</v>
      </c>
      <c r="R324" t="s">
        <v>66</v>
      </c>
      <c r="S324" t="s">
        <v>55</v>
      </c>
      <c r="T324" t="s">
        <v>113</v>
      </c>
      <c r="U324" t="s">
        <v>40</v>
      </c>
      <c r="V324" t="s">
        <v>43</v>
      </c>
      <c r="W324" t="s">
        <v>44</v>
      </c>
      <c r="X324" t="s">
        <v>45</v>
      </c>
      <c r="Y324">
        <v>150</v>
      </c>
      <c r="Z324" t="s">
        <v>107</v>
      </c>
      <c r="AA324" t="s">
        <v>108</v>
      </c>
      <c r="AB324" s="1">
        <v>46327</v>
      </c>
      <c r="AC324" t="s">
        <v>66</v>
      </c>
      <c r="AD324" t="s">
        <v>40</v>
      </c>
      <c r="AE324" t="s">
        <v>86</v>
      </c>
      <c r="AF324" t="s">
        <v>40</v>
      </c>
      <c r="AG324">
        <v>0</v>
      </c>
      <c r="AH324" t="s">
        <v>61</v>
      </c>
    </row>
    <row r="325" spans="1:34" x14ac:dyDescent="0.3">
      <c r="A325" t="s">
        <v>693</v>
      </c>
      <c r="B325" t="s">
        <v>552</v>
      </c>
      <c r="C325" t="s">
        <v>36</v>
      </c>
      <c r="D325" t="s">
        <v>37</v>
      </c>
      <c r="E325" s="1">
        <v>46247</v>
      </c>
      <c r="F325" s="1">
        <v>46277</v>
      </c>
      <c r="G325" t="s">
        <v>81</v>
      </c>
      <c r="H325">
        <v>11358</v>
      </c>
      <c r="I325" t="s">
        <v>39</v>
      </c>
      <c r="J325" t="b">
        <v>0</v>
      </c>
      <c r="K325">
        <v>30</v>
      </c>
      <c r="L325">
        <v>9</v>
      </c>
      <c r="M325">
        <v>2026</v>
      </c>
      <c r="N325">
        <v>5</v>
      </c>
      <c r="O325">
        <v>8</v>
      </c>
      <c r="P325">
        <v>2026</v>
      </c>
      <c r="Q325">
        <v>3</v>
      </c>
      <c r="R325" t="s">
        <v>66</v>
      </c>
      <c r="S325" t="s">
        <v>55</v>
      </c>
      <c r="T325" t="s">
        <v>42</v>
      </c>
      <c r="U325" t="s">
        <v>40</v>
      </c>
      <c r="V325" t="s">
        <v>43</v>
      </c>
      <c r="W325" t="s">
        <v>44</v>
      </c>
      <c r="X325" t="s">
        <v>45</v>
      </c>
      <c r="Y325">
        <v>150</v>
      </c>
      <c r="Z325" t="s">
        <v>46</v>
      </c>
      <c r="AA325" t="s">
        <v>47</v>
      </c>
      <c r="AB325" s="1">
        <v>46277</v>
      </c>
      <c r="AC325" t="s">
        <v>66</v>
      </c>
      <c r="AD325" t="s">
        <v>40</v>
      </c>
      <c r="AE325" t="s">
        <v>60</v>
      </c>
      <c r="AF325" t="s">
        <v>40</v>
      </c>
      <c r="AG325">
        <v>0</v>
      </c>
      <c r="AH325" t="s">
        <v>70</v>
      </c>
    </row>
    <row r="326" spans="1:34" x14ac:dyDescent="0.3">
      <c r="A326" t="s">
        <v>694</v>
      </c>
      <c r="B326" t="s">
        <v>695</v>
      </c>
      <c r="C326" t="s">
        <v>97</v>
      </c>
      <c r="D326" t="s">
        <v>37</v>
      </c>
      <c r="E326" s="1">
        <v>46036</v>
      </c>
      <c r="F326" s="1">
        <v>46066</v>
      </c>
      <c r="G326" t="s">
        <v>41</v>
      </c>
      <c r="H326">
        <v>5546</v>
      </c>
      <c r="I326" t="s">
        <v>39</v>
      </c>
      <c r="J326" t="b">
        <v>0</v>
      </c>
      <c r="K326">
        <v>30</v>
      </c>
      <c r="L326">
        <v>2</v>
      </c>
      <c r="M326">
        <v>2026</v>
      </c>
      <c r="N326">
        <v>4</v>
      </c>
      <c r="O326">
        <v>1</v>
      </c>
      <c r="P326">
        <v>2026</v>
      </c>
      <c r="Q326">
        <v>2</v>
      </c>
      <c r="R326" t="s">
        <v>40</v>
      </c>
      <c r="S326" t="s">
        <v>45</v>
      </c>
      <c r="T326" t="s">
        <v>42</v>
      </c>
      <c r="U326" t="s">
        <v>40</v>
      </c>
      <c r="V326" t="s">
        <v>98</v>
      </c>
      <c r="W326" t="s">
        <v>99</v>
      </c>
      <c r="X326" t="s">
        <v>76</v>
      </c>
      <c r="Y326">
        <v>80</v>
      </c>
      <c r="Z326" t="s">
        <v>46</v>
      </c>
      <c r="AA326" t="s">
        <v>47</v>
      </c>
      <c r="AB326" s="1">
        <v>46066</v>
      </c>
      <c r="AC326" t="s">
        <v>40</v>
      </c>
      <c r="AD326" t="s">
        <v>40</v>
      </c>
      <c r="AE326" t="s">
        <v>60</v>
      </c>
      <c r="AF326" t="s">
        <v>40</v>
      </c>
      <c r="AG326">
        <v>0</v>
      </c>
      <c r="AH326" t="s">
        <v>70</v>
      </c>
    </row>
    <row r="327" spans="1:34" x14ac:dyDescent="0.3">
      <c r="A327" t="s">
        <v>696</v>
      </c>
      <c r="B327" t="s">
        <v>697</v>
      </c>
      <c r="C327" t="s">
        <v>52</v>
      </c>
      <c r="D327" t="s">
        <v>104</v>
      </c>
      <c r="E327" s="1">
        <v>45740</v>
      </c>
      <c r="F327" s="1">
        <v>45741</v>
      </c>
      <c r="G327" t="s">
        <v>38</v>
      </c>
      <c r="H327">
        <v>5931</v>
      </c>
      <c r="I327" t="s">
        <v>39</v>
      </c>
      <c r="J327" t="b">
        <v>0</v>
      </c>
      <c r="K327">
        <v>1</v>
      </c>
      <c r="L327">
        <v>3</v>
      </c>
      <c r="M327">
        <v>2025</v>
      </c>
      <c r="N327">
        <v>1</v>
      </c>
      <c r="O327">
        <v>3</v>
      </c>
      <c r="P327">
        <v>2025</v>
      </c>
      <c r="Q327">
        <v>0</v>
      </c>
      <c r="R327" t="s">
        <v>40</v>
      </c>
      <c r="S327" t="s">
        <v>41</v>
      </c>
      <c r="T327" t="s">
        <v>286</v>
      </c>
      <c r="U327" t="s">
        <v>40</v>
      </c>
      <c r="V327" t="s">
        <v>56</v>
      </c>
      <c r="W327" t="s">
        <v>57</v>
      </c>
      <c r="X327" t="s">
        <v>45</v>
      </c>
      <c r="Y327">
        <v>120</v>
      </c>
      <c r="Z327" t="s">
        <v>107</v>
      </c>
      <c r="AA327" t="s">
        <v>108</v>
      </c>
      <c r="AB327" s="1">
        <v>45741</v>
      </c>
      <c r="AC327" t="s">
        <v>40</v>
      </c>
      <c r="AD327" t="s">
        <v>40</v>
      </c>
      <c r="AE327" t="s">
        <v>60</v>
      </c>
      <c r="AF327" t="s">
        <v>40</v>
      </c>
      <c r="AG327">
        <v>0</v>
      </c>
      <c r="AH327" t="s">
        <v>100</v>
      </c>
    </row>
    <row r="328" spans="1:34" x14ac:dyDescent="0.3">
      <c r="A328" t="s">
        <v>698</v>
      </c>
      <c r="B328" t="s">
        <v>322</v>
      </c>
      <c r="C328" t="s">
        <v>73</v>
      </c>
      <c r="D328" t="s">
        <v>90</v>
      </c>
      <c r="E328" s="1">
        <v>46313</v>
      </c>
      <c r="F328" s="1">
        <v>46320</v>
      </c>
      <c r="G328" t="s">
        <v>41</v>
      </c>
      <c r="H328">
        <v>7833</v>
      </c>
      <c r="I328" t="s">
        <v>39</v>
      </c>
      <c r="J328" t="b">
        <v>0</v>
      </c>
      <c r="K328">
        <v>7</v>
      </c>
      <c r="L328">
        <v>10</v>
      </c>
      <c r="M328">
        <v>2026</v>
      </c>
      <c r="N328">
        <v>6</v>
      </c>
      <c r="O328">
        <v>10</v>
      </c>
      <c r="P328">
        <v>2026</v>
      </c>
      <c r="Q328">
        <v>6</v>
      </c>
      <c r="R328" t="s">
        <v>66</v>
      </c>
      <c r="S328" t="s">
        <v>45</v>
      </c>
      <c r="T328" t="s">
        <v>68</v>
      </c>
      <c r="U328" t="s">
        <v>40</v>
      </c>
      <c r="V328" t="s">
        <v>74</v>
      </c>
      <c r="W328" t="s">
        <v>75</v>
      </c>
      <c r="X328" t="s">
        <v>76</v>
      </c>
      <c r="Y328">
        <v>75</v>
      </c>
      <c r="Z328" t="s">
        <v>93</v>
      </c>
      <c r="AA328" t="s">
        <v>94</v>
      </c>
      <c r="AB328" s="1">
        <v>46320</v>
      </c>
      <c r="AC328" t="s">
        <v>66</v>
      </c>
      <c r="AD328" t="s">
        <v>40</v>
      </c>
      <c r="AE328" t="s">
        <v>60</v>
      </c>
      <c r="AF328" t="s">
        <v>40</v>
      </c>
      <c r="AG328">
        <v>0</v>
      </c>
      <c r="AH328" t="s">
        <v>100</v>
      </c>
    </row>
    <row r="329" spans="1:34" x14ac:dyDescent="0.3">
      <c r="A329" t="s">
        <v>699</v>
      </c>
      <c r="B329" t="s">
        <v>700</v>
      </c>
      <c r="C329" t="s">
        <v>129</v>
      </c>
      <c r="D329" t="s">
        <v>53</v>
      </c>
      <c r="E329" s="1">
        <v>46014</v>
      </c>
      <c r="F329" s="1">
        <v>46028</v>
      </c>
      <c r="G329" t="s">
        <v>38</v>
      </c>
      <c r="H329">
        <v>5671</v>
      </c>
      <c r="I329" t="s">
        <v>39</v>
      </c>
      <c r="J329" t="b">
        <v>0</v>
      </c>
      <c r="K329">
        <v>14</v>
      </c>
      <c r="L329">
        <v>1</v>
      </c>
      <c r="M329">
        <v>2026</v>
      </c>
      <c r="N329">
        <v>1</v>
      </c>
      <c r="O329">
        <v>12</v>
      </c>
      <c r="P329">
        <v>2025</v>
      </c>
      <c r="Q329">
        <v>1</v>
      </c>
      <c r="R329" t="s">
        <v>40</v>
      </c>
      <c r="S329" t="s">
        <v>41</v>
      </c>
      <c r="T329" t="s">
        <v>42</v>
      </c>
      <c r="U329" t="s">
        <v>40</v>
      </c>
      <c r="V329" t="s">
        <v>131</v>
      </c>
      <c r="W329" t="s">
        <v>132</v>
      </c>
      <c r="X329" t="s">
        <v>45</v>
      </c>
      <c r="Y329">
        <v>110</v>
      </c>
      <c r="Z329" t="s">
        <v>58</v>
      </c>
      <c r="AA329" t="s">
        <v>59</v>
      </c>
      <c r="AB329" s="1">
        <v>46028</v>
      </c>
      <c r="AC329" t="s">
        <v>40</v>
      </c>
      <c r="AD329" t="s">
        <v>40</v>
      </c>
      <c r="AE329" t="s">
        <v>86</v>
      </c>
      <c r="AF329" t="s">
        <v>40</v>
      </c>
      <c r="AG329">
        <v>0</v>
      </c>
      <c r="AH329" t="s">
        <v>70</v>
      </c>
    </row>
    <row r="330" spans="1:34" x14ac:dyDescent="0.3">
      <c r="A330" t="s">
        <v>701</v>
      </c>
      <c r="B330" t="s">
        <v>288</v>
      </c>
      <c r="C330" t="s">
        <v>122</v>
      </c>
      <c r="D330" t="s">
        <v>37</v>
      </c>
      <c r="E330" s="1">
        <v>46333</v>
      </c>
      <c r="F330" s="1">
        <v>46340</v>
      </c>
      <c r="G330" t="s">
        <v>64</v>
      </c>
      <c r="H330">
        <v>2430</v>
      </c>
      <c r="I330" t="s">
        <v>39</v>
      </c>
      <c r="J330" t="b">
        <v>0</v>
      </c>
      <c r="K330">
        <v>7</v>
      </c>
      <c r="L330">
        <v>11</v>
      </c>
      <c r="M330">
        <v>2026</v>
      </c>
      <c r="N330">
        <v>5</v>
      </c>
      <c r="O330">
        <v>11</v>
      </c>
      <c r="P330">
        <v>2026</v>
      </c>
      <c r="Q330">
        <v>5</v>
      </c>
      <c r="R330" t="s">
        <v>66</v>
      </c>
      <c r="S330" t="s">
        <v>67</v>
      </c>
      <c r="T330" t="s">
        <v>42</v>
      </c>
      <c r="U330" t="s">
        <v>40</v>
      </c>
      <c r="V330" t="s">
        <v>124</v>
      </c>
      <c r="W330" t="s">
        <v>125</v>
      </c>
      <c r="X330" t="s">
        <v>126</v>
      </c>
      <c r="Y330">
        <v>85</v>
      </c>
      <c r="Z330" t="s">
        <v>46</v>
      </c>
      <c r="AA330" t="s">
        <v>47</v>
      </c>
      <c r="AB330" s="1">
        <v>46340</v>
      </c>
      <c r="AC330" t="s">
        <v>66</v>
      </c>
      <c r="AD330" t="s">
        <v>40</v>
      </c>
      <c r="AE330" t="s">
        <v>86</v>
      </c>
      <c r="AF330" t="s">
        <v>40</v>
      </c>
      <c r="AG330">
        <v>0</v>
      </c>
      <c r="AH330" t="s">
        <v>100</v>
      </c>
    </row>
    <row r="331" spans="1:34" x14ac:dyDescent="0.3">
      <c r="A331" t="s">
        <v>702</v>
      </c>
      <c r="B331" t="s">
        <v>703</v>
      </c>
      <c r="C331" t="s">
        <v>169</v>
      </c>
      <c r="D331" t="s">
        <v>90</v>
      </c>
      <c r="E331" s="1">
        <v>46103</v>
      </c>
      <c r="F331" s="1">
        <v>46110</v>
      </c>
      <c r="G331" t="s">
        <v>41</v>
      </c>
      <c r="H331">
        <v>5720</v>
      </c>
      <c r="I331" t="s">
        <v>54</v>
      </c>
      <c r="J331" t="b">
        <v>0</v>
      </c>
      <c r="K331">
        <v>7</v>
      </c>
      <c r="L331">
        <v>3</v>
      </c>
      <c r="M331">
        <v>2026</v>
      </c>
      <c r="N331">
        <v>6</v>
      </c>
      <c r="O331">
        <v>3</v>
      </c>
      <c r="P331">
        <v>2026</v>
      </c>
      <c r="Q331">
        <v>6</v>
      </c>
      <c r="R331" t="s">
        <v>66</v>
      </c>
      <c r="S331" t="s">
        <v>55</v>
      </c>
      <c r="T331" t="s">
        <v>123</v>
      </c>
      <c r="U331" t="s">
        <v>40</v>
      </c>
      <c r="V331" t="s">
        <v>170</v>
      </c>
      <c r="W331" t="s">
        <v>171</v>
      </c>
      <c r="X331" t="s">
        <v>126</v>
      </c>
      <c r="Y331">
        <v>90</v>
      </c>
      <c r="Z331" t="s">
        <v>93</v>
      </c>
      <c r="AA331" t="s">
        <v>94</v>
      </c>
      <c r="AB331" s="1">
        <v>46110</v>
      </c>
      <c r="AC331" t="s">
        <v>66</v>
      </c>
      <c r="AD331" t="s">
        <v>40</v>
      </c>
      <c r="AE331" t="s">
        <v>60</v>
      </c>
      <c r="AF331" t="s">
        <v>40</v>
      </c>
      <c r="AG331">
        <v>1</v>
      </c>
      <c r="AH331" t="s">
        <v>100</v>
      </c>
    </row>
    <row r="332" spans="1:34" x14ac:dyDescent="0.3">
      <c r="A332" t="s">
        <v>704</v>
      </c>
      <c r="B332" t="s">
        <v>705</v>
      </c>
      <c r="C332" t="s">
        <v>36</v>
      </c>
      <c r="D332" t="s">
        <v>130</v>
      </c>
      <c r="E332" s="1">
        <v>45898</v>
      </c>
      <c r="F332" s="1">
        <v>45958</v>
      </c>
      <c r="G332" t="s">
        <v>81</v>
      </c>
      <c r="H332">
        <v>8384</v>
      </c>
      <c r="I332" t="s">
        <v>39</v>
      </c>
      <c r="J332" t="b">
        <v>0</v>
      </c>
      <c r="K332">
        <v>60</v>
      </c>
      <c r="L332">
        <v>10</v>
      </c>
      <c r="M332">
        <v>2025</v>
      </c>
      <c r="N332">
        <v>1</v>
      </c>
      <c r="O332">
        <v>8</v>
      </c>
      <c r="P332">
        <v>2025</v>
      </c>
      <c r="Q332">
        <v>4</v>
      </c>
      <c r="R332" t="s">
        <v>40</v>
      </c>
      <c r="S332" t="s">
        <v>67</v>
      </c>
      <c r="T332" t="s">
        <v>42</v>
      </c>
      <c r="U332" t="s">
        <v>66</v>
      </c>
      <c r="V332" t="s">
        <v>43</v>
      </c>
      <c r="W332" t="s">
        <v>44</v>
      </c>
      <c r="X332" t="s">
        <v>45</v>
      </c>
      <c r="Y332">
        <v>150</v>
      </c>
      <c r="Z332" t="s">
        <v>133</v>
      </c>
      <c r="AA332" t="s">
        <v>134</v>
      </c>
      <c r="AB332" s="1">
        <v>45958</v>
      </c>
      <c r="AC332" t="s">
        <v>40</v>
      </c>
      <c r="AD332" t="s">
        <v>40</v>
      </c>
      <c r="AE332" t="s">
        <v>60</v>
      </c>
      <c r="AF332" t="s">
        <v>40</v>
      </c>
      <c r="AG332">
        <v>0</v>
      </c>
      <c r="AH332" t="s">
        <v>61</v>
      </c>
    </row>
    <row r="333" spans="1:34" x14ac:dyDescent="0.3">
      <c r="A333" t="s">
        <v>706</v>
      </c>
      <c r="B333" t="s">
        <v>665</v>
      </c>
      <c r="C333" t="s">
        <v>73</v>
      </c>
      <c r="D333" t="s">
        <v>104</v>
      </c>
      <c r="E333" s="1">
        <v>45883</v>
      </c>
      <c r="F333" s="1">
        <v>45884</v>
      </c>
      <c r="G333" t="s">
        <v>41</v>
      </c>
      <c r="H333">
        <v>5885</v>
      </c>
      <c r="I333" t="s">
        <v>39</v>
      </c>
      <c r="J333" t="b">
        <v>0</v>
      </c>
      <c r="K333">
        <v>1</v>
      </c>
      <c r="L333">
        <v>8</v>
      </c>
      <c r="M333">
        <v>2025</v>
      </c>
      <c r="N333">
        <v>4</v>
      </c>
      <c r="O333">
        <v>8</v>
      </c>
      <c r="P333">
        <v>2025</v>
      </c>
      <c r="Q333">
        <v>3</v>
      </c>
      <c r="R333" t="s">
        <v>40</v>
      </c>
      <c r="S333" t="s">
        <v>45</v>
      </c>
      <c r="T333" t="s">
        <v>42</v>
      </c>
      <c r="U333" t="s">
        <v>66</v>
      </c>
      <c r="V333" t="s">
        <v>74</v>
      </c>
      <c r="W333" t="s">
        <v>75</v>
      </c>
      <c r="X333" t="s">
        <v>76</v>
      </c>
      <c r="Y333">
        <v>75</v>
      </c>
      <c r="Z333" t="s">
        <v>107</v>
      </c>
      <c r="AA333" t="s">
        <v>108</v>
      </c>
      <c r="AB333" s="1">
        <v>45884</v>
      </c>
      <c r="AC333" t="s">
        <v>40</v>
      </c>
      <c r="AD333" t="s">
        <v>66</v>
      </c>
      <c r="AE333" t="s">
        <v>86</v>
      </c>
      <c r="AF333" t="s">
        <v>66</v>
      </c>
      <c r="AG333">
        <v>0</v>
      </c>
      <c r="AH333" t="s">
        <v>100</v>
      </c>
    </row>
    <row r="334" spans="1:34" x14ac:dyDescent="0.3">
      <c r="A334" t="s">
        <v>707</v>
      </c>
      <c r="B334" t="s">
        <v>651</v>
      </c>
      <c r="C334" t="s">
        <v>122</v>
      </c>
      <c r="D334" t="s">
        <v>37</v>
      </c>
      <c r="E334" s="1">
        <v>45856</v>
      </c>
      <c r="F334" s="1">
        <v>45886</v>
      </c>
      <c r="G334" t="s">
        <v>81</v>
      </c>
      <c r="H334">
        <v>6762</v>
      </c>
      <c r="I334" t="s">
        <v>39</v>
      </c>
      <c r="J334" t="b">
        <v>0</v>
      </c>
      <c r="K334">
        <v>30</v>
      </c>
      <c r="L334">
        <v>8</v>
      </c>
      <c r="M334">
        <v>2025</v>
      </c>
      <c r="N334">
        <v>6</v>
      </c>
      <c r="O334">
        <v>7</v>
      </c>
      <c r="P334">
        <v>2025</v>
      </c>
      <c r="Q334">
        <v>4</v>
      </c>
      <c r="R334" t="s">
        <v>66</v>
      </c>
      <c r="S334" t="s">
        <v>45</v>
      </c>
      <c r="T334" t="s">
        <v>286</v>
      </c>
      <c r="U334" t="s">
        <v>66</v>
      </c>
      <c r="V334" t="s">
        <v>124</v>
      </c>
      <c r="W334" t="s">
        <v>125</v>
      </c>
      <c r="X334" t="s">
        <v>126</v>
      </c>
      <c r="Y334">
        <v>85</v>
      </c>
      <c r="Z334" t="s">
        <v>46</v>
      </c>
      <c r="AA334" t="s">
        <v>47</v>
      </c>
      <c r="AB334" s="1">
        <v>45886</v>
      </c>
      <c r="AC334" t="s">
        <v>66</v>
      </c>
      <c r="AD334" t="s">
        <v>40</v>
      </c>
      <c r="AE334" t="s">
        <v>86</v>
      </c>
      <c r="AF334" t="s">
        <v>40</v>
      </c>
      <c r="AG334">
        <v>0</v>
      </c>
      <c r="AH334" t="s">
        <v>70</v>
      </c>
    </row>
    <row r="335" spans="1:34" x14ac:dyDescent="0.3">
      <c r="A335" t="s">
        <v>708</v>
      </c>
      <c r="B335" t="s">
        <v>632</v>
      </c>
      <c r="C335" t="s">
        <v>122</v>
      </c>
      <c r="D335" t="s">
        <v>104</v>
      </c>
      <c r="E335" s="1">
        <v>45833</v>
      </c>
      <c r="F335" s="1">
        <v>45893</v>
      </c>
      <c r="G335" t="s">
        <v>38</v>
      </c>
      <c r="H335">
        <v>4142</v>
      </c>
      <c r="I335" t="s">
        <v>212</v>
      </c>
      <c r="J335" t="b">
        <v>0</v>
      </c>
      <c r="K335">
        <v>60</v>
      </c>
      <c r="L335">
        <v>8</v>
      </c>
      <c r="M335">
        <v>2025</v>
      </c>
      <c r="N335">
        <v>6</v>
      </c>
      <c r="O335">
        <v>6</v>
      </c>
      <c r="P335">
        <v>2025</v>
      </c>
      <c r="Q335">
        <v>2</v>
      </c>
      <c r="R335" t="s">
        <v>66</v>
      </c>
      <c r="S335" t="s">
        <v>55</v>
      </c>
      <c r="T335" t="s">
        <v>42</v>
      </c>
      <c r="U335" t="s">
        <v>40</v>
      </c>
      <c r="V335" t="s">
        <v>124</v>
      </c>
      <c r="W335" t="s">
        <v>125</v>
      </c>
      <c r="X335" t="s">
        <v>126</v>
      </c>
      <c r="Y335">
        <v>85</v>
      </c>
      <c r="Z335" t="s">
        <v>107</v>
      </c>
      <c r="AA335" t="s">
        <v>108</v>
      </c>
      <c r="AB335" s="1">
        <v>45893</v>
      </c>
      <c r="AC335" t="s">
        <v>66</v>
      </c>
      <c r="AD335" t="s">
        <v>40</v>
      </c>
      <c r="AE335" t="s">
        <v>86</v>
      </c>
      <c r="AF335" t="s">
        <v>40</v>
      </c>
      <c r="AG335">
        <v>0</v>
      </c>
      <c r="AH335" t="s">
        <v>61</v>
      </c>
    </row>
    <row r="336" spans="1:34" x14ac:dyDescent="0.3">
      <c r="A336" t="s">
        <v>709</v>
      </c>
      <c r="B336" t="s">
        <v>710</v>
      </c>
      <c r="C336" t="s">
        <v>36</v>
      </c>
      <c r="D336" t="s">
        <v>104</v>
      </c>
      <c r="E336" s="1">
        <v>46192</v>
      </c>
      <c r="F336" s="1">
        <v>46206</v>
      </c>
      <c r="G336" t="s">
        <v>38</v>
      </c>
      <c r="H336">
        <v>5395</v>
      </c>
      <c r="I336" t="s">
        <v>39</v>
      </c>
      <c r="J336" t="b">
        <v>0</v>
      </c>
      <c r="K336">
        <v>14</v>
      </c>
      <c r="L336">
        <v>7</v>
      </c>
      <c r="M336">
        <v>2026</v>
      </c>
      <c r="N336">
        <v>4</v>
      </c>
      <c r="O336">
        <v>6</v>
      </c>
      <c r="P336">
        <v>2026</v>
      </c>
      <c r="Q336">
        <v>4</v>
      </c>
      <c r="R336" t="s">
        <v>40</v>
      </c>
      <c r="S336" t="s">
        <v>55</v>
      </c>
      <c r="T336" t="s">
        <v>113</v>
      </c>
      <c r="U336" t="s">
        <v>40</v>
      </c>
      <c r="V336" t="s">
        <v>43</v>
      </c>
      <c r="W336" t="s">
        <v>44</v>
      </c>
      <c r="X336" t="s">
        <v>45</v>
      </c>
      <c r="Y336">
        <v>150</v>
      </c>
      <c r="Z336" t="s">
        <v>107</v>
      </c>
      <c r="AA336" t="s">
        <v>108</v>
      </c>
      <c r="AB336" s="1">
        <v>46206</v>
      </c>
      <c r="AC336" t="s">
        <v>40</v>
      </c>
      <c r="AD336" t="s">
        <v>40</v>
      </c>
      <c r="AE336" t="s">
        <v>86</v>
      </c>
      <c r="AF336" t="s">
        <v>40</v>
      </c>
      <c r="AG336">
        <v>0</v>
      </c>
      <c r="AH336" t="s">
        <v>70</v>
      </c>
    </row>
    <row r="337" spans="1:34" x14ac:dyDescent="0.3">
      <c r="A337" t="s">
        <v>711</v>
      </c>
      <c r="B337" t="s">
        <v>220</v>
      </c>
      <c r="C337" t="s">
        <v>103</v>
      </c>
      <c r="D337" t="s">
        <v>80</v>
      </c>
      <c r="E337" s="1">
        <v>45885</v>
      </c>
      <c r="F337" s="1">
        <v>45985</v>
      </c>
      <c r="G337" t="s">
        <v>38</v>
      </c>
      <c r="H337">
        <v>3520</v>
      </c>
      <c r="I337" t="s">
        <v>65</v>
      </c>
      <c r="J337" t="b">
        <v>0</v>
      </c>
      <c r="K337">
        <v>100</v>
      </c>
      <c r="L337">
        <v>11</v>
      </c>
      <c r="M337">
        <v>2025</v>
      </c>
      <c r="N337">
        <v>0</v>
      </c>
      <c r="O337">
        <v>8</v>
      </c>
      <c r="P337">
        <v>2025</v>
      </c>
      <c r="Q337">
        <v>5</v>
      </c>
      <c r="R337" t="s">
        <v>40</v>
      </c>
      <c r="S337" t="s">
        <v>45</v>
      </c>
      <c r="T337" t="s">
        <v>42</v>
      </c>
      <c r="U337" t="s">
        <v>66</v>
      </c>
      <c r="V337" t="s">
        <v>105</v>
      </c>
      <c r="W337" t="s">
        <v>106</v>
      </c>
      <c r="X337" t="s">
        <v>45</v>
      </c>
      <c r="Y337">
        <v>140</v>
      </c>
      <c r="Z337" t="s">
        <v>84</v>
      </c>
      <c r="AA337" t="s">
        <v>85</v>
      </c>
      <c r="AB337" s="1">
        <v>45985</v>
      </c>
      <c r="AC337" t="s">
        <v>40</v>
      </c>
      <c r="AD337" t="s">
        <v>40</v>
      </c>
      <c r="AE337" t="s">
        <v>86</v>
      </c>
      <c r="AF337" t="s">
        <v>40</v>
      </c>
      <c r="AG337">
        <v>0</v>
      </c>
      <c r="AH337" t="s">
        <v>49</v>
      </c>
    </row>
    <row r="338" spans="1:34" x14ac:dyDescent="0.3">
      <c r="A338" t="s">
        <v>712</v>
      </c>
      <c r="B338" t="s">
        <v>713</v>
      </c>
      <c r="C338" t="s">
        <v>103</v>
      </c>
      <c r="D338" t="s">
        <v>80</v>
      </c>
      <c r="E338" s="1">
        <v>46061</v>
      </c>
      <c r="F338" s="1">
        <v>46075</v>
      </c>
      <c r="G338" t="s">
        <v>64</v>
      </c>
      <c r="H338">
        <v>3214</v>
      </c>
      <c r="I338" t="s">
        <v>39</v>
      </c>
      <c r="J338" t="b">
        <v>0</v>
      </c>
      <c r="K338">
        <v>14</v>
      </c>
      <c r="L338">
        <v>2</v>
      </c>
      <c r="M338">
        <v>2026</v>
      </c>
      <c r="N338">
        <v>6</v>
      </c>
      <c r="O338">
        <v>2</v>
      </c>
      <c r="P338">
        <v>2026</v>
      </c>
      <c r="Q338">
        <v>6</v>
      </c>
      <c r="R338" t="s">
        <v>66</v>
      </c>
      <c r="S338" t="s">
        <v>41</v>
      </c>
      <c r="T338" t="s">
        <v>42</v>
      </c>
      <c r="U338" t="s">
        <v>66</v>
      </c>
      <c r="V338" t="s">
        <v>105</v>
      </c>
      <c r="W338" t="s">
        <v>106</v>
      </c>
      <c r="X338" t="s">
        <v>45</v>
      </c>
      <c r="Y338">
        <v>140</v>
      </c>
      <c r="Z338" t="s">
        <v>84</v>
      </c>
      <c r="AA338" t="s">
        <v>85</v>
      </c>
      <c r="AB338" s="1">
        <v>46075</v>
      </c>
      <c r="AC338" t="s">
        <v>66</v>
      </c>
      <c r="AD338" t="s">
        <v>40</v>
      </c>
      <c r="AE338" t="s">
        <v>60</v>
      </c>
      <c r="AF338" t="s">
        <v>40</v>
      </c>
      <c r="AG338">
        <v>0</v>
      </c>
      <c r="AH338" t="s">
        <v>70</v>
      </c>
    </row>
    <row r="339" spans="1:34" x14ac:dyDescent="0.3">
      <c r="A339" t="s">
        <v>714</v>
      </c>
      <c r="B339" t="s">
        <v>211</v>
      </c>
      <c r="C339" t="s">
        <v>97</v>
      </c>
      <c r="D339" t="s">
        <v>53</v>
      </c>
      <c r="E339" s="1">
        <v>45960</v>
      </c>
      <c r="F339" s="1">
        <v>45967</v>
      </c>
      <c r="G339" t="s">
        <v>64</v>
      </c>
      <c r="H339">
        <v>3182</v>
      </c>
      <c r="I339" t="s">
        <v>39</v>
      </c>
      <c r="J339" t="b">
        <v>0</v>
      </c>
      <c r="K339">
        <v>7</v>
      </c>
      <c r="L339">
        <v>11</v>
      </c>
      <c r="M339">
        <v>2025</v>
      </c>
      <c r="N339">
        <v>3</v>
      </c>
      <c r="O339">
        <v>10</v>
      </c>
      <c r="P339">
        <v>2025</v>
      </c>
      <c r="Q339">
        <v>3</v>
      </c>
      <c r="R339" t="s">
        <v>40</v>
      </c>
      <c r="S339" t="s">
        <v>45</v>
      </c>
      <c r="T339" t="s">
        <v>42</v>
      </c>
      <c r="U339" t="s">
        <v>40</v>
      </c>
      <c r="V339" t="s">
        <v>98</v>
      </c>
      <c r="W339" t="s">
        <v>99</v>
      </c>
      <c r="X339" t="s">
        <v>76</v>
      </c>
      <c r="Y339">
        <v>80</v>
      </c>
      <c r="Z339" t="s">
        <v>58</v>
      </c>
      <c r="AA339" t="s">
        <v>59</v>
      </c>
      <c r="AB339" s="1">
        <v>45967</v>
      </c>
      <c r="AC339" t="s">
        <v>40</v>
      </c>
      <c r="AD339" t="s">
        <v>40</v>
      </c>
      <c r="AE339" t="s">
        <v>86</v>
      </c>
      <c r="AF339" t="s">
        <v>40</v>
      </c>
      <c r="AG339">
        <v>0</v>
      </c>
      <c r="AH339" t="s">
        <v>100</v>
      </c>
    </row>
    <row r="340" spans="1:34" x14ac:dyDescent="0.3">
      <c r="A340" t="s">
        <v>715</v>
      </c>
      <c r="B340" t="s">
        <v>716</v>
      </c>
      <c r="C340" t="s">
        <v>122</v>
      </c>
      <c r="D340" t="s">
        <v>90</v>
      </c>
      <c r="E340" s="1">
        <v>46073</v>
      </c>
      <c r="F340" s="1">
        <v>46080</v>
      </c>
      <c r="G340" t="s">
        <v>81</v>
      </c>
      <c r="H340">
        <v>11638</v>
      </c>
      <c r="I340" t="s">
        <v>39</v>
      </c>
      <c r="J340" t="b">
        <v>0</v>
      </c>
      <c r="K340">
        <v>7</v>
      </c>
      <c r="L340">
        <v>2</v>
      </c>
      <c r="M340">
        <v>2026</v>
      </c>
      <c r="N340">
        <v>4</v>
      </c>
      <c r="O340">
        <v>2</v>
      </c>
      <c r="P340">
        <v>2026</v>
      </c>
      <c r="Q340">
        <v>4</v>
      </c>
      <c r="R340" t="s">
        <v>40</v>
      </c>
      <c r="S340" t="s">
        <v>45</v>
      </c>
      <c r="T340" t="s">
        <v>113</v>
      </c>
      <c r="U340" t="s">
        <v>40</v>
      </c>
      <c r="V340" t="s">
        <v>124</v>
      </c>
      <c r="W340" t="s">
        <v>125</v>
      </c>
      <c r="X340" t="s">
        <v>126</v>
      </c>
      <c r="Y340">
        <v>85</v>
      </c>
      <c r="Z340" t="s">
        <v>93</v>
      </c>
      <c r="AA340" t="s">
        <v>94</v>
      </c>
      <c r="AB340" s="1">
        <v>46080</v>
      </c>
      <c r="AC340" t="s">
        <v>40</v>
      </c>
      <c r="AD340" t="s">
        <v>40</v>
      </c>
      <c r="AE340" t="s">
        <v>60</v>
      </c>
      <c r="AF340" t="s">
        <v>40</v>
      </c>
      <c r="AG340">
        <v>0</v>
      </c>
      <c r="AH340" t="s">
        <v>100</v>
      </c>
    </row>
    <row r="341" spans="1:34" x14ac:dyDescent="0.3">
      <c r="A341" t="s">
        <v>717</v>
      </c>
      <c r="B341" t="s">
        <v>718</v>
      </c>
      <c r="C341" t="s">
        <v>103</v>
      </c>
      <c r="D341" t="s">
        <v>53</v>
      </c>
      <c r="E341" s="1">
        <v>46285</v>
      </c>
      <c r="F341" s="1">
        <v>46315</v>
      </c>
      <c r="G341" t="s">
        <v>38</v>
      </c>
      <c r="H341">
        <v>4875</v>
      </c>
      <c r="I341" t="s">
        <v>65</v>
      </c>
      <c r="J341" t="b">
        <v>0</v>
      </c>
      <c r="K341">
        <v>30</v>
      </c>
      <c r="L341">
        <v>10</v>
      </c>
      <c r="M341">
        <v>2026</v>
      </c>
      <c r="N341">
        <v>1</v>
      </c>
      <c r="O341">
        <v>9</v>
      </c>
      <c r="P341">
        <v>2026</v>
      </c>
      <c r="Q341">
        <v>6</v>
      </c>
      <c r="R341" t="s">
        <v>40</v>
      </c>
      <c r="S341" t="s">
        <v>45</v>
      </c>
      <c r="T341" t="s">
        <v>42</v>
      </c>
      <c r="U341" t="s">
        <v>40</v>
      </c>
      <c r="V341" t="s">
        <v>105</v>
      </c>
      <c r="W341" t="s">
        <v>106</v>
      </c>
      <c r="X341" t="s">
        <v>45</v>
      </c>
      <c r="Y341">
        <v>140</v>
      </c>
      <c r="Z341" t="s">
        <v>58</v>
      </c>
      <c r="AA341" t="s">
        <v>59</v>
      </c>
      <c r="AB341" s="1">
        <v>46315</v>
      </c>
      <c r="AC341" t="s">
        <v>40</v>
      </c>
      <c r="AD341" t="s">
        <v>40</v>
      </c>
      <c r="AE341" t="s">
        <v>60</v>
      </c>
      <c r="AF341" t="s">
        <v>40</v>
      </c>
      <c r="AG341">
        <v>0</v>
      </c>
      <c r="AH341" t="s">
        <v>70</v>
      </c>
    </row>
    <row r="342" spans="1:34" x14ac:dyDescent="0.3">
      <c r="A342" t="s">
        <v>719</v>
      </c>
      <c r="B342" t="s">
        <v>375</v>
      </c>
      <c r="C342" t="s">
        <v>103</v>
      </c>
      <c r="D342" t="s">
        <v>53</v>
      </c>
      <c r="E342" s="1">
        <v>46134</v>
      </c>
      <c r="F342" s="1">
        <v>46164</v>
      </c>
      <c r="G342" t="s">
        <v>81</v>
      </c>
      <c r="H342">
        <v>7048</v>
      </c>
      <c r="I342" t="s">
        <v>54</v>
      </c>
      <c r="J342" t="b">
        <v>0</v>
      </c>
      <c r="K342">
        <v>30</v>
      </c>
      <c r="L342">
        <v>5</v>
      </c>
      <c r="M342">
        <v>2026</v>
      </c>
      <c r="N342">
        <v>4</v>
      </c>
      <c r="O342">
        <v>4</v>
      </c>
      <c r="P342">
        <v>2026</v>
      </c>
      <c r="Q342">
        <v>2</v>
      </c>
      <c r="R342" t="s">
        <v>40</v>
      </c>
      <c r="S342" t="s">
        <v>55</v>
      </c>
      <c r="T342" t="s">
        <v>123</v>
      </c>
      <c r="U342" t="s">
        <v>66</v>
      </c>
      <c r="V342" t="s">
        <v>105</v>
      </c>
      <c r="W342" t="s">
        <v>106</v>
      </c>
      <c r="X342" t="s">
        <v>45</v>
      </c>
      <c r="Y342">
        <v>140</v>
      </c>
      <c r="Z342" t="s">
        <v>58</v>
      </c>
      <c r="AA342" t="s">
        <v>59</v>
      </c>
      <c r="AB342" s="1">
        <v>46164</v>
      </c>
      <c r="AC342" t="s">
        <v>40</v>
      </c>
      <c r="AD342" t="s">
        <v>40</v>
      </c>
      <c r="AE342" t="s">
        <v>69</v>
      </c>
      <c r="AF342" t="s">
        <v>40</v>
      </c>
      <c r="AG342">
        <v>1</v>
      </c>
      <c r="AH342" t="s">
        <v>70</v>
      </c>
    </row>
    <row r="343" spans="1:34" x14ac:dyDescent="0.3">
      <c r="A343" t="s">
        <v>720</v>
      </c>
      <c r="B343" t="s">
        <v>554</v>
      </c>
      <c r="C343" t="s">
        <v>73</v>
      </c>
      <c r="D343" t="s">
        <v>80</v>
      </c>
      <c r="E343" s="1">
        <v>45774</v>
      </c>
      <c r="F343" s="1">
        <v>45804</v>
      </c>
      <c r="G343" t="s">
        <v>38</v>
      </c>
      <c r="H343">
        <v>4944</v>
      </c>
      <c r="I343" t="s">
        <v>39</v>
      </c>
      <c r="J343" t="b">
        <v>0</v>
      </c>
      <c r="K343">
        <v>30</v>
      </c>
      <c r="L343">
        <v>5</v>
      </c>
      <c r="M343">
        <v>2025</v>
      </c>
      <c r="N343">
        <v>1</v>
      </c>
      <c r="O343">
        <v>4</v>
      </c>
      <c r="P343">
        <v>2025</v>
      </c>
      <c r="Q343">
        <v>6</v>
      </c>
      <c r="R343" t="s">
        <v>40</v>
      </c>
      <c r="S343" t="s">
        <v>55</v>
      </c>
      <c r="T343" t="s">
        <v>286</v>
      </c>
      <c r="U343" t="s">
        <v>66</v>
      </c>
      <c r="V343" t="s">
        <v>74</v>
      </c>
      <c r="W343" t="s">
        <v>75</v>
      </c>
      <c r="X343" t="s">
        <v>76</v>
      </c>
      <c r="Y343">
        <v>75</v>
      </c>
      <c r="Z343" t="s">
        <v>84</v>
      </c>
      <c r="AA343" t="s">
        <v>85</v>
      </c>
      <c r="AB343" s="1">
        <v>45804</v>
      </c>
      <c r="AC343" t="s">
        <v>40</v>
      </c>
      <c r="AD343" t="s">
        <v>40</v>
      </c>
      <c r="AE343" t="s">
        <v>69</v>
      </c>
      <c r="AF343" t="s">
        <v>40</v>
      </c>
      <c r="AG343">
        <v>0</v>
      </c>
      <c r="AH343" t="s">
        <v>70</v>
      </c>
    </row>
    <row r="344" spans="1:34" x14ac:dyDescent="0.3">
      <c r="A344" t="s">
        <v>721</v>
      </c>
      <c r="B344" t="s">
        <v>404</v>
      </c>
      <c r="C344" t="s">
        <v>122</v>
      </c>
      <c r="D344" t="s">
        <v>104</v>
      </c>
      <c r="E344" s="1">
        <v>46171</v>
      </c>
      <c r="F344" s="1">
        <v>46201</v>
      </c>
      <c r="G344" t="s">
        <v>64</v>
      </c>
      <c r="H344">
        <v>3653</v>
      </c>
      <c r="I344" t="s">
        <v>65</v>
      </c>
      <c r="J344" t="b">
        <v>0</v>
      </c>
      <c r="K344">
        <v>30</v>
      </c>
      <c r="L344">
        <v>6</v>
      </c>
      <c r="M344">
        <v>2026</v>
      </c>
      <c r="N344">
        <v>6</v>
      </c>
      <c r="O344">
        <v>5</v>
      </c>
      <c r="P344">
        <v>2026</v>
      </c>
      <c r="Q344">
        <v>4</v>
      </c>
      <c r="R344" t="s">
        <v>66</v>
      </c>
      <c r="S344" t="s">
        <v>45</v>
      </c>
      <c r="T344" t="s">
        <v>139</v>
      </c>
      <c r="U344" t="s">
        <v>66</v>
      </c>
      <c r="V344" t="s">
        <v>124</v>
      </c>
      <c r="W344" t="s">
        <v>125</v>
      </c>
      <c r="X344" t="s">
        <v>126</v>
      </c>
      <c r="Y344">
        <v>85</v>
      </c>
      <c r="Z344" t="s">
        <v>107</v>
      </c>
      <c r="AA344" t="s">
        <v>108</v>
      </c>
      <c r="AB344" s="1">
        <v>46201</v>
      </c>
      <c r="AC344" t="s">
        <v>66</v>
      </c>
      <c r="AD344" t="s">
        <v>40</v>
      </c>
      <c r="AE344" t="s">
        <v>60</v>
      </c>
      <c r="AF344" t="s">
        <v>40</v>
      </c>
      <c r="AG344">
        <v>0</v>
      </c>
      <c r="AH344" t="s">
        <v>70</v>
      </c>
    </row>
    <row r="345" spans="1:34" x14ac:dyDescent="0.3">
      <c r="A345" t="s">
        <v>722</v>
      </c>
      <c r="B345" t="s">
        <v>723</v>
      </c>
      <c r="C345" t="s">
        <v>73</v>
      </c>
      <c r="D345" t="s">
        <v>104</v>
      </c>
      <c r="E345" s="1">
        <v>45747</v>
      </c>
      <c r="F345" s="1">
        <v>45750</v>
      </c>
      <c r="G345" t="s">
        <v>38</v>
      </c>
      <c r="H345">
        <v>3815</v>
      </c>
      <c r="I345" t="s">
        <v>39</v>
      </c>
      <c r="J345" t="b">
        <v>0</v>
      </c>
      <c r="K345">
        <v>3</v>
      </c>
      <c r="L345">
        <v>4</v>
      </c>
      <c r="M345">
        <v>2025</v>
      </c>
      <c r="N345">
        <v>3</v>
      </c>
      <c r="O345">
        <v>3</v>
      </c>
      <c r="P345">
        <v>2025</v>
      </c>
      <c r="Q345">
        <v>0</v>
      </c>
      <c r="R345" t="s">
        <v>40</v>
      </c>
      <c r="S345" t="s">
        <v>67</v>
      </c>
      <c r="T345" t="s">
        <v>286</v>
      </c>
      <c r="U345" t="s">
        <v>66</v>
      </c>
      <c r="V345" t="s">
        <v>74</v>
      </c>
      <c r="W345" t="s">
        <v>75</v>
      </c>
      <c r="X345" t="s">
        <v>76</v>
      </c>
      <c r="Y345">
        <v>75</v>
      </c>
      <c r="Z345" t="s">
        <v>107</v>
      </c>
      <c r="AA345" t="s">
        <v>108</v>
      </c>
      <c r="AB345" s="1">
        <v>45750</v>
      </c>
      <c r="AC345" t="s">
        <v>40</v>
      </c>
      <c r="AD345" t="s">
        <v>40</v>
      </c>
      <c r="AE345" t="s">
        <v>69</v>
      </c>
      <c r="AF345" t="s">
        <v>40</v>
      </c>
      <c r="AG345">
        <v>0</v>
      </c>
      <c r="AH345" t="s">
        <v>100</v>
      </c>
    </row>
    <row r="346" spans="1:34" x14ac:dyDescent="0.3">
      <c r="A346" t="s">
        <v>724</v>
      </c>
      <c r="B346" t="s">
        <v>725</v>
      </c>
      <c r="C346" t="s">
        <v>146</v>
      </c>
      <c r="D346" t="s">
        <v>37</v>
      </c>
      <c r="E346" s="1">
        <v>45681</v>
      </c>
      <c r="F346" s="1">
        <v>45688</v>
      </c>
      <c r="G346" t="s">
        <v>38</v>
      </c>
      <c r="H346">
        <v>5220</v>
      </c>
      <c r="I346" t="s">
        <v>39</v>
      </c>
      <c r="J346" t="b">
        <v>0</v>
      </c>
      <c r="K346">
        <v>7</v>
      </c>
      <c r="L346">
        <v>1</v>
      </c>
      <c r="M346">
        <v>2025</v>
      </c>
      <c r="N346">
        <v>4</v>
      </c>
      <c r="O346">
        <v>1</v>
      </c>
      <c r="P346">
        <v>2025</v>
      </c>
      <c r="Q346">
        <v>4</v>
      </c>
      <c r="R346" t="s">
        <v>40</v>
      </c>
      <c r="S346" t="s">
        <v>55</v>
      </c>
      <c r="T346" t="s">
        <v>42</v>
      </c>
      <c r="U346" t="s">
        <v>40</v>
      </c>
      <c r="V346" t="s">
        <v>147</v>
      </c>
      <c r="W346" t="s">
        <v>148</v>
      </c>
      <c r="X346" t="s">
        <v>45</v>
      </c>
      <c r="Y346">
        <v>160</v>
      </c>
      <c r="Z346" t="s">
        <v>46</v>
      </c>
      <c r="AA346" t="s">
        <v>47</v>
      </c>
      <c r="AB346" s="1">
        <v>45688</v>
      </c>
      <c r="AC346" t="s">
        <v>40</v>
      </c>
      <c r="AD346" t="s">
        <v>40</v>
      </c>
      <c r="AE346" t="s">
        <v>86</v>
      </c>
      <c r="AF346" t="s">
        <v>40</v>
      </c>
      <c r="AG346">
        <v>0</v>
      </c>
      <c r="AH346" t="s">
        <v>100</v>
      </c>
    </row>
    <row r="347" spans="1:34" x14ac:dyDescent="0.3">
      <c r="A347" t="s">
        <v>726</v>
      </c>
      <c r="B347" t="s">
        <v>727</v>
      </c>
      <c r="C347" t="s">
        <v>146</v>
      </c>
      <c r="D347" t="s">
        <v>37</v>
      </c>
      <c r="E347" s="1">
        <v>46001</v>
      </c>
      <c r="F347" s="1">
        <v>46015</v>
      </c>
      <c r="G347" t="s">
        <v>81</v>
      </c>
      <c r="H347">
        <v>11954</v>
      </c>
      <c r="I347" t="s">
        <v>39</v>
      </c>
      <c r="J347" t="b">
        <v>0</v>
      </c>
      <c r="K347">
        <v>14</v>
      </c>
      <c r="L347">
        <v>12</v>
      </c>
      <c r="M347">
        <v>2025</v>
      </c>
      <c r="N347">
        <v>2</v>
      </c>
      <c r="O347">
        <v>12</v>
      </c>
      <c r="P347">
        <v>2025</v>
      </c>
      <c r="Q347">
        <v>2</v>
      </c>
      <c r="R347" t="s">
        <v>40</v>
      </c>
      <c r="S347" t="s">
        <v>41</v>
      </c>
      <c r="T347" t="s">
        <v>68</v>
      </c>
      <c r="U347" t="s">
        <v>40</v>
      </c>
      <c r="V347" t="s">
        <v>147</v>
      </c>
      <c r="W347" t="s">
        <v>148</v>
      </c>
      <c r="X347" t="s">
        <v>45</v>
      </c>
      <c r="Y347">
        <v>160</v>
      </c>
      <c r="Z347" t="s">
        <v>46</v>
      </c>
      <c r="AA347" t="s">
        <v>47</v>
      </c>
      <c r="AB347" s="1">
        <v>46015</v>
      </c>
      <c r="AC347" t="s">
        <v>40</v>
      </c>
      <c r="AD347" t="s">
        <v>40</v>
      </c>
      <c r="AE347" t="s">
        <v>69</v>
      </c>
      <c r="AF347" t="s">
        <v>40</v>
      </c>
      <c r="AG347">
        <v>0</v>
      </c>
      <c r="AH347" t="s">
        <v>70</v>
      </c>
    </row>
    <row r="348" spans="1:34" x14ac:dyDescent="0.3">
      <c r="A348" t="s">
        <v>728</v>
      </c>
      <c r="B348" t="s">
        <v>729</v>
      </c>
      <c r="C348" t="s">
        <v>97</v>
      </c>
      <c r="D348" t="s">
        <v>53</v>
      </c>
      <c r="E348" s="1">
        <v>45833</v>
      </c>
      <c r="F348" s="1">
        <v>45893</v>
      </c>
      <c r="G348" t="s">
        <v>38</v>
      </c>
      <c r="H348">
        <v>4680</v>
      </c>
      <c r="I348" t="s">
        <v>39</v>
      </c>
      <c r="J348" t="b">
        <v>0</v>
      </c>
      <c r="K348">
        <v>60</v>
      </c>
      <c r="L348">
        <v>8</v>
      </c>
      <c r="M348">
        <v>2025</v>
      </c>
      <c r="N348">
        <v>6</v>
      </c>
      <c r="O348">
        <v>6</v>
      </c>
      <c r="P348">
        <v>2025</v>
      </c>
      <c r="Q348">
        <v>2</v>
      </c>
      <c r="R348" t="s">
        <v>66</v>
      </c>
      <c r="S348" t="s">
        <v>55</v>
      </c>
      <c r="T348" t="s">
        <v>113</v>
      </c>
      <c r="U348" t="s">
        <v>40</v>
      </c>
      <c r="V348" t="s">
        <v>98</v>
      </c>
      <c r="W348" t="s">
        <v>99</v>
      </c>
      <c r="X348" t="s">
        <v>76</v>
      </c>
      <c r="Y348">
        <v>80</v>
      </c>
      <c r="Z348" t="s">
        <v>58</v>
      </c>
      <c r="AA348" t="s">
        <v>59</v>
      </c>
      <c r="AB348" s="1">
        <v>45893</v>
      </c>
      <c r="AC348" t="s">
        <v>66</v>
      </c>
      <c r="AD348" t="s">
        <v>40</v>
      </c>
      <c r="AE348" t="s">
        <v>86</v>
      </c>
      <c r="AF348" t="s">
        <v>40</v>
      </c>
      <c r="AG348">
        <v>0</v>
      </c>
      <c r="AH348" t="s">
        <v>61</v>
      </c>
    </row>
    <row r="349" spans="1:34" x14ac:dyDescent="0.3">
      <c r="A349" t="s">
        <v>730</v>
      </c>
      <c r="B349" t="s">
        <v>408</v>
      </c>
      <c r="C349" t="s">
        <v>89</v>
      </c>
      <c r="D349" t="s">
        <v>80</v>
      </c>
      <c r="E349" s="1">
        <v>45950</v>
      </c>
      <c r="F349" s="1">
        <v>45957</v>
      </c>
      <c r="G349" t="s">
        <v>38</v>
      </c>
      <c r="H349">
        <v>4474</v>
      </c>
      <c r="I349" t="s">
        <v>39</v>
      </c>
      <c r="J349" t="b">
        <v>0</v>
      </c>
      <c r="K349">
        <v>7</v>
      </c>
      <c r="L349">
        <v>10</v>
      </c>
      <c r="M349">
        <v>2025</v>
      </c>
      <c r="N349">
        <v>0</v>
      </c>
      <c r="O349">
        <v>10</v>
      </c>
      <c r="P349">
        <v>2025</v>
      </c>
      <c r="Q349">
        <v>0</v>
      </c>
      <c r="R349" t="s">
        <v>40</v>
      </c>
      <c r="S349" t="s">
        <v>45</v>
      </c>
      <c r="T349" t="s">
        <v>42</v>
      </c>
      <c r="U349" t="s">
        <v>40</v>
      </c>
      <c r="V349" t="s">
        <v>91</v>
      </c>
      <c r="W349" t="s">
        <v>92</v>
      </c>
      <c r="X349" t="s">
        <v>76</v>
      </c>
      <c r="Y349">
        <v>65</v>
      </c>
      <c r="Z349" t="s">
        <v>84</v>
      </c>
      <c r="AA349" t="s">
        <v>85</v>
      </c>
      <c r="AB349" s="1">
        <v>45957</v>
      </c>
      <c r="AC349" t="s">
        <v>40</v>
      </c>
      <c r="AD349" t="s">
        <v>40</v>
      </c>
      <c r="AE349" t="s">
        <v>60</v>
      </c>
      <c r="AF349" t="s">
        <v>40</v>
      </c>
      <c r="AG349">
        <v>0</v>
      </c>
      <c r="AH349" t="s">
        <v>100</v>
      </c>
    </row>
    <row r="350" spans="1:34" x14ac:dyDescent="0.3">
      <c r="A350" t="s">
        <v>731</v>
      </c>
      <c r="B350" t="s">
        <v>663</v>
      </c>
      <c r="C350" t="s">
        <v>97</v>
      </c>
      <c r="D350" t="s">
        <v>90</v>
      </c>
      <c r="E350" s="1">
        <v>46233</v>
      </c>
      <c r="F350" s="1">
        <v>46293</v>
      </c>
      <c r="G350" t="s">
        <v>81</v>
      </c>
      <c r="H350">
        <v>10173</v>
      </c>
      <c r="I350" t="s">
        <v>39</v>
      </c>
      <c r="J350" t="b">
        <v>0</v>
      </c>
      <c r="K350">
        <v>60</v>
      </c>
      <c r="L350">
        <v>9</v>
      </c>
      <c r="M350">
        <v>2026</v>
      </c>
      <c r="N350">
        <v>0</v>
      </c>
      <c r="O350">
        <v>7</v>
      </c>
      <c r="P350">
        <v>2026</v>
      </c>
      <c r="Q350">
        <v>3</v>
      </c>
      <c r="R350" t="s">
        <v>40</v>
      </c>
      <c r="S350" t="s">
        <v>67</v>
      </c>
      <c r="T350" t="s">
        <v>42</v>
      </c>
      <c r="U350" t="s">
        <v>40</v>
      </c>
      <c r="V350" t="s">
        <v>98</v>
      </c>
      <c r="W350" t="s">
        <v>99</v>
      </c>
      <c r="X350" t="s">
        <v>76</v>
      </c>
      <c r="Y350">
        <v>80</v>
      </c>
      <c r="Z350" t="s">
        <v>93</v>
      </c>
      <c r="AA350" t="s">
        <v>94</v>
      </c>
      <c r="AB350" s="1">
        <v>46293</v>
      </c>
      <c r="AC350" t="s">
        <v>40</v>
      </c>
      <c r="AD350" t="s">
        <v>40</v>
      </c>
      <c r="AE350" t="s">
        <v>60</v>
      </c>
      <c r="AF350" t="s">
        <v>40</v>
      </c>
      <c r="AG350">
        <v>0</v>
      </c>
      <c r="AH350" t="s">
        <v>61</v>
      </c>
    </row>
    <row r="351" spans="1:34" x14ac:dyDescent="0.3">
      <c r="A351" t="s">
        <v>732</v>
      </c>
      <c r="B351" t="s">
        <v>733</v>
      </c>
      <c r="C351" t="s">
        <v>103</v>
      </c>
      <c r="D351" t="s">
        <v>104</v>
      </c>
      <c r="E351" s="1">
        <v>45806</v>
      </c>
      <c r="F351" s="1">
        <v>45956</v>
      </c>
      <c r="G351" t="s">
        <v>81</v>
      </c>
      <c r="H351">
        <v>10656</v>
      </c>
      <c r="I351" t="s">
        <v>54</v>
      </c>
      <c r="J351" t="b">
        <v>0</v>
      </c>
      <c r="K351">
        <v>150</v>
      </c>
      <c r="L351">
        <v>10</v>
      </c>
      <c r="M351">
        <v>2025</v>
      </c>
      <c r="N351">
        <v>6</v>
      </c>
      <c r="O351">
        <v>5</v>
      </c>
      <c r="P351">
        <v>2025</v>
      </c>
      <c r="Q351">
        <v>3</v>
      </c>
      <c r="R351" t="s">
        <v>66</v>
      </c>
      <c r="S351" t="s">
        <v>45</v>
      </c>
      <c r="T351" t="s">
        <v>139</v>
      </c>
      <c r="U351" t="s">
        <v>40</v>
      </c>
      <c r="V351" t="s">
        <v>105</v>
      </c>
      <c r="W351" t="s">
        <v>106</v>
      </c>
      <c r="X351" t="s">
        <v>45</v>
      </c>
      <c r="Y351">
        <v>140</v>
      </c>
      <c r="Z351" t="s">
        <v>107</v>
      </c>
      <c r="AA351" t="s">
        <v>108</v>
      </c>
      <c r="AB351" s="1">
        <v>45956</v>
      </c>
      <c r="AC351" t="s">
        <v>66</v>
      </c>
      <c r="AD351" t="s">
        <v>40</v>
      </c>
      <c r="AE351" t="s">
        <v>60</v>
      </c>
      <c r="AF351" t="s">
        <v>40</v>
      </c>
      <c r="AG351">
        <v>1</v>
      </c>
      <c r="AH351" t="s">
        <v>49</v>
      </c>
    </row>
    <row r="352" spans="1:34" x14ac:dyDescent="0.3">
      <c r="A352" t="s">
        <v>734</v>
      </c>
      <c r="B352" t="s">
        <v>558</v>
      </c>
      <c r="C352" t="s">
        <v>155</v>
      </c>
      <c r="D352" t="s">
        <v>37</v>
      </c>
      <c r="E352" s="1">
        <v>45808</v>
      </c>
      <c r="F352" s="1">
        <v>45868</v>
      </c>
      <c r="G352" t="s">
        <v>41</v>
      </c>
      <c r="H352">
        <v>8687</v>
      </c>
      <c r="I352" t="s">
        <v>39</v>
      </c>
      <c r="J352" t="b">
        <v>0</v>
      </c>
      <c r="K352">
        <v>60</v>
      </c>
      <c r="L352">
        <v>7</v>
      </c>
      <c r="M352">
        <v>2025</v>
      </c>
      <c r="N352">
        <v>2</v>
      </c>
      <c r="O352">
        <v>5</v>
      </c>
      <c r="P352">
        <v>2025</v>
      </c>
      <c r="Q352">
        <v>5</v>
      </c>
      <c r="R352" t="s">
        <v>40</v>
      </c>
      <c r="S352" t="s">
        <v>55</v>
      </c>
      <c r="T352" t="s">
        <v>48</v>
      </c>
      <c r="U352" t="s">
        <v>40</v>
      </c>
      <c r="V352" t="s">
        <v>156</v>
      </c>
      <c r="W352" t="s">
        <v>157</v>
      </c>
      <c r="X352" t="s">
        <v>158</v>
      </c>
      <c r="Y352">
        <v>70</v>
      </c>
      <c r="Z352" t="s">
        <v>46</v>
      </c>
      <c r="AA352" t="s">
        <v>47</v>
      </c>
      <c r="AB352" s="1">
        <v>45868</v>
      </c>
      <c r="AC352" t="s">
        <v>40</v>
      </c>
      <c r="AD352" t="s">
        <v>40</v>
      </c>
      <c r="AE352" t="s">
        <v>86</v>
      </c>
      <c r="AF352" t="s">
        <v>40</v>
      </c>
      <c r="AG352">
        <v>0</v>
      </c>
      <c r="AH352" t="s">
        <v>61</v>
      </c>
    </row>
    <row r="353" spans="1:34" x14ac:dyDescent="0.3">
      <c r="A353" t="s">
        <v>735</v>
      </c>
      <c r="B353" t="s">
        <v>733</v>
      </c>
      <c r="C353" t="s">
        <v>103</v>
      </c>
      <c r="D353" t="s">
        <v>80</v>
      </c>
      <c r="E353" s="1">
        <v>45883</v>
      </c>
      <c r="F353" s="1">
        <v>45897</v>
      </c>
      <c r="G353" t="s">
        <v>64</v>
      </c>
      <c r="H353">
        <v>2312</v>
      </c>
      <c r="I353" t="s">
        <v>65</v>
      </c>
      <c r="J353" t="b">
        <v>0</v>
      </c>
      <c r="K353">
        <v>14</v>
      </c>
      <c r="L353">
        <v>8</v>
      </c>
      <c r="M353">
        <v>2025</v>
      </c>
      <c r="N353">
        <v>3</v>
      </c>
      <c r="O353">
        <v>8</v>
      </c>
      <c r="P353">
        <v>2025</v>
      </c>
      <c r="Q353">
        <v>3</v>
      </c>
      <c r="R353" t="s">
        <v>40</v>
      </c>
      <c r="S353" t="s">
        <v>45</v>
      </c>
      <c r="T353" t="s">
        <v>139</v>
      </c>
      <c r="U353" t="s">
        <v>40</v>
      </c>
      <c r="V353" t="s">
        <v>105</v>
      </c>
      <c r="W353" t="s">
        <v>106</v>
      </c>
      <c r="X353" t="s">
        <v>45</v>
      </c>
      <c r="Y353">
        <v>140</v>
      </c>
      <c r="Z353" t="s">
        <v>84</v>
      </c>
      <c r="AA353" t="s">
        <v>85</v>
      </c>
      <c r="AB353" s="1">
        <v>45897</v>
      </c>
      <c r="AC353" t="s">
        <v>40</v>
      </c>
      <c r="AD353" t="s">
        <v>40</v>
      </c>
      <c r="AE353" t="s">
        <v>86</v>
      </c>
      <c r="AF353" t="s">
        <v>40</v>
      </c>
      <c r="AG353">
        <v>0</v>
      </c>
      <c r="AH353" t="s">
        <v>70</v>
      </c>
    </row>
    <row r="354" spans="1:34" x14ac:dyDescent="0.3">
      <c r="A354" t="s">
        <v>736</v>
      </c>
      <c r="B354" t="s">
        <v>661</v>
      </c>
      <c r="C354" t="s">
        <v>73</v>
      </c>
      <c r="D354" t="s">
        <v>130</v>
      </c>
      <c r="E354" s="1">
        <v>45743</v>
      </c>
      <c r="F354" s="1">
        <v>45773</v>
      </c>
      <c r="G354" t="s">
        <v>41</v>
      </c>
      <c r="H354">
        <v>5796</v>
      </c>
      <c r="I354" t="s">
        <v>39</v>
      </c>
      <c r="J354" t="b">
        <v>0</v>
      </c>
      <c r="K354">
        <v>30</v>
      </c>
      <c r="L354">
        <v>4</v>
      </c>
      <c r="M354">
        <v>2025</v>
      </c>
      <c r="N354">
        <v>5</v>
      </c>
      <c r="O354">
        <v>3</v>
      </c>
      <c r="P354">
        <v>2025</v>
      </c>
      <c r="Q354">
        <v>3</v>
      </c>
      <c r="R354" t="s">
        <v>66</v>
      </c>
      <c r="S354" t="s">
        <v>55</v>
      </c>
      <c r="T354" t="s">
        <v>42</v>
      </c>
      <c r="U354" t="s">
        <v>40</v>
      </c>
      <c r="V354" t="s">
        <v>74</v>
      </c>
      <c r="W354" t="s">
        <v>75</v>
      </c>
      <c r="X354" t="s">
        <v>76</v>
      </c>
      <c r="Y354">
        <v>75</v>
      </c>
      <c r="Z354" t="s">
        <v>133</v>
      </c>
      <c r="AA354" t="s">
        <v>134</v>
      </c>
      <c r="AB354" s="1">
        <v>45773</v>
      </c>
      <c r="AC354" t="s">
        <v>66</v>
      </c>
      <c r="AD354" t="s">
        <v>40</v>
      </c>
      <c r="AE354" t="s">
        <v>69</v>
      </c>
      <c r="AF354" t="s">
        <v>40</v>
      </c>
      <c r="AG354">
        <v>0</v>
      </c>
      <c r="AH354" t="s">
        <v>70</v>
      </c>
    </row>
    <row r="355" spans="1:34" x14ac:dyDescent="0.3">
      <c r="A355" t="s">
        <v>737</v>
      </c>
      <c r="B355" t="s">
        <v>738</v>
      </c>
      <c r="C355" t="s">
        <v>129</v>
      </c>
      <c r="D355" t="s">
        <v>53</v>
      </c>
      <c r="E355" s="1">
        <v>46065</v>
      </c>
      <c r="F355" s="1">
        <v>46068</v>
      </c>
      <c r="G355" t="s">
        <v>41</v>
      </c>
      <c r="H355">
        <v>6165</v>
      </c>
      <c r="I355" t="s">
        <v>54</v>
      </c>
      <c r="J355" t="b">
        <v>0</v>
      </c>
      <c r="K355">
        <v>3</v>
      </c>
      <c r="L355">
        <v>2</v>
      </c>
      <c r="M355">
        <v>2026</v>
      </c>
      <c r="N355">
        <v>6</v>
      </c>
      <c r="O355">
        <v>2</v>
      </c>
      <c r="P355">
        <v>2026</v>
      </c>
      <c r="Q355">
        <v>3</v>
      </c>
      <c r="R355" t="s">
        <v>66</v>
      </c>
      <c r="S355" t="s">
        <v>45</v>
      </c>
      <c r="T355" t="s">
        <v>42</v>
      </c>
      <c r="U355" t="s">
        <v>40</v>
      </c>
      <c r="V355" t="s">
        <v>131</v>
      </c>
      <c r="W355" t="s">
        <v>132</v>
      </c>
      <c r="X355" t="s">
        <v>45</v>
      </c>
      <c r="Y355">
        <v>110</v>
      </c>
      <c r="Z355" t="s">
        <v>58</v>
      </c>
      <c r="AA355" t="s">
        <v>59</v>
      </c>
      <c r="AB355" s="1">
        <v>46068</v>
      </c>
      <c r="AC355" t="s">
        <v>66</v>
      </c>
      <c r="AD355" t="s">
        <v>40</v>
      </c>
      <c r="AE355" t="s">
        <v>60</v>
      </c>
      <c r="AF355" t="s">
        <v>40</v>
      </c>
      <c r="AG355">
        <v>1</v>
      </c>
      <c r="AH355" t="s">
        <v>100</v>
      </c>
    </row>
    <row r="356" spans="1:34" x14ac:dyDescent="0.3">
      <c r="A356" t="s">
        <v>739</v>
      </c>
      <c r="B356" t="s">
        <v>740</v>
      </c>
      <c r="C356" t="s">
        <v>146</v>
      </c>
      <c r="D356" t="s">
        <v>130</v>
      </c>
      <c r="E356" s="1">
        <v>45878</v>
      </c>
      <c r="F356" s="1">
        <v>45938</v>
      </c>
      <c r="G356" t="s">
        <v>41</v>
      </c>
      <c r="H356">
        <v>5670</v>
      </c>
      <c r="I356" t="s">
        <v>39</v>
      </c>
      <c r="J356" t="b">
        <v>0</v>
      </c>
      <c r="K356">
        <v>60</v>
      </c>
      <c r="L356">
        <v>10</v>
      </c>
      <c r="M356">
        <v>2025</v>
      </c>
      <c r="N356">
        <v>2</v>
      </c>
      <c r="O356">
        <v>8</v>
      </c>
      <c r="P356">
        <v>2025</v>
      </c>
      <c r="Q356">
        <v>5</v>
      </c>
      <c r="R356" t="s">
        <v>40</v>
      </c>
      <c r="S356" t="s">
        <v>45</v>
      </c>
      <c r="T356" t="s">
        <v>68</v>
      </c>
      <c r="U356" t="s">
        <v>66</v>
      </c>
      <c r="V356" t="s">
        <v>147</v>
      </c>
      <c r="W356" t="s">
        <v>148</v>
      </c>
      <c r="X356" t="s">
        <v>45</v>
      </c>
      <c r="Y356">
        <v>160</v>
      </c>
      <c r="Z356" t="s">
        <v>133</v>
      </c>
      <c r="AA356" t="s">
        <v>134</v>
      </c>
      <c r="AB356" s="1">
        <v>45938</v>
      </c>
      <c r="AC356" t="s">
        <v>40</v>
      </c>
      <c r="AD356" t="s">
        <v>40</v>
      </c>
      <c r="AE356" t="s">
        <v>60</v>
      </c>
      <c r="AF356" t="s">
        <v>40</v>
      </c>
      <c r="AG356">
        <v>0</v>
      </c>
      <c r="AH356" t="s">
        <v>61</v>
      </c>
    </row>
    <row r="357" spans="1:34" x14ac:dyDescent="0.3">
      <c r="A357" t="s">
        <v>741</v>
      </c>
      <c r="B357" t="s">
        <v>742</v>
      </c>
      <c r="C357" t="s">
        <v>97</v>
      </c>
      <c r="D357" t="s">
        <v>80</v>
      </c>
      <c r="E357" s="1">
        <v>46270</v>
      </c>
      <c r="F357" s="1">
        <v>46273</v>
      </c>
      <c r="G357" t="s">
        <v>38</v>
      </c>
      <c r="H357">
        <v>5651</v>
      </c>
      <c r="I357" t="s">
        <v>39</v>
      </c>
      <c r="J357" t="b">
        <v>0</v>
      </c>
      <c r="K357">
        <v>3</v>
      </c>
      <c r="L357">
        <v>9</v>
      </c>
      <c r="M357">
        <v>2026</v>
      </c>
      <c r="N357">
        <v>1</v>
      </c>
      <c r="O357">
        <v>9</v>
      </c>
      <c r="P357">
        <v>2026</v>
      </c>
      <c r="Q357">
        <v>5</v>
      </c>
      <c r="R357" t="s">
        <v>40</v>
      </c>
      <c r="S357" t="s">
        <v>55</v>
      </c>
      <c r="T357" t="s">
        <v>42</v>
      </c>
      <c r="U357" t="s">
        <v>40</v>
      </c>
      <c r="V357" t="s">
        <v>98</v>
      </c>
      <c r="W357" t="s">
        <v>99</v>
      </c>
      <c r="X357" t="s">
        <v>76</v>
      </c>
      <c r="Y357">
        <v>80</v>
      </c>
      <c r="Z357" t="s">
        <v>84</v>
      </c>
      <c r="AA357" t="s">
        <v>85</v>
      </c>
      <c r="AB357" s="1">
        <v>46273</v>
      </c>
      <c r="AC357" t="s">
        <v>40</v>
      </c>
      <c r="AD357" t="s">
        <v>40</v>
      </c>
      <c r="AE357" t="s">
        <v>60</v>
      </c>
      <c r="AF357" t="s">
        <v>40</v>
      </c>
      <c r="AG357">
        <v>0</v>
      </c>
      <c r="AH357" t="s">
        <v>100</v>
      </c>
    </row>
    <row r="358" spans="1:34" x14ac:dyDescent="0.3">
      <c r="A358" t="s">
        <v>743</v>
      </c>
      <c r="B358" t="s">
        <v>744</v>
      </c>
      <c r="C358" t="s">
        <v>103</v>
      </c>
      <c r="D358" t="s">
        <v>37</v>
      </c>
      <c r="E358" s="1">
        <v>45937</v>
      </c>
      <c r="F358" s="1">
        <v>45951</v>
      </c>
      <c r="G358" t="s">
        <v>41</v>
      </c>
      <c r="H358">
        <v>5761</v>
      </c>
      <c r="I358" t="s">
        <v>39</v>
      </c>
      <c r="J358" t="b">
        <v>0</v>
      </c>
      <c r="K358">
        <v>14</v>
      </c>
      <c r="L358">
        <v>10</v>
      </c>
      <c r="M358">
        <v>2025</v>
      </c>
      <c r="N358">
        <v>1</v>
      </c>
      <c r="O358">
        <v>10</v>
      </c>
      <c r="P358">
        <v>2025</v>
      </c>
      <c r="Q358">
        <v>1</v>
      </c>
      <c r="R358" t="s">
        <v>40</v>
      </c>
      <c r="S358" t="s">
        <v>41</v>
      </c>
      <c r="T358" t="s">
        <v>42</v>
      </c>
      <c r="U358" t="s">
        <v>40</v>
      </c>
      <c r="V358" t="s">
        <v>105</v>
      </c>
      <c r="W358" t="s">
        <v>106</v>
      </c>
      <c r="X358" t="s">
        <v>45</v>
      </c>
      <c r="Y358">
        <v>140</v>
      </c>
      <c r="Z358" t="s">
        <v>46</v>
      </c>
      <c r="AA358" t="s">
        <v>47</v>
      </c>
      <c r="AB358" s="1">
        <v>45951</v>
      </c>
      <c r="AC358" t="s">
        <v>40</v>
      </c>
      <c r="AD358" t="s">
        <v>40</v>
      </c>
      <c r="AE358" t="s">
        <v>60</v>
      </c>
      <c r="AF358" t="s">
        <v>40</v>
      </c>
      <c r="AG358">
        <v>0</v>
      </c>
      <c r="AH358" t="s">
        <v>70</v>
      </c>
    </row>
    <row r="359" spans="1:34" x14ac:dyDescent="0.3">
      <c r="A359" t="s">
        <v>745</v>
      </c>
      <c r="B359" t="s">
        <v>226</v>
      </c>
      <c r="C359" t="s">
        <v>155</v>
      </c>
      <c r="D359" t="s">
        <v>53</v>
      </c>
      <c r="E359" s="1">
        <v>46163</v>
      </c>
      <c r="F359" s="1">
        <v>46193</v>
      </c>
      <c r="G359" t="s">
        <v>41</v>
      </c>
      <c r="H359">
        <v>6075</v>
      </c>
      <c r="I359" t="s">
        <v>39</v>
      </c>
      <c r="J359" t="b">
        <v>0</v>
      </c>
      <c r="K359">
        <v>30</v>
      </c>
      <c r="L359">
        <v>6</v>
      </c>
      <c r="M359">
        <v>2026</v>
      </c>
      <c r="N359">
        <v>5</v>
      </c>
      <c r="O359">
        <v>5</v>
      </c>
      <c r="P359">
        <v>2026</v>
      </c>
      <c r="Q359">
        <v>3</v>
      </c>
      <c r="R359" t="s">
        <v>66</v>
      </c>
      <c r="S359" t="s">
        <v>45</v>
      </c>
      <c r="T359" t="s">
        <v>113</v>
      </c>
      <c r="U359" t="s">
        <v>66</v>
      </c>
      <c r="V359" t="s">
        <v>156</v>
      </c>
      <c r="W359" t="s">
        <v>157</v>
      </c>
      <c r="X359" t="s">
        <v>158</v>
      </c>
      <c r="Y359">
        <v>70</v>
      </c>
      <c r="Z359" t="s">
        <v>58</v>
      </c>
      <c r="AA359" t="s">
        <v>59</v>
      </c>
      <c r="AB359" s="1">
        <v>46193</v>
      </c>
      <c r="AC359" t="s">
        <v>66</v>
      </c>
      <c r="AD359" t="s">
        <v>40</v>
      </c>
      <c r="AE359" t="s">
        <v>60</v>
      </c>
      <c r="AF359" t="s">
        <v>40</v>
      </c>
      <c r="AG359">
        <v>0</v>
      </c>
      <c r="AH359" t="s">
        <v>70</v>
      </c>
    </row>
    <row r="360" spans="1:34" x14ac:dyDescent="0.3">
      <c r="A360" t="s">
        <v>746</v>
      </c>
      <c r="B360" t="s">
        <v>747</v>
      </c>
      <c r="C360" t="s">
        <v>129</v>
      </c>
      <c r="D360" t="s">
        <v>37</v>
      </c>
      <c r="E360" s="1">
        <v>45952</v>
      </c>
      <c r="F360" s="1">
        <v>45966</v>
      </c>
      <c r="G360" t="s">
        <v>41</v>
      </c>
      <c r="H360">
        <v>7019</v>
      </c>
      <c r="I360" t="s">
        <v>54</v>
      </c>
      <c r="J360" t="b">
        <v>0</v>
      </c>
      <c r="K360">
        <v>14</v>
      </c>
      <c r="L360">
        <v>11</v>
      </c>
      <c r="M360">
        <v>2025</v>
      </c>
      <c r="N360">
        <v>2</v>
      </c>
      <c r="O360">
        <v>10</v>
      </c>
      <c r="P360">
        <v>2025</v>
      </c>
      <c r="Q360">
        <v>2</v>
      </c>
      <c r="R360" t="s">
        <v>40</v>
      </c>
      <c r="S360" t="s">
        <v>55</v>
      </c>
      <c r="T360" t="s">
        <v>42</v>
      </c>
      <c r="U360" t="s">
        <v>40</v>
      </c>
      <c r="V360" t="s">
        <v>131</v>
      </c>
      <c r="W360" t="s">
        <v>132</v>
      </c>
      <c r="X360" t="s">
        <v>45</v>
      </c>
      <c r="Y360">
        <v>110</v>
      </c>
      <c r="Z360" t="s">
        <v>46</v>
      </c>
      <c r="AA360" t="s">
        <v>47</v>
      </c>
      <c r="AB360" s="1">
        <v>45966</v>
      </c>
      <c r="AC360" t="s">
        <v>40</v>
      </c>
      <c r="AD360" t="s">
        <v>40</v>
      </c>
      <c r="AE360" t="s">
        <v>86</v>
      </c>
      <c r="AF360" t="s">
        <v>40</v>
      </c>
      <c r="AG360">
        <v>1</v>
      </c>
      <c r="AH360" t="s">
        <v>70</v>
      </c>
    </row>
    <row r="361" spans="1:34" x14ac:dyDescent="0.3">
      <c r="A361" t="s">
        <v>748</v>
      </c>
      <c r="B361" t="s">
        <v>749</v>
      </c>
      <c r="C361" t="s">
        <v>155</v>
      </c>
      <c r="D361" t="s">
        <v>104</v>
      </c>
      <c r="E361" s="1">
        <v>46237</v>
      </c>
      <c r="F361" s="1">
        <v>46251</v>
      </c>
      <c r="G361" t="s">
        <v>81</v>
      </c>
      <c r="H361">
        <v>9557</v>
      </c>
      <c r="I361" t="s">
        <v>54</v>
      </c>
      <c r="J361" t="b">
        <v>0</v>
      </c>
      <c r="K361">
        <v>14</v>
      </c>
      <c r="L361">
        <v>8</v>
      </c>
      <c r="M361">
        <v>2026</v>
      </c>
      <c r="N361">
        <v>0</v>
      </c>
      <c r="O361">
        <v>8</v>
      </c>
      <c r="P361">
        <v>2026</v>
      </c>
      <c r="Q361">
        <v>0</v>
      </c>
      <c r="R361" t="s">
        <v>40</v>
      </c>
      <c r="S361" t="s">
        <v>45</v>
      </c>
      <c r="T361" t="s">
        <v>42</v>
      </c>
      <c r="U361" t="s">
        <v>40</v>
      </c>
      <c r="V361" t="s">
        <v>156</v>
      </c>
      <c r="W361" t="s">
        <v>157</v>
      </c>
      <c r="X361" t="s">
        <v>158</v>
      </c>
      <c r="Y361">
        <v>70</v>
      </c>
      <c r="Z361" t="s">
        <v>107</v>
      </c>
      <c r="AA361" t="s">
        <v>108</v>
      </c>
      <c r="AB361" s="1">
        <v>46251</v>
      </c>
      <c r="AC361" t="s">
        <v>40</v>
      </c>
      <c r="AD361" t="s">
        <v>40</v>
      </c>
      <c r="AE361" t="s">
        <v>86</v>
      </c>
      <c r="AF361" t="s">
        <v>40</v>
      </c>
      <c r="AG361">
        <v>1</v>
      </c>
      <c r="AH361" t="s">
        <v>70</v>
      </c>
    </row>
    <row r="362" spans="1:34" x14ac:dyDescent="0.3">
      <c r="A362" t="s">
        <v>750</v>
      </c>
      <c r="B362" t="s">
        <v>249</v>
      </c>
      <c r="C362" t="s">
        <v>97</v>
      </c>
      <c r="D362" t="s">
        <v>80</v>
      </c>
      <c r="E362" s="1">
        <v>45717</v>
      </c>
      <c r="F362" s="1">
        <v>45720</v>
      </c>
      <c r="G362" t="s">
        <v>41</v>
      </c>
      <c r="H362">
        <v>6116</v>
      </c>
      <c r="I362" t="s">
        <v>212</v>
      </c>
      <c r="J362" t="b">
        <v>0</v>
      </c>
      <c r="K362">
        <v>3</v>
      </c>
      <c r="L362">
        <v>3</v>
      </c>
      <c r="M362">
        <v>2025</v>
      </c>
      <c r="N362">
        <v>1</v>
      </c>
      <c r="O362">
        <v>3</v>
      </c>
      <c r="P362">
        <v>2025</v>
      </c>
      <c r="Q362">
        <v>5</v>
      </c>
      <c r="R362" t="s">
        <v>40</v>
      </c>
      <c r="S362" t="s">
        <v>41</v>
      </c>
      <c r="T362" t="s">
        <v>42</v>
      </c>
      <c r="U362" t="s">
        <v>40</v>
      </c>
      <c r="V362" t="s">
        <v>98</v>
      </c>
      <c r="W362" t="s">
        <v>99</v>
      </c>
      <c r="X362" t="s">
        <v>76</v>
      </c>
      <c r="Y362">
        <v>80</v>
      </c>
      <c r="Z362" t="s">
        <v>84</v>
      </c>
      <c r="AA362" t="s">
        <v>85</v>
      </c>
      <c r="AB362" s="1">
        <v>45720</v>
      </c>
      <c r="AC362" t="s">
        <v>40</v>
      </c>
      <c r="AD362" t="s">
        <v>40</v>
      </c>
      <c r="AE362" t="s">
        <v>60</v>
      </c>
      <c r="AF362" t="s">
        <v>40</v>
      </c>
      <c r="AG362">
        <v>0</v>
      </c>
      <c r="AH362" t="s">
        <v>100</v>
      </c>
    </row>
    <row r="363" spans="1:34" x14ac:dyDescent="0.3">
      <c r="A363" t="s">
        <v>751</v>
      </c>
      <c r="B363" t="s">
        <v>72</v>
      </c>
      <c r="C363" t="s">
        <v>169</v>
      </c>
      <c r="D363" t="s">
        <v>53</v>
      </c>
      <c r="E363" s="1">
        <v>46200</v>
      </c>
      <c r="F363" s="1">
        <v>46230</v>
      </c>
      <c r="G363" t="s">
        <v>64</v>
      </c>
      <c r="H363">
        <v>2596</v>
      </c>
      <c r="I363" t="s">
        <v>65</v>
      </c>
      <c r="J363" t="b">
        <v>0</v>
      </c>
      <c r="K363">
        <v>30</v>
      </c>
      <c r="L363">
        <v>7</v>
      </c>
      <c r="M363">
        <v>2026</v>
      </c>
      <c r="N363">
        <v>0</v>
      </c>
      <c r="O363">
        <v>6</v>
      </c>
      <c r="P363">
        <v>2026</v>
      </c>
      <c r="Q363">
        <v>5</v>
      </c>
      <c r="R363" t="s">
        <v>40</v>
      </c>
      <c r="S363" t="s">
        <v>41</v>
      </c>
      <c r="T363" t="s">
        <v>42</v>
      </c>
      <c r="U363" t="s">
        <v>40</v>
      </c>
      <c r="V363" t="s">
        <v>170</v>
      </c>
      <c r="W363" t="s">
        <v>171</v>
      </c>
      <c r="X363" t="s">
        <v>126</v>
      </c>
      <c r="Y363">
        <v>90</v>
      </c>
      <c r="Z363" t="s">
        <v>58</v>
      </c>
      <c r="AA363" t="s">
        <v>59</v>
      </c>
      <c r="AB363" s="1">
        <v>46230</v>
      </c>
      <c r="AC363" t="s">
        <v>40</v>
      </c>
      <c r="AD363" t="s">
        <v>40</v>
      </c>
      <c r="AE363" t="s">
        <v>86</v>
      </c>
      <c r="AF363" t="s">
        <v>40</v>
      </c>
      <c r="AG363">
        <v>0</v>
      </c>
      <c r="AH363" t="s">
        <v>70</v>
      </c>
    </row>
    <row r="364" spans="1:34" x14ac:dyDescent="0.3">
      <c r="A364" t="s">
        <v>752</v>
      </c>
      <c r="B364" t="s">
        <v>753</v>
      </c>
      <c r="C364" t="s">
        <v>169</v>
      </c>
      <c r="D364" t="s">
        <v>37</v>
      </c>
      <c r="E364" s="1">
        <v>46029</v>
      </c>
      <c r="F364" s="1">
        <v>46032</v>
      </c>
      <c r="G364" t="s">
        <v>81</v>
      </c>
      <c r="H364">
        <v>10744</v>
      </c>
      <c r="I364" t="s">
        <v>39</v>
      </c>
      <c r="J364" t="b">
        <v>0</v>
      </c>
      <c r="K364">
        <v>3</v>
      </c>
      <c r="L364">
        <v>1</v>
      </c>
      <c r="M364">
        <v>2026</v>
      </c>
      <c r="N364">
        <v>5</v>
      </c>
      <c r="O364">
        <v>1</v>
      </c>
      <c r="P364">
        <v>2026</v>
      </c>
      <c r="Q364">
        <v>2</v>
      </c>
      <c r="R364" t="s">
        <v>66</v>
      </c>
      <c r="S364" t="s">
        <v>41</v>
      </c>
      <c r="T364" t="s">
        <v>42</v>
      </c>
      <c r="U364" t="s">
        <v>40</v>
      </c>
      <c r="V364" t="s">
        <v>170</v>
      </c>
      <c r="W364" t="s">
        <v>171</v>
      </c>
      <c r="X364" t="s">
        <v>126</v>
      </c>
      <c r="Y364">
        <v>90</v>
      </c>
      <c r="Z364" t="s">
        <v>46</v>
      </c>
      <c r="AA364" t="s">
        <v>47</v>
      </c>
      <c r="AB364" s="1">
        <v>46032</v>
      </c>
      <c r="AC364" t="s">
        <v>66</v>
      </c>
      <c r="AD364" t="s">
        <v>40</v>
      </c>
      <c r="AE364" t="s">
        <v>86</v>
      </c>
      <c r="AF364" t="s">
        <v>40</v>
      </c>
      <c r="AG364">
        <v>0</v>
      </c>
      <c r="AH364" t="s">
        <v>100</v>
      </c>
    </row>
    <row r="365" spans="1:34" x14ac:dyDescent="0.3">
      <c r="A365" t="s">
        <v>754</v>
      </c>
      <c r="B365" t="s">
        <v>755</v>
      </c>
      <c r="C365" t="s">
        <v>36</v>
      </c>
      <c r="D365" t="s">
        <v>90</v>
      </c>
      <c r="E365" s="1">
        <v>45816</v>
      </c>
      <c r="F365" s="1">
        <v>45846</v>
      </c>
      <c r="G365" t="s">
        <v>38</v>
      </c>
      <c r="H365">
        <v>5653</v>
      </c>
      <c r="I365" t="s">
        <v>39</v>
      </c>
      <c r="J365" t="b">
        <v>0</v>
      </c>
      <c r="K365">
        <v>30</v>
      </c>
      <c r="L365">
        <v>7</v>
      </c>
      <c r="M365">
        <v>2025</v>
      </c>
      <c r="N365">
        <v>1</v>
      </c>
      <c r="O365">
        <v>6</v>
      </c>
      <c r="P365">
        <v>2025</v>
      </c>
      <c r="Q365">
        <v>6</v>
      </c>
      <c r="R365" t="s">
        <v>40</v>
      </c>
      <c r="S365" t="s">
        <v>45</v>
      </c>
      <c r="T365" t="s">
        <v>42</v>
      </c>
      <c r="U365" t="s">
        <v>40</v>
      </c>
      <c r="V365" t="s">
        <v>43</v>
      </c>
      <c r="W365" t="s">
        <v>44</v>
      </c>
      <c r="X365" t="s">
        <v>45</v>
      </c>
      <c r="Y365">
        <v>150</v>
      </c>
      <c r="Z365" t="s">
        <v>93</v>
      </c>
      <c r="AA365" t="s">
        <v>94</v>
      </c>
      <c r="AB365" s="1">
        <v>45846</v>
      </c>
      <c r="AC365" t="s">
        <v>40</v>
      </c>
      <c r="AD365" t="s">
        <v>40</v>
      </c>
      <c r="AE365" t="s">
        <v>86</v>
      </c>
      <c r="AF365" t="s">
        <v>40</v>
      </c>
      <c r="AG365">
        <v>0</v>
      </c>
      <c r="AH365" t="s">
        <v>70</v>
      </c>
    </row>
    <row r="366" spans="1:34" x14ac:dyDescent="0.3">
      <c r="A366" t="s">
        <v>756</v>
      </c>
      <c r="B366" t="s">
        <v>550</v>
      </c>
      <c r="C366" t="s">
        <v>36</v>
      </c>
      <c r="D366" t="s">
        <v>130</v>
      </c>
      <c r="E366" s="1">
        <v>45792</v>
      </c>
      <c r="F366" s="1">
        <v>45942</v>
      </c>
      <c r="G366" t="s">
        <v>41</v>
      </c>
      <c r="H366">
        <v>8346</v>
      </c>
      <c r="I366" t="s">
        <v>39</v>
      </c>
      <c r="J366" t="b">
        <v>0</v>
      </c>
      <c r="K366">
        <v>150</v>
      </c>
      <c r="L366">
        <v>10</v>
      </c>
      <c r="M366">
        <v>2025</v>
      </c>
      <c r="N366">
        <v>6</v>
      </c>
      <c r="O366">
        <v>5</v>
      </c>
      <c r="P366">
        <v>2025</v>
      </c>
      <c r="Q366">
        <v>3</v>
      </c>
      <c r="R366" t="s">
        <v>66</v>
      </c>
      <c r="S366" t="s">
        <v>45</v>
      </c>
      <c r="T366" t="s">
        <v>42</v>
      </c>
      <c r="U366" t="s">
        <v>40</v>
      </c>
      <c r="V366" t="s">
        <v>43</v>
      </c>
      <c r="W366" t="s">
        <v>44</v>
      </c>
      <c r="X366" t="s">
        <v>45</v>
      </c>
      <c r="Y366">
        <v>150</v>
      </c>
      <c r="Z366" t="s">
        <v>133</v>
      </c>
      <c r="AA366" t="s">
        <v>134</v>
      </c>
      <c r="AB366" s="1">
        <v>45942</v>
      </c>
      <c r="AC366" t="s">
        <v>66</v>
      </c>
      <c r="AD366" t="s">
        <v>40</v>
      </c>
      <c r="AE366" t="s">
        <v>60</v>
      </c>
      <c r="AF366" t="s">
        <v>40</v>
      </c>
      <c r="AG366">
        <v>0</v>
      </c>
      <c r="AH366" t="s">
        <v>49</v>
      </c>
    </row>
    <row r="367" spans="1:34" x14ac:dyDescent="0.3">
      <c r="A367" t="s">
        <v>757</v>
      </c>
      <c r="B367" t="s">
        <v>758</v>
      </c>
      <c r="C367" t="s">
        <v>97</v>
      </c>
      <c r="D367" t="s">
        <v>37</v>
      </c>
      <c r="E367" s="1">
        <v>45969</v>
      </c>
      <c r="F367" s="1">
        <v>45970</v>
      </c>
      <c r="G367" t="s">
        <v>64</v>
      </c>
      <c r="H367">
        <v>2463</v>
      </c>
      <c r="I367" t="s">
        <v>39</v>
      </c>
      <c r="J367" t="b">
        <v>0</v>
      </c>
      <c r="K367">
        <v>1</v>
      </c>
      <c r="L367">
        <v>11</v>
      </c>
      <c r="M367">
        <v>2025</v>
      </c>
      <c r="N367">
        <v>6</v>
      </c>
      <c r="O367">
        <v>11</v>
      </c>
      <c r="P367">
        <v>2025</v>
      </c>
      <c r="Q367">
        <v>5</v>
      </c>
      <c r="R367" t="s">
        <v>66</v>
      </c>
      <c r="S367" t="s">
        <v>41</v>
      </c>
      <c r="T367" t="s">
        <v>286</v>
      </c>
      <c r="U367" t="s">
        <v>40</v>
      </c>
      <c r="V367" t="s">
        <v>98</v>
      </c>
      <c r="W367" t="s">
        <v>99</v>
      </c>
      <c r="X367" t="s">
        <v>76</v>
      </c>
      <c r="Y367">
        <v>80</v>
      </c>
      <c r="Z367" t="s">
        <v>46</v>
      </c>
      <c r="AA367" t="s">
        <v>47</v>
      </c>
      <c r="AB367" s="1">
        <v>45970</v>
      </c>
      <c r="AC367" t="s">
        <v>66</v>
      </c>
      <c r="AD367" t="s">
        <v>40</v>
      </c>
      <c r="AE367" t="s">
        <v>86</v>
      </c>
      <c r="AF367" t="s">
        <v>40</v>
      </c>
      <c r="AG367">
        <v>0</v>
      </c>
      <c r="AH367" t="s">
        <v>100</v>
      </c>
    </row>
    <row r="368" spans="1:34" x14ac:dyDescent="0.3">
      <c r="A368" t="s">
        <v>759</v>
      </c>
      <c r="B368" t="s">
        <v>760</v>
      </c>
      <c r="C368" t="s">
        <v>36</v>
      </c>
      <c r="D368" t="s">
        <v>130</v>
      </c>
      <c r="E368" s="1">
        <v>46153</v>
      </c>
      <c r="F368" s="1">
        <v>46213</v>
      </c>
      <c r="G368" t="s">
        <v>64</v>
      </c>
      <c r="H368">
        <v>2420</v>
      </c>
      <c r="I368" t="s">
        <v>65</v>
      </c>
      <c r="J368" t="b">
        <v>0</v>
      </c>
      <c r="K368">
        <v>60</v>
      </c>
      <c r="L368">
        <v>7</v>
      </c>
      <c r="M368">
        <v>2026</v>
      </c>
      <c r="N368">
        <v>4</v>
      </c>
      <c r="O368">
        <v>5</v>
      </c>
      <c r="P368">
        <v>2026</v>
      </c>
      <c r="Q368">
        <v>0</v>
      </c>
      <c r="R368" t="s">
        <v>40</v>
      </c>
      <c r="S368" t="s">
        <v>55</v>
      </c>
      <c r="T368" t="s">
        <v>42</v>
      </c>
      <c r="U368" t="s">
        <v>40</v>
      </c>
      <c r="V368" t="s">
        <v>43</v>
      </c>
      <c r="W368" t="s">
        <v>44</v>
      </c>
      <c r="X368" t="s">
        <v>45</v>
      </c>
      <c r="Y368">
        <v>150</v>
      </c>
      <c r="Z368" t="s">
        <v>133</v>
      </c>
      <c r="AA368" t="s">
        <v>134</v>
      </c>
      <c r="AB368" s="1">
        <v>46213</v>
      </c>
      <c r="AC368" t="s">
        <v>40</v>
      </c>
      <c r="AD368" t="s">
        <v>40</v>
      </c>
      <c r="AE368" t="s">
        <v>86</v>
      </c>
      <c r="AF368" t="s">
        <v>40</v>
      </c>
      <c r="AG368">
        <v>0</v>
      </c>
      <c r="AH368" t="s">
        <v>61</v>
      </c>
    </row>
    <row r="369" spans="1:34" x14ac:dyDescent="0.3">
      <c r="A369" t="s">
        <v>761</v>
      </c>
      <c r="B369" t="s">
        <v>762</v>
      </c>
      <c r="C369" t="s">
        <v>36</v>
      </c>
      <c r="D369" t="s">
        <v>53</v>
      </c>
      <c r="E369" s="1">
        <v>46341</v>
      </c>
      <c r="F369" s="1">
        <v>46342</v>
      </c>
      <c r="G369" t="s">
        <v>64</v>
      </c>
      <c r="H369">
        <v>4084</v>
      </c>
      <c r="I369" t="s">
        <v>54</v>
      </c>
      <c r="J369" t="b">
        <v>0</v>
      </c>
      <c r="K369">
        <v>1</v>
      </c>
      <c r="L369">
        <v>11</v>
      </c>
      <c r="M369">
        <v>2026</v>
      </c>
      <c r="N369">
        <v>0</v>
      </c>
      <c r="O369">
        <v>11</v>
      </c>
      <c r="P369">
        <v>2026</v>
      </c>
      <c r="Q369">
        <v>6</v>
      </c>
      <c r="R369" t="s">
        <v>40</v>
      </c>
      <c r="S369" t="s">
        <v>67</v>
      </c>
      <c r="T369" t="s">
        <v>68</v>
      </c>
      <c r="U369" t="s">
        <v>66</v>
      </c>
      <c r="V369" t="s">
        <v>43</v>
      </c>
      <c r="W369" t="s">
        <v>44</v>
      </c>
      <c r="X369" t="s">
        <v>45</v>
      </c>
      <c r="Y369">
        <v>150</v>
      </c>
      <c r="Z369" t="s">
        <v>58</v>
      </c>
      <c r="AA369" t="s">
        <v>59</v>
      </c>
      <c r="AB369" s="1">
        <v>46342</v>
      </c>
      <c r="AC369" t="s">
        <v>40</v>
      </c>
      <c r="AD369" t="s">
        <v>40</v>
      </c>
      <c r="AE369" t="s">
        <v>86</v>
      </c>
      <c r="AF369" t="s">
        <v>40</v>
      </c>
      <c r="AG369">
        <v>1</v>
      </c>
      <c r="AH369" t="s">
        <v>100</v>
      </c>
    </row>
    <row r="370" spans="1:34" x14ac:dyDescent="0.3">
      <c r="A370" t="s">
        <v>763</v>
      </c>
      <c r="B370" t="s">
        <v>764</v>
      </c>
      <c r="C370" t="s">
        <v>52</v>
      </c>
      <c r="D370" t="s">
        <v>130</v>
      </c>
      <c r="E370" s="1">
        <v>45807</v>
      </c>
      <c r="F370" s="1">
        <v>45907</v>
      </c>
      <c r="G370" t="s">
        <v>81</v>
      </c>
      <c r="H370">
        <v>7815</v>
      </c>
      <c r="I370" t="s">
        <v>39</v>
      </c>
      <c r="J370" t="b">
        <v>0</v>
      </c>
      <c r="K370">
        <v>100</v>
      </c>
      <c r="L370">
        <v>9</v>
      </c>
      <c r="M370">
        <v>2025</v>
      </c>
      <c r="N370">
        <v>6</v>
      </c>
      <c r="O370">
        <v>5</v>
      </c>
      <c r="P370">
        <v>2025</v>
      </c>
      <c r="Q370">
        <v>4</v>
      </c>
      <c r="R370" t="s">
        <v>66</v>
      </c>
      <c r="S370" t="s">
        <v>41</v>
      </c>
      <c r="T370" t="s">
        <v>113</v>
      </c>
      <c r="U370" t="s">
        <v>66</v>
      </c>
      <c r="V370" t="s">
        <v>56</v>
      </c>
      <c r="W370" t="s">
        <v>57</v>
      </c>
      <c r="X370" t="s">
        <v>45</v>
      </c>
      <c r="Y370">
        <v>120</v>
      </c>
      <c r="Z370" t="s">
        <v>133</v>
      </c>
      <c r="AA370" t="s">
        <v>134</v>
      </c>
      <c r="AB370" s="1">
        <v>45907</v>
      </c>
      <c r="AC370" t="s">
        <v>66</v>
      </c>
      <c r="AD370" t="s">
        <v>40</v>
      </c>
      <c r="AE370" t="s">
        <v>60</v>
      </c>
      <c r="AF370" t="s">
        <v>40</v>
      </c>
      <c r="AG370">
        <v>0</v>
      </c>
      <c r="AH370" t="s">
        <v>49</v>
      </c>
    </row>
    <row r="371" spans="1:34" x14ac:dyDescent="0.3">
      <c r="A371" t="s">
        <v>765</v>
      </c>
      <c r="B371" t="s">
        <v>542</v>
      </c>
      <c r="C371" t="s">
        <v>36</v>
      </c>
      <c r="D371" t="s">
        <v>130</v>
      </c>
      <c r="E371" s="1">
        <v>46250</v>
      </c>
      <c r="F371" s="1">
        <v>46310</v>
      </c>
      <c r="G371" t="s">
        <v>38</v>
      </c>
      <c r="H371">
        <v>4654</v>
      </c>
      <c r="I371" t="s">
        <v>54</v>
      </c>
      <c r="J371" t="b">
        <v>0</v>
      </c>
      <c r="K371">
        <v>60</v>
      </c>
      <c r="L371">
        <v>10</v>
      </c>
      <c r="M371">
        <v>2026</v>
      </c>
      <c r="N371">
        <v>3</v>
      </c>
      <c r="O371">
        <v>8</v>
      </c>
      <c r="P371">
        <v>2026</v>
      </c>
      <c r="Q371">
        <v>6</v>
      </c>
      <c r="R371" t="s">
        <v>40</v>
      </c>
      <c r="S371" t="s">
        <v>55</v>
      </c>
      <c r="T371" t="s">
        <v>42</v>
      </c>
      <c r="U371" t="s">
        <v>40</v>
      </c>
      <c r="V371" t="s">
        <v>43</v>
      </c>
      <c r="W371" t="s">
        <v>44</v>
      </c>
      <c r="X371" t="s">
        <v>45</v>
      </c>
      <c r="Y371">
        <v>150</v>
      </c>
      <c r="Z371" t="s">
        <v>133</v>
      </c>
      <c r="AA371" t="s">
        <v>134</v>
      </c>
      <c r="AB371" s="1">
        <v>46310</v>
      </c>
      <c r="AC371" t="s">
        <v>40</v>
      </c>
      <c r="AD371" t="s">
        <v>40</v>
      </c>
      <c r="AE371" t="s">
        <v>60</v>
      </c>
      <c r="AF371" t="s">
        <v>40</v>
      </c>
      <c r="AG371">
        <v>1</v>
      </c>
      <c r="AH371" t="s">
        <v>61</v>
      </c>
    </row>
    <row r="372" spans="1:34" x14ac:dyDescent="0.3">
      <c r="A372" t="s">
        <v>766</v>
      </c>
      <c r="B372" t="s">
        <v>224</v>
      </c>
      <c r="C372" t="s">
        <v>73</v>
      </c>
      <c r="D372" t="s">
        <v>80</v>
      </c>
      <c r="E372" s="1">
        <v>46144</v>
      </c>
      <c r="F372" s="1">
        <v>46158</v>
      </c>
      <c r="G372" t="s">
        <v>38</v>
      </c>
      <c r="H372">
        <v>3939</v>
      </c>
      <c r="I372" t="s">
        <v>39</v>
      </c>
      <c r="J372" t="b">
        <v>0</v>
      </c>
      <c r="K372">
        <v>14</v>
      </c>
      <c r="L372">
        <v>5</v>
      </c>
      <c r="M372">
        <v>2026</v>
      </c>
      <c r="N372">
        <v>5</v>
      </c>
      <c r="O372">
        <v>5</v>
      </c>
      <c r="P372">
        <v>2026</v>
      </c>
      <c r="Q372">
        <v>5</v>
      </c>
      <c r="R372" t="s">
        <v>66</v>
      </c>
      <c r="S372" t="s">
        <v>45</v>
      </c>
      <c r="T372" t="s">
        <v>42</v>
      </c>
      <c r="U372" t="s">
        <v>66</v>
      </c>
      <c r="V372" t="s">
        <v>74</v>
      </c>
      <c r="W372" t="s">
        <v>75</v>
      </c>
      <c r="X372" t="s">
        <v>76</v>
      </c>
      <c r="Y372">
        <v>75</v>
      </c>
      <c r="Z372" t="s">
        <v>84</v>
      </c>
      <c r="AA372" t="s">
        <v>85</v>
      </c>
      <c r="AB372" s="1">
        <v>46158</v>
      </c>
      <c r="AC372" t="s">
        <v>66</v>
      </c>
      <c r="AD372" t="s">
        <v>40</v>
      </c>
      <c r="AE372" t="s">
        <v>69</v>
      </c>
      <c r="AF372" t="s">
        <v>40</v>
      </c>
      <c r="AG372">
        <v>0</v>
      </c>
      <c r="AH372" t="s">
        <v>70</v>
      </c>
    </row>
    <row r="373" spans="1:34" x14ac:dyDescent="0.3">
      <c r="A373" t="s">
        <v>767</v>
      </c>
      <c r="B373" t="s">
        <v>427</v>
      </c>
      <c r="C373" t="s">
        <v>103</v>
      </c>
      <c r="D373" t="s">
        <v>130</v>
      </c>
      <c r="E373" s="1">
        <v>45979</v>
      </c>
      <c r="F373" s="1">
        <v>45982</v>
      </c>
      <c r="G373" t="s">
        <v>64</v>
      </c>
      <c r="H373">
        <v>2478</v>
      </c>
      <c r="I373" t="s">
        <v>39</v>
      </c>
      <c r="J373" t="b">
        <v>0</v>
      </c>
      <c r="K373">
        <v>3</v>
      </c>
      <c r="L373">
        <v>11</v>
      </c>
      <c r="M373">
        <v>2025</v>
      </c>
      <c r="N373">
        <v>4</v>
      </c>
      <c r="O373">
        <v>11</v>
      </c>
      <c r="P373">
        <v>2025</v>
      </c>
      <c r="Q373">
        <v>1</v>
      </c>
      <c r="R373" t="s">
        <v>40</v>
      </c>
      <c r="S373" t="s">
        <v>45</v>
      </c>
      <c r="T373" t="s">
        <v>42</v>
      </c>
      <c r="U373" t="s">
        <v>40</v>
      </c>
      <c r="V373" t="s">
        <v>105</v>
      </c>
      <c r="W373" t="s">
        <v>106</v>
      </c>
      <c r="X373" t="s">
        <v>45</v>
      </c>
      <c r="Y373">
        <v>140</v>
      </c>
      <c r="Z373" t="s">
        <v>133</v>
      </c>
      <c r="AA373" t="s">
        <v>134</v>
      </c>
      <c r="AB373" s="1">
        <v>45982</v>
      </c>
      <c r="AC373" t="s">
        <v>40</v>
      </c>
      <c r="AD373" t="s">
        <v>40</v>
      </c>
      <c r="AE373" t="s">
        <v>86</v>
      </c>
      <c r="AF373" t="s">
        <v>40</v>
      </c>
      <c r="AG373">
        <v>0</v>
      </c>
      <c r="AH373" t="s">
        <v>100</v>
      </c>
    </row>
    <row r="374" spans="1:34" x14ac:dyDescent="0.3">
      <c r="A374" t="s">
        <v>768</v>
      </c>
      <c r="B374" t="s">
        <v>769</v>
      </c>
      <c r="C374" t="s">
        <v>36</v>
      </c>
      <c r="D374" t="s">
        <v>104</v>
      </c>
      <c r="E374" s="1">
        <v>45948</v>
      </c>
      <c r="F374" s="1">
        <v>45962</v>
      </c>
      <c r="G374" t="s">
        <v>81</v>
      </c>
      <c r="H374">
        <v>9836</v>
      </c>
      <c r="I374" t="s">
        <v>65</v>
      </c>
      <c r="J374" t="b">
        <v>0</v>
      </c>
      <c r="K374">
        <v>14</v>
      </c>
      <c r="L374">
        <v>11</v>
      </c>
      <c r="M374">
        <v>2025</v>
      </c>
      <c r="N374">
        <v>5</v>
      </c>
      <c r="O374">
        <v>10</v>
      </c>
      <c r="P374">
        <v>2025</v>
      </c>
      <c r="Q374">
        <v>5</v>
      </c>
      <c r="R374" t="s">
        <v>66</v>
      </c>
      <c r="S374" t="s">
        <v>41</v>
      </c>
      <c r="T374" t="s">
        <v>42</v>
      </c>
      <c r="U374" t="s">
        <v>40</v>
      </c>
      <c r="V374" t="s">
        <v>43</v>
      </c>
      <c r="W374" t="s">
        <v>44</v>
      </c>
      <c r="X374" t="s">
        <v>45</v>
      </c>
      <c r="Y374">
        <v>150</v>
      </c>
      <c r="Z374" t="s">
        <v>107</v>
      </c>
      <c r="AA374" t="s">
        <v>108</v>
      </c>
      <c r="AB374" s="1">
        <v>45962</v>
      </c>
      <c r="AC374" t="s">
        <v>66</v>
      </c>
      <c r="AD374" t="s">
        <v>40</v>
      </c>
      <c r="AE374" t="s">
        <v>86</v>
      </c>
      <c r="AF374" t="s">
        <v>40</v>
      </c>
      <c r="AG374">
        <v>0</v>
      </c>
      <c r="AH374" t="s">
        <v>70</v>
      </c>
    </row>
    <row r="375" spans="1:34" x14ac:dyDescent="0.3">
      <c r="A375" t="s">
        <v>770</v>
      </c>
      <c r="B375" t="s">
        <v>460</v>
      </c>
      <c r="C375" t="s">
        <v>129</v>
      </c>
      <c r="D375" t="s">
        <v>53</v>
      </c>
      <c r="E375" s="1">
        <v>45841</v>
      </c>
      <c r="F375" s="1">
        <v>45842</v>
      </c>
      <c r="G375" t="s">
        <v>41</v>
      </c>
      <c r="H375">
        <v>7697</v>
      </c>
      <c r="I375" t="s">
        <v>54</v>
      </c>
      <c r="J375" t="b">
        <v>0</v>
      </c>
      <c r="K375">
        <v>1</v>
      </c>
      <c r="L375">
        <v>7</v>
      </c>
      <c r="M375">
        <v>2025</v>
      </c>
      <c r="N375">
        <v>4</v>
      </c>
      <c r="O375">
        <v>7</v>
      </c>
      <c r="P375">
        <v>2025</v>
      </c>
      <c r="Q375">
        <v>3</v>
      </c>
      <c r="R375" t="s">
        <v>40</v>
      </c>
      <c r="S375" t="s">
        <v>41</v>
      </c>
      <c r="T375" t="s">
        <v>286</v>
      </c>
      <c r="U375" t="s">
        <v>40</v>
      </c>
      <c r="V375" t="s">
        <v>131</v>
      </c>
      <c r="W375" t="s">
        <v>132</v>
      </c>
      <c r="X375" t="s">
        <v>45</v>
      </c>
      <c r="Y375">
        <v>110</v>
      </c>
      <c r="Z375" t="s">
        <v>58</v>
      </c>
      <c r="AA375" t="s">
        <v>59</v>
      </c>
      <c r="AB375" s="1">
        <v>45842</v>
      </c>
      <c r="AC375" t="s">
        <v>40</v>
      </c>
      <c r="AD375" t="s">
        <v>40</v>
      </c>
      <c r="AE375" t="s">
        <v>86</v>
      </c>
      <c r="AF375" t="s">
        <v>40</v>
      </c>
      <c r="AG375">
        <v>1</v>
      </c>
      <c r="AH375" t="s">
        <v>100</v>
      </c>
    </row>
    <row r="376" spans="1:34" x14ac:dyDescent="0.3">
      <c r="A376" t="s">
        <v>771</v>
      </c>
      <c r="B376" t="s">
        <v>320</v>
      </c>
      <c r="C376" t="s">
        <v>103</v>
      </c>
      <c r="D376" t="s">
        <v>37</v>
      </c>
      <c r="E376" s="1">
        <v>46262</v>
      </c>
      <c r="F376" s="1">
        <v>46482</v>
      </c>
      <c r="G376" t="s">
        <v>38</v>
      </c>
      <c r="H376">
        <v>4315</v>
      </c>
      <c r="I376" t="s">
        <v>39</v>
      </c>
      <c r="J376" t="b">
        <v>0</v>
      </c>
      <c r="K376">
        <v>220</v>
      </c>
      <c r="L376">
        <v>4</v>
      </c>
      <c r="M376">
        <v>2027</v>
      </c>
      <c r="N376">
        <v>0</v>
      </c>
      <c r="O376">
        <v>8</v>
      </c>
      <c r="P376">
        <v>2026</v>
      </c>
      <c r="Q376">
        <v>4</v>
      </c>
      <c r="R376" t="s">
        <v>40</v>
      </c>
      <c r="S376" t="s">
        <v>67</v>
      </c>
      <c r="T376" t="s">
        <v>42</v>
      </c>
      <c r="U376" t="s">
        <v>40</v>
      </c>
      <c r="V376" t="s">
        <v>105</v>
      </c>
      <c r="W376" t="s">
        <v>106</v>
      </c>
      <c r="X376" t="s">
        <v>45</v>
      </c>
      <c r="Y376">
        <v>140</v>
      </c>
      <c r="Z376" t="s">
        <v>46</v>
      </c>
      <c r="AA376" t="s">
        <v>47</v>
      </c>
      <c r="AB376" s="1"/>
      <c r="AC376" t="s">
        <v>48</v>
      </c>
      <c r="AD376" t="s">
        <v>48</v>
      </c>
      <c r="AE376" t="s">
        <v>48</v>
      </c>
      <c r="AF376" t="s">
        <v>48</v>
      </c>
      <c r="AG376">
        <v>0</v>
      </c>
      <c r="AH376" t="s">
        <v>142</v>
      </c>
    </row>
    <row r="377" spans="1:34" x14ac:dyDescent="0.3">
      <c r="A377" t="s">
        <v>772</v>
      </c>
      <c r="B377" t="s">
        <v>773</v>
      </c>
      <c r="C377" t="s">
        <v>89</v>
      </c>
      <c r="D377" t="s">
        <v>104</v>
      </c>
      <c r="E377" s="1">
        <v>45943</v>
      </c>
      <c r="F377" s="1">
        <v>46003</v>
      </c>
      <c r="G377" t="s">
        <v>81</v>
      </c>
      <c r="H377">
        <v>11961</v>
      </c>
      <c r="I377" t="s">
        <v>39</v>
      </c>
      <c r="J377" t="b">
        <v>0</v>
      </c>
      <c r="K377">
        <v>60</v>
      </c>
      <c r="L377">
        <v>12</v>
      </c>
      <c r="M377">
        <v>2025</v>
      </c>
      <c r="N377">
        <v>4</v>
      </c>
      <c r="O377">
        <v>10</v>
      </c>
      <c r="P377">
        <v>2025</v>
      </c>
      <c r="Q377">
        <v>0</v>
      </c>
      <c r="R377" t="s">
        <v>40</v>
      </c>
      <c r="S377" t="s">
        <v>41</v>
      </c>
      <c r="T377" t="s">
        <v>113</v>
      </c>
      <c r="U377" t="s">
        <v>40</v>
      </c>
      <c r="V377" t="s">
        <v>91</v>
      </c>
      <c r="W377" t="s">
        <v>92</v>
      </c>
      <c r="X377" t="s">
        <v>76</v>
      </c>
      <c r="Y377">
        <v>65</v>
      </c>
      <c r="Z377" t="s">
        <v>107</v>
      </c>
      <c r="AA377" t="s">
        <v>108</v>
      </c>
      <c r="AB377" s="1">
        <v>46003</v>
      </c>
      <c r="AC377" t="s">
        <v>40</v>
      </c>
      <c r="AD377" t="s">
        <v>40</v>
      </c>
      <c r="AE377" t="s">
        <v>69</v>
      </c>
      <c r="AF377" t="s">
        <v>40</v>
      </c>
      <c r="AG377">
        <v>0</v>
      </c>
      <c r="AH377" t="s">
        <v>61</v>
      </c>
    </row>
    <row r="378" spans="1:34" x14ac:dyDescent="0.3">
      <c r="A378" t="s">
        <v>774</v>
      </c>
      <c r="B378" t="s">
        <v>775</v>
      </c>
      <c r="C378" t="s">
        <v>122</v>
      </c>
      <c r="D378" t="s">
        <v>130</v>
      </c>
      <c r="E378" s="1">
        <v>45783</v>
      </c>
      <c r="F378" s="1">
        <v>45790</v>
      </c>
      <c r="G378" t="s">
        <v>41</v>
      </c>
      <c r="H378">
        <v>5407</v>
      </c>
      <c r="I378" t="s">
        <v>39</v>
      </c>
      <c r="J378" t="b">
        <v>0</v>
      </c>
      <c r="K378">
        <v>7</v>
      </c>
      <c r="L378">
        <v>5</v>
      </c>
      <c r="M378">
        <v>2025</v>
      </c>
      <c r="N378">
        <v>1</v>
      </c>
      <c r="O378">
        <v>5</v>
      </c>
      <c r="P378">
        <v>2025</v>
      </c>
      <c r="Q378">
        <v>1</v>
      </c>
      <c r="R378" t="s">
        <v>40</v>
      </c>
      <c r="S378" t="s">
        <v>67</v>
      </c>
      <c r="T378" t="s">
        <v>113</v>
      </c>
      <c r="U378" t="s">
        <v>40</v>
      </c>
      <c r="V378" t="s">
        <v>124</v>
      </c>
      <c r="W378" t="s">
        <v>125</v>
      </c>
      <c r="X378" t="s">
        <v>126</v>
      </c>
      <c r="Y378">
        <v>85</v>
      </c>
      <c r="Z378" t="s">
        <v>133</v>
      </c>
      <c r="AA378" t="s">
        <v>134</v>
      </c>
      <c r="AB378" s="1">
        <v>45790</v>
      </c>
      <c r="AC378" t="s">
        <v>40</v>
      </c>
      <c r="AD378" t="s">
        <v>40</v>
      </c>
      <c r="AE378" t="s">
        <v>69</v>
      </c>
      <c r="AF378" t="s">
        <v>40</v>
      </c>
      <c r="AG378">
        <v>0</v>
      </c>
      <c r="AH378" t="s">
        <v>100</v>
      </c>
    </row>
    <row r="379" spans="1:34" x14ac:dyDescent="0.3">
      <c r="A379" t="s">
        <v>776</v>
      </c>
      <c r="B379" t="s">
        <v>610</v>
      </c>
      <c r="C379" t="s">
        <v>169</v>
      </c>
      <c r="D379" t="s">
        <v>37</v>
      </c>
      <c r="E379" s="1">
        <v>46167</v>
      </c>
      <c r="F379" s="1">
        <v>46197</v>
      </c>
      <c r="G379" t="s">
        <v>81</v>
      </c>
      <c r="H379">
        <v>10977</v>
      </c>
      <c r="I379" t="s">
        <v>54</v>
      </c>
      <c r="J379" t="b">
        <v>0</v>
      </c>
      <c r="K379">
        <v>30</v>
      </c>
      <c r="L379">
        <v>6</v>
      </c>
      <c r="M379">
        <v>2026</v>
      </c>
      <c r="N379">
        <v>2</v>
      </c>
      <c r="O379">
        <v>5</v>
      </c>
      <c r="P379">
        <v>2026</v>
      </c>
      <c r="Q379">
        <v>0</v>
      </c>
      <c r="R379" t="s">
        <v>40</v>
      </c>
      <c r="S379" t="s">
        <v>41</v>
      </c>
      <c r="T379" t="s">
        <v>42</v>
      </c>
      <c r="U379" t="s">
        <v>66</v>
      </c>
      <c r="V379" t="s">
        <v>170</v>
      </c>
      <c r="W379" t="s">
        <v>171</v>
      </c>
      <c r="X379" t="s">
        <v>126</v>
      </c>
      <c r="Y379">
        <v>90</v>
      </c>
      <c r="Z379" t="s">
        <v>46</v>
      </c>
      <c r="AA379" t="s">
        <v>47</v>
      </c>
      <c r="AB379" s="1">
        <v>46197</v>
      </c>
      <c r="AC379" t="s">
        <v>40</v>
      </c>
      <c r="AD379" t="s">
        <v>40</v>
      </c>
      <c r="AE379" t="s">
        <v>60</v>
      </c>
      <c r="AF379" t="s">
        <v>40</v>
      </c>
      <c r="AG379">
        <v>1</v>
      </c>
      <c r="AH379" t="s">
        <v>70</v>
      </c>
    </row>
    <row r="380" spans="1:34" x14ac:dyDescent="0.3">
      <c r="A380" t="s">
        <v>777</v>
      </c>
      <c r="B380" t="s">
        <v>138</v>
      </c>
      <c r="C380" t="s">
        <v>36</v>
      </c>
      <c r="D380" t="s">
        <v>104</v>
      </c>
      <c r="E380" s="1">
        <v>46118</v>
      </c>
      <c r="F380" s="1">
        <v>46125</v>
      </c>
      <c r="G380" t="s">
        <v>41</v>
      </c>
      <c r="H380">
        <v>5724</v>
      </c>
      <c r="I380" t="s">
        <v>39</v>
      </c>
      <c r="J380" t="b">
        <v>0</v>
      </c>
      <c r="K380">
        <v>7</v>
      </c>
      <c r="L380">
        <v>4</v>
      </c>
      <c r="M380">
        <v>2026</v>
      </c>
      <c r="N380">
        <v>0</v>
      </c>
      <c r="O380">
        <v>4</v>
      </c>
      <c r="P380">
        <v>2026</v>
      </c>
      <c r="Q380">
        <v>0</v>
      </c>
      <c r="R380" t="s">
        <v>40</v>
      </c>
      <c r="S380" t="s">
        <v>41</v>
      </c>
      <c r="T380" t="s">
        <v>139</v>
      </c>
      <c r="U380" t="s">
        <v>66</v>
      </c>
      <c r="V380" t="s">
        <v>43</v>
      </c>
      <c r="W380" t="s">
        <v>44</v>
      </c>
      <c r="X380" t="s">
        <v>45</v>
      </c>
      <c r="Y380">
        <v>150</v>
      </c>
      <c r="Z380" t="s">
        <v>107</v>
      </c>
      <c r="AA380" t="s">
        <v>108</v>
      </c>
      <c r="AB380" s="1">
        <v>46125</v>
      </c>
      <c r="AC380" t="s">
        <v>40</v>
      </c>
      <c r="AD380" t="s">
        <v>40</v>
      </c>
      <c r="AE380" t="s">
        <v>69</v>
      </c>
      <c r="AF380" t="s">
        <v>40</v>
      </c>
      <c r="AG380">
        <v>0</v>
      </c>
      <c r="AH380" t="s">
        <v>100</v>
      </c>
    </row>
    <row r="381" spans="1:34" x14ac:dyDescent="0.3">
      <c r="A381" t="s">
        <v>778</v>
      </c>
      <c r="B381" t="s">
        <v>193</v>
      </c>
      <c r="C381" t="s">
        <v>122</v>
      </c>
      <c r="D381" t="s">
        <v>104</v>
      </c>
      <c r="E381" s="1">
        <v>45795</v>
      </c>
      <c r="F381" s="1">
        <v>45802</v>
      </c>
      <c r="G381" t="s">
        <v>41</v>
      </c>
      <c r="H381">
        <v>7764</v>
      </c>
      <c r="I381" t="s">
        <v>39</v>
      </c>
      <c r="J381" t="b">
        <v>0</v>
      </c>
      <c r="K381">
        <v>7</v>
      </c>
      <c r="L381">
        <v>5</v>
      </c>
      <c r="M381">
        <v>2025</v>
      </c>
      <c r="N381">
        <v>6</v>
      </c>
      <c r="O381">
        <v>5</v>
      </c>
      <c r="P381">
        <v>2025</v>
      </c>
      <c r="Q381">
        <v>6</v>
      </c>
      <c r="R381" t="s">
        <v>66</v>
      </c>
      <c r="S381" t="s">
        <v>55</v>
      </c>
      <c r="T381" t="s">
        <v>42</v>
      </c>
      <c r="U381" t="s">
        <v>66</v>
      </c>
      <c r="V381" t="s">
        <v>124</v>
      </c>
      <c r="W381" t="s">
        <v>125</v>
      </c>
      <c r="X381" t="s">
        <v>126</v>
      </c>
      <c r="Y381">
        <v>85</v>
      </c>
      <c r="Z381" t="s">
        <v>107</v>
      </c>
      <c r="AA381" t="s">
        <v>108</v>
      </c>
      <c r="AB381" s="1">
        <v>45802</v>
      </c>
      <c r="AC381" t="s">
        <v>66</v>
      </c>
      <c r="AD381" t="s">
        <v>40</v>
      </c>
      <c r="AE381" t="s">
        <v>69</v>
      </c>
      <c r="AF381" t="s">
        <v>40</v>
      </c>
      <c r="AG381">
        <v>0</v>
      </c>
      <c r="AH381" t="s">
        <v>100</v>
      </c>
    </row>
    <row r="382" spans="1:34" x14ac:dyDescent="0.3">
      <c r="A382" t="s">
        <v>779</v>
      </c>
      <c r="B382" t="s">
        <v>780</v>
      </c>
      <c r="C382" t="s">
        <v>122</v>
      </c>
      <c r="D382" t="s">
        <v>80</v>
      </c>
      <c r="E382" s="1">
        <v>45818</v>
      </c>
      <c r="F382" s="1">
        <v>45848</v>
      </c>
      <c r="G382" t="s">
        <v>41</v>
      </c>
      <c r="H382">
        <v>7526</v>
      </c>
      <c r="I382" t="s">
        <v>39</v>
      </c>
      <c r="J382" t="b">
        <v>0</v>
      </c>
      <c r="K382">
        <v>30</v>
      </c>
      <c r="L382">
        <v>7</v>
      </c>
      <c r="M382">
        <v>2025</v>
      </c>
      <c r="N382">
        <v>3</v>
      </c>
      <c r="O382">
        <v>6</v>
      </c>
      <c r="P382">
        <v>2025</v>
      </c>
      <c r="Q382">
        <v>1</v>
      </c>
      <c r="R382" t="s">
        <v>40</v>
      </c>
      <c r="S382" t="s">
        <v>41</v>
      </c>
      <c r="T382" t="s">
        <v>42</v>
      </c>
      <c r="U382" t="s">
        <v>40</v>
      </c>
      <c r="V382" t="s">
        <v>124</v>
      </c>
      <c r="W382" t="s">
        <v>125</v>
      </c>
      <c r="X382" t="s">
        <v>126</v>
      </c>
      <c r="Y382">
        <v>85</v>
      </c>
      <c r="Z382" t="s">
        <v>84</v>
      </c>
      <c r="AA382" t="s">
        <v>85</v>
      </c>
      <c r="AB382" s="1">
        <v>45848</v>
      </c>
      <c r="AC382" t="s">
        <v>40</v>
      </c>
      <c r="AD382" t="s">
        <v>40</v>
      </c>
      <c r="AE382" t="s">
        <v>86</v>
      </c>
      <c r="AF382" t="s">
        <v>40</v>
      </c>
      <c r="AG382">
        <v>0</v>
      </c>
      <c r="AH382" t="s">
        <v>70</v>
      </c>
    </row>
    <row r="383" spans="1:34" x14ac:dyDescent="0.3">
      <c r="A383" t="s">
        <v>781</v>
      </c>
      <c r="B383" t="s">
        <v>782</v>
      </c>
      <c r="C383" t="s">
        <v>52</v>
      </c>
      <c r="D383" t="s">
        <v>80</v>
      </c>
      <c r="E383" s="1">
        <v>45704</v>
      </c>
      <c r="F383" s="1">
        <v>45707</v>
      </c>
      <c r="G383" t="s">
        <v>81</v>
      </c>
      <c r="H383">
        <v>6720</v>
      </c>
      <c r="I383" t="s">
        <v>39</v>
      </c>
      <c r="J383" t="b">
        <v>0</v>
      </c>
      <c r="K383">
        <v>3</v>
      </c>
      <c r="L383">
        <v>2</v>
      </c>
      <c r="M383">
        <v>2025</v>
      </c>
      <c r="N383">
        <v>2</v>
      </c>
      <c r="O383">
        <v>2</v>
      </c>
      <c r="P383">
        <v>2025</v>
      </c>
      <c r="Q383">
        <v>6</v>
      </c>
      <c r="R383" t="s">
        <v>40</v>
      </c>
      <c r="S383" t="s">
        <v>67</v>
      </c>
      <c r="T383" t="s">
        <v>42</v>
      </c>
      <c r="U383" t="s">
        <v>66</v>
      </c>
      <c r="V383" t="s">
        <v>56</v>
      </c>
      <c r="W383" t="s">
        <v>57</v>
      </c>
      <c r="X383" t="s">
        <v>45</v>
      </c>
      <c r="Y383">
        <v>120</v>
      </c>
      <c r="Z383" t="s">
        <v>84</v>
      </c>
      <c r="AA383" t="s">
        <v>85</v>
      </c>
      <c r="AB383" s="1">
        <v>45707</v>
      </c>
      <c r="AC383" t="s">
        <v>40</v>
      </c>
      <c r="AD383" t="s">
        <v>40</v>
      </c>
      <c r="AE383" t="s">
        <v>60</v>
      </c>
      <c r="AF383" t="s">
        <v>40</v>
      </c>
      <c r="AG383">
        <v>0</v>
      </c>
      <c r="AH383" t="s">
        <v>100</v>
      </c>
    </row>
    <row r="384" spans="1:34" x14ac:dyDescent="0.3">
      <c r="A384" t="s">
        <v>783</v>
      </c>
      <c r="B384" t="s">
        <v>404</v>
      </c>
      <c r="C384" t="s">
        <v>79</v>
      </c>
      <c r="D384" t="s">
        <v>104</v>
      </c>
      <c r="E384" s="1">
        <v>46017</v>
      </c>
      <c r="F384" s="1">
        <v>46018</v>
      </c>
      <c r="G384" t="s">
        <v>38</v>
      </c>
      <c r="H384">
        <v>4778</v>
      </c>
      <c r="I384" t="s">
        <v>39</v>
      </c>
      <c r="J384" t="b">
        <v>0</v>
      </c>
      <c r="K384">
        <v>1</v>
      </c>
      <c r="L384">
        <v>12</v>
      </c>
      <c r="M384">
        <v>2025</v>
      </c>
      <c r="N384">
        <v>5</v>
      </c>
      <c r="O384">
        <v>12</v>
      </c>
      <c r="P384">
        <v>2025</v>
      </c>
      <c r="Q384">
        <v>4</v>
      </c>
      <c r="R384" t="s">
        <v>66</v>
      </c>
      <c r="S384" t="s">
        <v>45</v>
      </c>
      <c r="T384" t="s">
        <v>139</v>
      </c>
      <c r="U384" t="s">
        <v>66</v>
      </c>
      <c r="V384" t="s">
        <v>82</v>
      </c>
      <c r="W384" t="s">
        <v>83</v>
      </c>
      <c r="X384" t="s">
        <v>76</v>
      </c>
      <c r="Y384">
        <v>100</v>
      </c>
      <c r="Z384" t="s">
        <v>107</v>
      </c>
      <c r="AA384" t="s">
        <v>108</v>
      </c>
      <c r="AB384" s="1">
        <v>46018</v>
      </c>
      <c r="AC384" t="s">
        <v>66</v>
      </c>
      <c r="AD384" t="s">
        <v>40</v>
      </c>
      <c r="AE384" t="s">
        <v>69</v>
      </c>
      <c r="AF384" t="s">
        <v>40</v>
      </c>
      <c r="AG384">
        <v>0</v>
      </c>
      <c r="AH384" t="s">
        <v>100</v>
      </c>
    </row>
    <row r="385" spans="1:34" x14ac:dyDescent="0.3">
      <c r="A385" t="s">
        <v>784</v>
      </c>
      <c r="B385" t="s">
        <v>365</v>
      </c>
      <c r="C385" t="s">
        <v>97</v>
      </c>
      <c r="D385" t="s">
        <v>130</v>
      </c>
      <c r="E385" s="1">
        <v>46209</v>
      </c>
      <c r="F385" s="1">
        <v>46223</v>
      </c>
      <c r="G385" t="s">
        <v>41</v>
      </c>
      <c r="H385">
        <v>6092</v>
      </c>
      <c r="I385" t="s">
        <v>39</v>
      </c>
      <c r="J385" t="b">
        <v>0</v>
      </c>
      <c r="K385">
        <v>14</v>
      </c>
      <c r="L385">
        <v>7</v>
      </c>
      <c r="M385">
        <v>2026</v>
      </c>
      <c r="N385">
        <v>0</v>
      </c>
      <c r="O385">
        <v>7</v>
      </c>
      <c r="P385">
        <v>2026</v>
      </c>
      <c r="Q385">
        <v>0</v>
      </c>
      <c r="R385" t="s">
        <v>40</v>
      </c>
      <c r="S385" t="s">
        <v>41</v>
      </c>
      <c r="T385" t="s">
        <v>42</v>
      </c>
      <c r="U385" t="s">
        <v>40</v>
      </c>
      <c r="V385" t="s">
        <v>98</v>
      </c>
      <c r="W385" t="s">
        <v>99</v>
      </c>
      <c r="X385" t="s">
        <v>76</v>
      </c>
      <c r="Y385">
        <v>80</v>
      </c>
      <c r="Z385" t="s">
        <v>133</v>
      </c>
      <c r="AA385" t="s">
        <v>134</v>
      </c>
      <c r="AB385" s="1">
        <v>46223</v>
      </c>
      <c r="AC385" t="s">
        <v>40</v>
      </c>
      <c r="AD385" t="s">
        <v>40</v>
      </c>
      <c r="AE385" t="s">
        <v>86</v>
      </c>
      <c r="AF385" t="s">
        <v>40</v>
      </c>
      <c r="AG385">
        <v>0</v>
      </c>
      <c r="AH385" t="s">
        <v>70</v>
      </c>
    </row>
    <row r="386" spans="1:34" x14ac:dyDescent="0.3">
      <c r="A386" t="s">
        <v>785</v>
      </c>
      <c r="B386" t="s">
        <v>644</v>
      </c>
      <c r="C386" t="s">
        <v>103</v>
      </c>
      <c r="D386" t="s">
        <v>80</v>
      </c>
      <c r="E386" s="1">
        <v>46057</v>
      </c>
      <c r="F386" s="1">
        <v>46071</v>
      </c>
      <c r="G386" t="s">
        <v>64</v>
      </c>
      <c r="H386">
        <v>2404</v>
      </c>
      <c r="I386" t="s">
        <v>39</v>
      </c>
      <c r="J386" t="b">
        <v>0</v>
      </c>
      <c r="K386">
        <v>14</v>
      </c>
      <c r="L386">
        <v>2</v>
      </c>
      <c r="M386">
        <v>2026</v>
      </c>
      <c r="N386">
        <v>2</v>
      </c>
      <c r="O386">
        <v>2</v>
      </c>
      <c r="P386">
        <v>2026</v>
      </c>
      <c r="Q386">
        <v>2</v>
      </c>
      <c r="R386" t="s">
        <v>40</v>
      </c>
      <c r="S386" t="s">
        <v>41</v>
      </c>
      <c r="T386" t="s">
        <v>139</v>
      </c>
      <c r="U386" t="s">
        <v>40</v>
      </c>
      <c r="V386" t="s">
        <v>105</v>
      </c>
      <c r="W386" t="s">
        <v>106</v>
      </c>
      <c r="X386" t="s">
        <v>45</v>
      </c>
      <c r="Y386">
        <v>140</v>
      </c>
      <c r="Z386" t="s">
        <v>84</v>
      </c>
      <c r="AA386" t="s">
        <v>85</v>
      </c>
      <c r="AB386" s="1">
        <v>46071</v>
      </c>
      <c r="AC386" t="s">
        <v>40</v>
      </c>
      <c r="AD386" t="s">
        <v>40</v>
      </c>
      <c r="AE386" t="s">
        <v>60</v>
      </c>
      <c r="AF386" t="s">
        <v>40</v>
      </c>
      <c r="AG386">
        <v>0</v>
      </c>
      <c r="AH386" t="s">
        <v>70</v>
      </c>
    </row>
    <row r="387" spans="1:34" x14ac:dyDescent="0.3">
      <c r="A387" t="s">
        <v>786</v>
      </c>
      <c r="B387" t="s">
        <v>201</v>
      </c>
      <c r="C387" t="s">
        <v>169</v>
      </c>
      <c r="D387" t="s">
        <v>53</v>
      </c>
      <c r="E387" s="1">
        <v>46104</v>
      </c>
      <c r="F387" s="1">
        <v>46111</v>
      </c>
      <c r="G387" t="s">
        <v>64</v>
      </c>
      <c r="H387">
        <v>2638</v>
      </c>
      <c r="I387" t="s">
        <v>65</v>
      </c>
      <c r="J387" t="b">
        <v>0</v>
      </c>
      <c r="K387">
        <v>7</v>
      </c>
      <c r="L387">
        <v>3</v>
      </c>
      <c r="M387">
        <v>2026</v>
      </c>
      <c r="N387">
        <v>0</v>
      </c>
      <c r="O387">
        <v>3</v>
      </c>
      <c r="P387">
        <v>2026</v>
      </c>
      <c r="Q387">
        <v>0</v>
      </c>
      <c r="R387" t="s">
        <v>40</v>
      </c>
      <c r="S387" t="s">
        <v>55</v>
      </c>
      <c r="T387" t="s">
        <v>42</v>
      </c>
      <c r="U387" t="s">
        <v>66</v>
      </c>
      <c r="V387" t="s">
        <v>170</v>
      </c>
      <c r="W387" t="s">
        <v>171</v>
      </c>
      <c r="X387" t="s">
        <v>126</v>
      </c>
      <c r="Y387">
        <v>90</v>
      </c>
      <c r="Z387" t="s">
        <v>58</v>
      </c>
      <c r="AA387" t="s">
        <v>59</v>
      </c>
      <c r="AB387" s="1">
        <v>46111</v>
      </c>
      <c r="AC387" t="s">
        <v>40</v>
      </c>
      <c r="AD387" t="s">
        <v>40</v>
      </c>
      <c r="AE387" t="s">
        <v>60</v>
      </c>
      <c r="AF387" t="s">
        <v>40</v>
      </c>
      <c r="AG387">
        <v>0</v>
      </c>
      <c r="AH387" t="s">
        <v>100</v>
      </c>
    </row>
    <row r="388" spans="1:34" x14ac:dyDescent="0.3">
      <c r="A388" t="s">
        <v>787</v>
      </c>
      <c r="B388" t="s">
        <v>788</v>
      </c>
      <c r="C388" t="s">
        <v>89</v>
      </c>
      <c r="D388" t="s">
        <v>130</v>
      </c>
      <c r="E388" s="1">
        <v>46250</v>
      </c>
      <c r="F388" s="1">
        <v>46253</v>
      </c>
      <c r="G388" t="s">
        <v>81</v>
      </c>
      <c r="H388">
        <v>10850</v>
      </c>
      <c r="I388" t="s">
        <v>39</v>
      </c>
      <c r="J388" t="b">
        <v>0</v>
      </c>
      <c r="K388">
        <v>3</v>
      </c>
      <c r="L388">
        <v>8</v>
      </c>
      <c r="M388">
        <v>2026</v>
      </c>
      <c r="N388">
        <v>2</v>
      </c>
      <c r="O388">
        <v>8</v>
      </c>
      <c r="P388">
        <v>2026</v>
      </c>
      <c r="Q388">
        <v>6</v>
      </c>
      <c r="R388" t="s">
        <v>40</v>
      </c>
      <c r="S388" t="s">
        <v>45</v>
      </c>
      <c r="T388" t="s">
        <v>42</v>
      </c>
      <c r="U388" t="s">
        <v>40</v>
      </c>
      <c r="V388" t="s">
        <v>91</v>
      </c>
      <c r="W388" t="s">
        <v>92</v>
      </c>
      <c r="X388" t="s">
        <v>76</v>
      </c>
      <c r="Y388">
        <v>65</v>
      </c>
      <c r="Z388" t="s">
        <v>133</v>
      </c>
      <c r="AA388" t="s">
        <v>134</v>
      </c>
      <c r="AB388" s="1">
        <v>46253</v>
      </c>
      <c r="AC388" t="s">
        <v>40</v>
      </c>
      <c r="AD388" t="s">
        <v>40</v>
      </c>
      <c r="AE388" t="s">
        <v>86</v>
      </c>
      <c r="AF388" t="s">
        <v>40</v>
      </c>
      <c r="AG388">
        <v>0</v>
      </c>
      <c r="AH388" t="s">
        <v>100</v>
      </c>
    </row>
    <row r="389" spans="1:34" x14ac:dyDescent="0.3">
      <c r="A389" t="s">
        <v>789</v>
      </c>
      <c r="B389" t="s">
        <v>226</v>
      </c>
      <c r="C389" t="s">
        <v>146</v>
      </c>
      <c r="D389" t="s">
        <v>53</v>
      </c>
      <c r="E389" s="1">
        <v>46101</v>
      </c>
      <c r="F389" s="1">
        <v>46131</v>
      </c>
      <c r="G389" t="s">
        <v>81</v>
      </c>
      <c r="H389">
        <v>8558</v>
      </c>
      <c r="I389" t="s">
        <v>39</v>
      </c>
      <c r="J389" t="b">
        <v>0</v>
      </c>
      <c r="K389">
        <v>30</v>
      </c>
      <c r="L389">
        <v>4</v>
      </c>
      <c r="M389">
        <v>2026</v>
      </c>
      <c r="N389">
        <v>6</v>
      </c>
      <c r="O389">
        <v>3</v>
      </c>
      <c r="P389">
        <v>2026</v>
      </c>
      <c r="Q389">
        <v>4</v>
      </c>
      <c r="R389" t="s">
        <v>66</v>
      </c>
      <c r="S389" t="s">
        <v>45</v>
      </c>
      <c r="T389" t="s">
        <v>113</v>
      </c>
      <c r="U389" t="s">
        <v>66</v>
      </c>
      <c r="V389" t="s">
        <v>147</v>
      </c>
      <c r="W389" t="s">
        <v>148</v>
      </c>
      <c r="X389" t="s">
        <v>45</v>
      </c>
      <c r="Y389">
        <v>160</v>
      </c>
      <c r="Z389" t="s">
        <v>58</v>
      </c>
      <c r="AA389" t="s">
        <v>59</v>
      </c>
      <c r="AB389" s="1">
        <v>46131</v>
      </c>
      <c r="AC389" t="s">
        <v>66</v>
      </c>
      <c r="AD389" t="s">
        <v>40</v>
      </c>
      <c r="AE389" t="s">
        <v>69</v>
      </c>
      <c r="AF389" t="s">
        <v>40</v>
      </c>
      <c r="AG389">
        <v>0</v>
      </c>
      <c r="AH389" t="s">
        <v>70</v>
      </c>
    </row>
    <row r="390" spans="1:34" x14ac:dyDescent="0.3">
      <c r="A390" t="s">
        <v>790</v>
      </c>
      <c r="B390" t="s">
        <v>536</v>
      </c>
      <c r="C390" t="s">
        <v>129</v>
      </c>
      <c r="D390" t="s">
        <v>37</v>
      </c>
      <c r="E390" s="1">
        <v>46186</v>
      </c>
      <c r="F390" s="1">
        <v>46286</v>
      </c>
      <c r="G390" t="s">
        <v>41</v>
      </c>
      <c r="H390">
        <v>8838</v>
      </c>
      <c r="I390" t="s">
        <v>65</v>
      </c>
      <c r="J390" t="b">
        <v>0</v>
      </c>
      <c r="K390">
        <v>100</v>
      </c>
      <c r="L390">
        <v>9</v>
      </c>
      <c r="M390">
        <v>2026</v>
      </c>
      <c r="N390">
        <v>0</v>
      </c>
      <c r="O390">
        <v>6</v>
      </c>
      <c r="P390">
        <v>2026</v>
      </c>
      <c r="Q390">
        <v>5</v>
      </c>
      <c r="R390" t="s">
        <v>40</v>
      </c>
      <c r="S390" t="s">
        <v>41</v>
      </c>
      <c r="T390" t="s">
        <v>42</v>
      </c>
      <c r="U390" t="s">
        <v>40</v>
      </c>
      <c r="V390" t="s">
        <v>131</v>
      </c>
      <c r="W390" t="s">
        <v>132</v>
      </c>
      <c r="X390" t="s">
        <v>45</v>
      </c>
      <c r="Y390">
        <v>110</v>
      </c>
      <c r="Z390" t="s">
        <v>46</v>
      </c>
      <c r="AA390" t="s">
        <v>47</v>
      </c>
      <c r="AB390" s="1">
        <v>46286</v>
      </c>
      <c r="AC390" t="s">
        <v>40</v>
      </c>
      <c r="AD390" t="s">
        <v>40</v>
      </c>
      <c r="AE390" t="s">
        <v>60</v>
      </c>
      <c r="AF390" t="s">
        <v>40</v>
      </c>
      <c r="AG390">
        <v>0</v>
      </c>
      <c r="AH390" t="s">
        <v>49</v>
      </c>
    </row>
    <row r="391" spans="1:34" x14ac:dyDescent="0.3">
      <c r="A391" t="s">
        <v>791</v>
      </c>
      <c r="B391" t="s">
        <v>792</v>
      </c>
      <c r="C391" t="s">
        <v>155</v>
      </c>
      <c r="D391" t="s">
        <v>37</v>
      </c>
      <c r="E391" s="1">
        <v>46299</v>
      </c>
      <c r="F391" s="1">
        <v>46300</v>
      </c>
      <c r="G391" t="s">
        <v>38</v>
      </c>
      <c r="H391">
        <v>4105</v>
      </c>
      <c r="I391" t="s">
        <v>65</v>
      </c>
      <c r="J391" t="b">
        <v>0</v>
      </c>
      <c r="K391">
        <v>1</v>
      </c>
      <c r="L391">
        <v>10</v>
      </c>
      <c r="M391">
        <v>2026</v>
      </c>
      <c r="N391">
        <v>0</v>
      </c>
      <c r="O391">
        <v>10</v>
      </c>
      <c r="P391">
        <v>2026</v>
      </c>
      <c r="Q391">
        <v>6</v>
      </c>
      <c r="R391" t="s">
        <v>40</v>
      </c>
      <c r="S391" t="s">
        <v>45</v>
      </c>
      <c r="T391" t="s">
        <v>42</v>
      </c>
      <c r="U391" t="s">
        <v>40</v>
      </c>
      <c r="V391" t="s">
        <v>156</v>
      </c>
      <c r="W391" t="s">
        <v>157</v>
      </c>
      <c r="X391" t="s">
        <v>158</v>
      </c>
      <c r="Y391">
        <v>70</v>
      </c>
      <c r="Z391" t="s">
        <v>46</v>
      </c>
      <c r="AA391" t="s">
        <v>47</v>
      </c>
      <c r="AB391" s="1">
        <v>46300</v>
      </c>
      <c r="AC391" t="s">
        <v>40</v>
      </c>
      <c r="AD391" t="s">
        <v>40</v>
      </c>
      <c r="AE391" t="s">
        <v>60</v>
      </c>
      <c r="AF391" t="s">
        <v>40</v>
      </c>
      <c r="AG391">
        <v>0</v>
      </c>
      <c r="AH391" t="s">
        <v>100</v>
      </c>
    </row>
    <row r="392" spans="1:34" x14ac:dyDescent="0.3">
      <c r="A392" t="s">
        <v>793</v>
      </c>
      <c r="B392" t="s">
        <v>454</v>
      </c>
      <c r="C392" t="s">
        <v>79</v>
      </c>
      <c r="D392" t="s">
        <v>130</v>
      </c>
      <c r="E392" s="1">
        <v>46307</v>
      </c>
      <c r="F392" s="1">
        <v>46314</v>
      </c>
      <c r="G392" t="s">
        <v>41</v>
      </c>
      <c r="H392">
        <v>5657</v>
      </c>
      <c r="I392" t="s">
        <v>39</v>
      </c>
      <c r="J392" t="b">
        <v>0</v>
      </c>
      <c r="K392">
        <v>7</v>
      </c>
      <c r="L392">
        <v>10</v>
      </c>
      <c r="M392">
        <v>2026</v>
      </c>
      <c r="N392">
        <v>0</v>
      </c>
      <c r="O392">
        <v>10</v>
      </c>
      <c r="P392">
        <v>2026</v>
      </c>
      <c r="Q392">
        <v>0</v>
      </c>
      <c r="R392" t="s">
        <v>40</v>
      </c>
      <c r="S392" t="s">
        <v>55</v>
      </c>
      <c r="T392" t="s">
        <v>42</v>
      </c>
      <c r="U392" t="s">
        <v>66</v>
      </c>
      <c r="V392" t="s">
        <v>82</v>
      </c>
      <c r="W392" t="s">
        <v>83</v>
      </c>
      <c r="X392" t="s">
        <v>76</v>
      </c>
      <c r="Y392">
        <v>100</v>
      </c>
      <c r="Z392" t="s">
        <v>133</v>
      </c>
      <c r="AA392" t="s">
        <v>134</v>
      </c>
      <c r="AB392" s="1">
        <v>46314</v>
      </c>
      <c r="AC392" t="s">
        <v>40</v>
      </c>
      <c r="AD392" t="s">
        <v>40</v>
      </c>
      <c r="AE392" t="s">
        <v>60</v>
      </c>
      <c r="AF392" t="s">
        <v>40</v>
      </c>
      <c r="AG392">
        <v>0</v>
      </c>
      <c r="AH392" t="s">
        <v>100</v>
      </c>
    </row>
    <row r="393" spans="1:34" x14ac:dyDescent="0.3">
      <c r="A393" t="s">
        <v>794</v>
      </c>
      <c r="B393" t="s">
        <v>795</v>
      </c>
      <c r="C393" t="s">
        <v>97</v>
      </c>
      <c r="D393" t="s">
        <v>90</v>
      </c>
      <c r="E393" s="1">
        <v>45686</v>
      </c>
      <c r="F393" s="1">
        <v>45693</v>
      </c>
      <c r="G393" t="s">
        <v>81</v>
      </c>
      <c r="H393">
        <v>10072</v>
      </c>
      <c r="I393" t="s">
        <v>54</v>
      </c>
      <c r="J393" t="b">
        <v>0</v>
      </c>
      <c r="K393">
        <v>7</v>
      </c>
      <c r="L393">
        <v>2</v>
      </c>
      <c r="M393">
        <v>2025</v>
      </c>
      <c r="N393">
        <v>2</v>
      </c>
      <c r="O393">
        <v>1</v>
      </c>
      <c r="P393">
        <v>2025</v>
      </c>
      <c r="Q393">
        <v>2</v>
      </c>
      <c r="R393" t="s">
        <v>40</v>
      </c>
      <c r="S393" t="s">
        <v>41</v>
      </c>
      <c r="T393" t="s">
        <v>42</v>
      </c>
      <c r="U393" t="s">
        <v>40</v>
      </c>
      <c r="V393" t="s">
        <v>98</v>
      </c>
      <c r="W393" t="s">
        <v>99</v>
      </c>
      <c r="X393" t="s">
        <v>76</v>
      </c>
      <c r="Y393">
        <v>80</v>
      </c>
      <c r="Z393" t="s">
        <v>93</v>
      </c>
      <c r="AA393" t="s">
        <v>94</v>
      </c>
      <c r="AB393" s="1">
        <v>45693</v>
      </c>
      <c r="AC393" t="s">
        <v>40</v>
      </c>
      <c r="AD393" t="s">
        <v>40</v>
      </c>
      <c r="AE393" t="s">
        <v>60</v>
      </c>
      <c r="AF393" t="s">
        <v>40</v>
      </c>
      <c r="AG393">
        <v>1</v>
      </c>
      <c r="AH393" t="s">
        <v>100</v>
      </c>
    </row>
    <row r="394" spans="1:34" x14ac:dyDescent="0.3">
      <c r="A394" t="s">
        <v>796</v>
      </c>
      <c r="B394" t="s">
        <v>797</v>
      </c>
      <c r="C394" t="s">
        <v>169</v>
      </c>
      <c r="D394" t="s">
        <v>90</v>
      </c>
      <c r="E394" s="1">
        <v>45687</v>
      </c>
      <c r="F394" s="1">
        <v>45694</v>
      </c>
      <c r="G394" t="s">
        <v>81</v>
      </c>
      <c r="H394">
        <v>10480</v>
      </c>
      <c r="I394" t="s">
        <v>39</v>
      </c>
      <c r="J394" t="b">
        <v>0</v>
      </c>
      <c r="K394">
        <v>7</v>
      </c>
      <c r="L394">
        <v>2</v>
      </c>
      <c r="M394">
        <v>2025</v>
      </c>
      <c r="N394">
        <v>3</v>
      </c>
      <c r="O394">
        <v>1</v>
      </c>
      <c r="P394">
        <v>2025</v>
      </c>
      <c r="Q394">
        <v>3</v>
      </c>
      <c r="R394" t="s">
        <v>40</v>
      </c>
      <c r="S394" t="s">
        <v>45</v>
      </c>
      <c r="T394" t="s">
        <v>42</v>
      </c>
      <c r="U394" t="s">
        <v>66</v>
      </c>
      <c r="V394" t="s">
        <v>170</v>
      </c>
      <c r="W394" t="s">
        <v>171</v>
      </c>
      <c r="X394" t="s">
        <v>126</v>
      </c>
      <c r="Y394">
        <v>90</v>
      </c>
      <c r="Z394" t="s">
        <v>93</v>
      </c>
      <c r="AA394" t="s">
        <v>94</v>
      </c>
      <c r="AB394" s="1">
        <v>45694</v>
      </c>
      <c r="AC394" t="s">
        <v>40</v>
      </c>
      <c r="AD394" t="s">
        <v>40</v>
      </c>
      <c r="AE394" t="s">
        <v>60</v>
      </c>
      <c r="AF394" t="s">
        <v>40</v>
      </c>
      <c r="AG394">
        <v>0</v>
      </c>
      <c r="AH394" t="s">
        <v>100</v>
      </c>
    </row>
    <row r="395" spans="1:34" x14ac:dyDescent="0.3">
      <c r="A395" t="s">
        <v>798</v>
      </c>
      <c r="B395" t="s">
        <v>799</v>
      </c>
      <c r="C395" t="s">
        <v>169</v>
      </c>
      <c r="D395" t="s">
        <v>130</v>
      </c>
      <c r="E395" s="1">
        <v>46074</v>
      </c>
      <c r="F395" s="1">
        <v>46174</v>
      </c>
      <c r="G395" t="s">
        <v>64</v>
      </c>
      <c r="H395">
        <v>4131</v>
      </c>
      <c r="I395" t="s">
        <v>39</v>
      </c>
      <c r="J395" t="b">
        <v>0</v>
      </c>
      <c r="K395">
        <v>100</v>
      </c>
      <c r="L395">
        <v>6</v>
      </c>
      <c r="M395">
        <v>2026</v>
      </c>
      <c r="N395">
        <v>0</v>
      </c>
      <c r="O395">
        <v>2</v>
      </c>
      <c r="P395">
        <v>2026</v>
      </c>
      <c r="Q395">
        <v>5</v>
      </c>
      <c r="R395" t="s">
        <v>40</v>
      </c>
      <c r="S395" t="s">
        <v>55</v>
      </c>
      <c r="T395" t="s">
        <v>42</v>
      </c>
      <c r="U395" t="s">
        <v>40</v>
      </c>
      <c r="V395" t="s">
        <v>170</v>
      </c>
      <c r="W395" t="s">
        <v>171</v>
      </c>
      <c r="X395" t="s">
        <v>126</v>
      </c>
      <c r="Y395">
        <v>90</v>
      </c>
      <c r="Z395" t="s">
        <v>133</v>
      </c>
      <c r="AA395" t="s">
        <v>134</v>
      </c>
      <c r="AB395" s="1">
        <v>46174</v>
      </c>
      <c r="AC395" t="s">
        <v>40</v>
      </c>
      <c r="AD395" t="s">
        <v>40</v>
      </c>
      <c r="AE395" t="s">
        <v>60</v>
      </c>
      <c r="AF395" t="s">
        <v>40</v>
      </c>
      <c r="AG395">
        <v>0</v>
      </c>
      <c r="AH395" t="s">
        <v>49</v>
      </c>
    </row>
    <row r="396" spans="1:34" x14ac:dyDescent="0.3">
      <c r="A396" t="s">
        <v>800</v>
      </c>
      <c r="B396" t="s">
        <v>801</v>
      </c>
      <c r="C396" t="s">
        <v>146</v>
      </c>
      <c r="D396" t="s">
        <v>53</v>
      </c>
      <c r="E396" s="1">
        <v>46166</v>
      </c>
      <c r="F396" s="1">
        <v>46266</v>
      </c>
      <c r="G396" t="s">
        <v>38</v>
      </c>
      <c r="H396">
        <v>4783</v>
      </c>
      <c r="I396" t="s">
        <v>54</v>
      </c>
      <c r="J396" t="b">
        <v>0</v>
      </c>
      <c r="K396">
        <v>100</v>
      </c>
      <c r="L396">
        <v>9</v>
      </c>
      <c r="M396">
        <v>2026</v>
      </c>
      <c r="N396">
        <v>1</v>
      </c>
      <c r="O396">
        <v>5</v>
      </c>
      <c r="P396">
        <v>2026</v>
      </c>
      <c r="Q396">
        <v>6</v>
      </c>
      <c r="R396" t="s">
        <v>40</v>
      </c>
      <c r="S396" t="s">
        <v>67</v>
      </c>
      <c r="T396" t="s">
        <v>123</v>
      </c>
      <c r="U396" t="s">
        <v>40</v>
      </c>
      <c r="V396" t="s">
        <v>147</v>
      </c>
      <c r="W396" t="s">
        <v>148</v>
      </c>
      <c r="X396" t="s">
        <v>45</v>
      </c>
      <c r="Y396">
        <v>160</v>
      </c>
      <c r="Z396" t="s">
        <v>58</v>
      </c>
      <c r="AA396" t="s">
        <v>59</v>
      </c>
      <c r="AB396" s="1">
        <v>46266</v>
      </c>
      <c r="AC396" t="s">
        <v>40</v>
      </c>
      <c r="AD396" t="s">
        <v>40</v>
      </c>
      <c r="AE396" t="s">
        <v>60</v>
      </c>
      <c r="AF396" t="s">
        <v>40</v>
      </c>
      <c r="AG396">
        <v>1</v>
      </c>
      <c r="AH396" t="s">
        <v>49</v>
      </c>
    </row>
    <row r="397" spans="1:34" x14ac:dyDescent="0.3">
      <c r="A397" t="s">
        <v>802</v>
      </c>
      <c r="B397" t="s">
        <v>803</v>
      </c>
      <c r="C397" t="s">
        <v>103</v>
      </c>
      <c r="D397" t="s">
        <v>90</v>
      </c>
      <c r="E397" s="1">
        <v>45805</v>
      </c>
      <c r="F397" s="1">
        <v>45808</v>
      </c>
      <c r="G397" t="s">
        <v>38</v>
      </c>
      <c r="H397">
        <v>5172</v>
      </c>
      <c r="I397" t="s">
        <v>39</v>
      </c>
      <c r="J397" t="b">
        <v>0</v>
      </c>
      <c r="K397">
        <v>3</v>
      </c>
      <c r="L397">
        <v>5</v>
      </c>
      <c r="M397">
        <v>2025</v>
      </c>
      <c r="N397">
        <v>5</v>
      </c>
      <c r="O397">
        <v>5</v>
      </c>
      <c r="P397">
        <v>2025</v>
      </c>
      <c r="Q397">
        <v>2</v>
      </c>
      <c r="R397" t="s">
        <v>66</v>
      </c>
      <c r="S397" t="s">
        <v>45</v>
      </c>
      <c r="T397" t="s">
        <v>68</v>
      </c>
      <c r="U397" t="s">
        <v>40</v>
      </c>
      <c r="V397" t="s">
        <v>105</v>
      </c>
      <c r="W397" t="s">
        <v>106</v>
      </c>
      <c r="X397" t="s">
        <v>45</v>
      </c>
      <c r="Y397">
        <v>140</v>
      </c>
      <c r="Z397" t="s">
        <v>93</v>
      </c>
      <c r="AA397" t="s">
        <v>94</v>
      </c>
      <c r="AB397" s="1">
        <v>45808</v>
      </c>
      <c r="AC397" t="s">
        <v>66</v>
      </c>
      <c r="AD397" t="s">
        <v>40</v>
      </c>
      <c r="AE397" t="s">
        <v>69</v>
      </c>
      <c r="AF397" t="s">
        <v>40</v>
      </c>
      <c r="AG397">
        <v>0</v>
      </c>
      <c r="AH397" t="s">
        <v>100</v>
      </c>
    </row>
    <row r="398" spans="1:34" x14ac:dyDescent="0.3">
      <c r="A398" t="s">
        <v>804</v>
      </c>
      <c r="B398" t="s">
        <v>63</v>
      </c>
      <c r="C398" t="s">
        <v>79</v>
      </c>
      <c r="D398" t="s">
        <v>80</v>
      </c>
      <c r="E398" s="1">
        <v>46091</v>
      </c>
      <c r="F398" s="1">
        <v>46105</v>
      </c>
      <c r="G398" t="s">
        <v>38</v>
      </c>
      <c r="H398">
        <v>4093</v>
      </c>
      <c r="I398" t="s">
        <v>39</v>
      </c>
      <c r="J398" t="b">
        <v>0</v>
      </c>
      <c r="K398">
        <v>14</v>
      </c>
      <c r="L398">
        <v>3</v>
      </c>
      <c r="M398">
        <v>2026</v>
      </c>
      <c r="N398">
        <v>1</v>
      </c>
      <c r="O398">
        <v>3</v>
      </c>
      <c r="P398">
        <v>2026</v>
      </c>
      <c r="Q398">
        <v>1</v>
      </c>
      <c r="R398" t="s">
        <v>40</v>
      </c>
      <c r="S398" t="s">
        <v>67</v>
      </c>
      <c r="T398" t="s">
        <v>68</v>
      </c>
      <c r="U398" t="s">
        <v>40</v>
      </c>
      <c r="V398" t="s">
        <v>82</v>
      </c>
      <c r="W398" t="s">
        <v>83</v>
      </c>
      <c r="X398" t="s">
        <v>76</v>
      </c>
      <c r="Y398">
        <v>100</v>
      </c>
      <c r="Z398" t="s">
        <v>84</v>
      </c>
      <c r="AA398" t="s">
        <v>85</v>
      </c>
      <c r="AB398" s="1">
        <v>46105</v>
      </c>
      <c r="AC398" t="s">
        <v>40</v>
      </c>
      <c r="AD398" t="s">
        <v>40</v>
      </c>
      <c r="AE398" t="s">
        <v>60</v>
      </c>
      <c r="AF398" t="s">
        <v>40</v>
      </c>
      <c r="AG398">
        <v>0</v>
      </c>
      <c r="AH398" t="s">
        <v>70</v>
      </c>
    </row>
    <row r="399" spans="1:34" x14ac:dyDescent="0.3">
      <c r="A399" t="s">
        <v>805</v>
      </c>
      <c r="B399" t="s">
        <v>806</v>
      </c>
      <c r="C399" t="s">
        <v>52</v>
      </c>
      <c r="D399" t="s">
        <v>37</v>
      </c>
      <c r="E399" s="1">
        <v>46336</v>
      </c>
      <c r="F399" s="1">
        <v>46396</v>
      </c>
      <c r="G399" t="s">
        <v>64</v>
      </c>
      <c r="H399">
        <v>2718</v>
      </c>
      <c r="I399" t="s">
        <v>65</v>
      </c>
      <c r="J399" t="b">
        <v>0</v>
      </c>
      <c r="K399">
        <v>60</v>
      </c>
      <c r="L399">
        <v>1</v>
      </c>
      <c r="M399">
        <v>2027</v>
      </c>
      <c r="N399">
        <v>5</v>
      </c>
      <c r="O399">
        <v>11</v>
      </c>
      <c r="P399">
        <v>2026</v>
      </c>
      <c r="Q399">
        <v>1</v>
      </c>
      <c r="R399" t="s">
        <v>66</v>
      </c>
      <c r="S399" t="s">
        <v>41</v>
      </c>
      <c r="T399" t="s">
        <v>42</v>
      </c>
      <c r="U399" t="s">
        <v>66</v>
      </c>
      <c r="V399" t="s">
        <v>56</v>
      </c>
      <c r="W399" t="s">
        <v>57</v>
      </c>
      <c r="X399" t="s">
        <v>45</v>
      </c>
      <c r="Y399">
        <v>120</v>
      </c>
      <c r="Z399" t="s">
        <v>46</v>
      </c>
      <c r="AA399" t="s">
        <v>47</v>
      </c>
      <c r="AB399" s="1"/>
      <c r="AC399" t="s">
        <v>48</v>
      </c>
      <c r="AD399" t="s">
        <v>48</v>
      </c>
      <c r="AE399" t="s">
        <v>48</v>
      </c>
      <c r="AF399" t="s">
        <v>48</v>
      </c>
      <c r="AG399">
        <v>0</v>
      </c>
      <c r="AH399" t="s">
        <v>61</v>
      </c>
    </row>
    <row r="400" spans="1:34" x14ac:dyDescent="0.3">
      <c r="A400" t="s">
        <v>807</v>
      </c>
      <c r="B400" t="s">
        <v>500</v>
      </c>
      <c r="C400" t="s">
        <v>146</v>
      </c>
      <c r="D400" t="s">
        <v>90</v>
      </c>
      <c r="E400" s="1">
        <v>46111</v>
      </c>
      <c r="F400" s="1">
        <v>46125</v>
      </c>
      <c r="G400" t="s">
        <v>41</v>
      </c>
      <c r="H400">
        <v>6218</v>
      </c>
      <c r="I400" t="s">
        <v>65</v>
      </c>
      <c r="J400" t="b">
        <v>0</v>
      </c>
      <c r="K400">
        <v>14</v>
      </c>
      <c r="L400">
        <v>4</v>
      </c>
      <c r="M400">
        <v>2026</v>
      </c>
      <c r="N400">
        <v>0</v>
      </c>
      <c r="O400">
        <v>3</v>
      </c>
      <c r="P400">
        <v>2026</v>
      </c>
      <c r="Q400">
        <v>0</v>
      </c>
      <c r="R400" t="s">
        <v>40</v>
      </c>
      <c r="S400" t="s">
        <v>41</v>
      </c>
      <c r="T400" t="s">
        <v>42</v>
      </c>
      <c r="U400" t="s">
        <v>40</v>
      </c>
      <c r="V400" t="s">
        <v>147</v>
      </c>
      <c r="W400" t="s">
        <v>148</v>
      </c>
      <c r="X400" t="s">
        <v>45</v>
      </c>
      <c r="Y400">
        <v>160</v>
      </c>
      <c r="Z400" t="s">
        <v>93</v>
      </c>
      <c r="AA400" t="s">
        <v>94</v>
      </c>
      <c r="AB400" s="1">
        <v>46125</v>
      </c>
      <c r="AC400" t="s">
        <v>40</v>
      </c>
      <c r="AD400" t="s">
        <v>40</v>
      </c>
      <c r="AE400" t="s">
        <v>69</v>
      </c>
      <c r="AF400" t="s">
        <v>40</v>
      </c>
      <c r="AG400">
        <v>0</v>
      </c>
      <c r="AH400" t="s">
        <v>70</v>
      </c>
    </row>
    <row r="401" spans="1:34" x14ac:dyDescent="0.3">
      <c r="A401" t="s">
        <v>808</v>
      </c>
      <c r="B401" t="s">
        <v>809</v>
      </c>
      <c r="C401" t="s">
        <v>79</v>
      </c>
      <c r="D401" t="s">
        <v>37</v>
      </c>
      <c r="E401" s="1">
        <v>46074</v>
      </c>
      <c r="F401" s="1">
        <v>46134</v>
      </c>
      <c r="G401" t="s">
        <v>81</v>
      </c>
      <c r="H401">
        <v>10359</v>
      </c>
      <c r="I401" t="s">
        <v>65</v>
      </c>
      <c r="J401" t="b">
        <v>0</v>
      </c>
      <c r="K401">
        <v>60</v>
      </c>
      <c r="L401">
        <v>4</v>
      </c>
      <c r="M401">
        <v>2026</v>
      </c>
      <c r="N401">
        <v>2</v>
      </c>
      <c r="O401">
        <v>2</v>
      </c>
      <c r="P401">
        <v>2026</v>
      </c>
      <c r="Q401">
        <v>5</v>
      </c>
      <c r="R401" t="s">
        <v>40</v>
      </c>
      <c r="S401" t="s">
        <v>67</v>
      </c>
      <c r="T401" t="s">
        <v>42</v>
      </c>
      <c r="U401" t="s">
        <v>40</v>
      </c>
      <c r="V401" t="s">
        <v>82</v>
      </c>
      <c r="W401" t="s">
        <v>83</v>
      </c>
      <c r="X401" t="s">
        <v>76</v>
      </c>
      <c r="Y401">
        <v>100</v>
      </c>
      <c r="Z401" t="s">
        <v>46</v>
      </c>
      <c r="AA401" t="s">
        <v>47</v>
      </c>
      <c r="AB401" s="1">
        <v>46134</v>
      </c>
      <c r="AC401" t="s">
        <v>40</v>
      </c>
      <c r="AD401" t="s">
        <v>40</v>
      </c>
      <c r="AE401" t="s">
        <v>69</v>
      </c>
      <c r="AF401" t="s">
        <v>40</v>
      </c>
      <c r="AG401">
        <v>0</v>
      </c>
      <c r="AH401" t="s">
        <v>61</v>
      </c>
    </row>
    <row r="402" spans="1:34" x14ac:dyDescent="0.3">
      <c r="A402" t="s">
        <v>810</v>
      </c>
      <c r="B402" t="s">
        <v>811</v>
      </c>
      <c r="C402" t="s">
        <v>97</v>
      </c>
      <c r="D402" t="s">
        <v>37</v>
      </c>
      <c r="E402" s="1">
        <v>45925</v>
      </c>
      <c r="F402" s="1">
        <v>45955</v>
      </c>
      <c r="G402" t="s">
        <v>81</v>
      </c>
      <c r="H402">
        <v>9176</v>
      </c>
      <c r="I402" t="s">
        <v>39</v>
      </c>
      <c r="J402" t="b">
        <v>0</v>
      </c>
      <c r="K402">
        <v>30</v>
      </c>
      <c r="L402">
        <v>10</v>
      </c>
      <c r="M402">
        <v>2025</v>
      </c>
      <c r="N402">
        <v>5</v>
      </c>
      <c r="O402">
        <v>9</v>
      </c>
      <c r="P402">
        <v>2025</v>
      </c>
      <c r="Q402">
        <v>3</v>
      </c>
      <c r="R402" t="s">
        <v>66</v>
      </c>
      <c r="S402" t="s">
        <v>55</v>
      </c>
      <c r="T402" t="s">
        <v>139</v>
      </c>
      <c r="U402" t="s">
        <v>40</v>
      </c>
      <c r="V402" t="s">
        <v>98</v>
      </c>
      <c r="W402" t="s">
        <v>99</v>
      </c>
      <c r="X402" t="s">
        <v>76</v>
      </c>
      <c r="Y402">
        <v>80</v>
      </c>
      <c r="Z402" t="s">
        <v>46</v>
      </c>
      <c r="AA402" t="s">
        <v>47</v>
      </c>
      <c r="AB402" s="1">
        <v>45955</v>
      </c>
      <c r="AC402" t="s">
        <v>66</v>
      </c>
      <c r="AD402" t="s">
        <v>40</v>
      </c>
      <c r="AE402" t="s">
        <v>60</v>
      </c>
      <c r="AF402" t="s">
        <v>40</v>
      </c>
      <c r="AG402">
        <v>0</v>
      </c>
      <c r="AH402" t="s">
        <v>70</v>
      </c>
    </row>
    <row r="403" spans="1:34" x14ac:dyDescent="0.3">
      <c r="A403" t="s">
        <v>812</v>
      </c>
      <c r="B403" t="s">
        <v>579</v>
      </c>
      <c r="C403" t="s">
        <v>129</v>
      </c>
      <c r="D403" t="s">
        <v>104</v>
      </c>
      <c r="E403" s="1">
        <v>46314</v>
      </c>
      <c r="F403" s="1">
        <v>46317</v>
      </c>
      <c r="G403" t="s">
        <v>41</v>
      </c>
      <c r="H403">
        <v>7358</v>
      </c>
      <c r="I403" t="s">
        <v>39</v>
      </c>
      <c r="J403" t="b">
        <v>0</v>
      </c>
      <c r="K403">
        <v>3</v>
      </c>
      <c r="L403">
        <v>10</v>
      </c>
      <c r="M403">
        <v>2026</v>
      </c>
      <c r="N403">
        <v>3</v>
      </c>
      <c r="O403">
        <v>10</v>
      </c>
      <c r="P403">
        <v>2026</v>
      </c>
      <c r="Q403">
        <v>0</v>
      </c>
      <c r="R403" t="s">
        <v>40</v>
      </c>
      <c r="S403" t="s">
        <v>41</v>
      </c>
      <c r="T403" t="s">
        <v>123</v>
      </c>
      <c r="U403" t="s">
        <v>66</v>
      </c>
      <c r="V403" t="s">
        <v>131</v>
      </c>
      <c r="W403" t="s">
        <v>132</v>
      </c>
      <c r="X403" t="s">
        <v>45</v>
      </c>
      <c r="Y403">
        <v>110</v>
      </c>
      <c r="Z403" t="s">
        <v>107</v>
      </c>
      <c r="AA403" t="s">
        <v>108</v>
      </c>
      <c r="AB403" s="1">
        <v>46317</v>
      </c>
      <c r="AC403" t="s">
        <v>40</v>
      </c>
      <c r="AD403" t="s">
        <v>40</v>
      </c>
      <c r="AE403" t="s">
        <v>60</v>
      </c>
      <c r="AF403" t="s">
        <v>40</v>
      </c>
      <c r="AG403">
        <v>0</v>
      </c>
      <c r="AH403" t="s">
        <v>100</v>
      </c>
    </row>
    <row r="404" spans="1:34" x14ac:dyDescent="0.3">
      <c r="A404" t="s">
        <v>813</v>
      </c>
      <c r="B404" t="s">
        <v>560</v>
      </c>
      <c r="C404" t="s">
        <v>155</v>
      </c>
      <c r="D404" t="s">
        <v>37</v>
      </c>
      <c r="E404" s="1">
        <v>46078</v>
      </c>
      <c r="F404" s="1">
        <v>46138</v>
      </c>
      <c r="G404" t="s">
        <v>81</v>
      </c>
      <c r="H404">
        <v>8635</v>
      </c>
      <c r="I404" t="s">
        <v>65</v>
      </c>
      <c r="J404" t="b">
        <v>0</v>
      </c>
      <c r="K404">
        <v>60</v>
      </c>
      <c r="L404">
        <v>4</v>
      </c>
      <c r="M404">
        <v>2026</v>
      </c>
      <c r="N404">
        <v>6</v>
      </c>
      <c r="O404">
        <v>2</v>
      </c>
      <c r="P404">
        <v>2026</v>
      </c>
      <c r="Q404">
        <v>2</v>
      </c>
      <c r="R404" t="s">
        <v>66</v>
      </c>
      <c r="S404" t="s">
        <v>45</v>
      </c>
      <c r="T404" t="s">
        <v>42</v>
      </c>
      <c r="U404" t="s">
        <v>66</v>
      </c>
      <c r="V404" t="s">
        <v>156</v>
      </c>
      <c r="W404" t="s">
        <v>157</v>
      </c>
      <c r="X404" t="s">
        <v>158</v>
      </c>
      <c r="Y404">
        <v>70</v>
      </c>
      <c r="Z404" t="s">
        <v>46</v>
      </c>
      <c r="AA404" t="s">
        <v>47</v>
      </c>
      <c r="AB404" s="1">
        <v>46138</v>
      </c>
      <c r="AC404" t="s">
        <v>66</v>
      </c>
      <c r="AD404" t="s">
        <v>40</v>
      </c>
      <c r="AE404" t="s">
        <v>69</v>
      </c>
      <c r="AF404" t="s">
        <v>40</v>
      </c>
      <c r="AG404">
        <v>0</v>
      </c>
      <c r="AH404" t="s">
        <v>61</v>
      </c>
    </row>
    <row r="405" spans="1:34" x14ac:dyDescent="0.3">
      <c r="A405" t="s">
        <v>814</v>
      </c>
      <c r="B405" t="s">
        <v>815</v>
      </c>
      <c r="C405" t="s">
        <v>36</v>
      </c>
      <c r="D405" t="s">
        <v>104</v>
      </c>
      <c r="E405" s="1">
        <v>46034</v>
      </c>
      <c r="F405" s="1">
        <v>46041</v>
      </c>
      <c r="G405" t="s">
        <v>41</v>
      </c>
      <c r="H405">
        <v>8781</v>
      </c>
      <c r="I405" t="s">
        <v>39</v>
      </c>
      <c r="J405" t="b">
        <v>0</v>
      </c>
      <c r="K405">
        <v>7</v>
      </c>
      <c r="L405">
        <v>1</v>
      </c>
      <c r="M405">
        <v>2026</v>
      </c>
      <c r="N405">
        <v>0</v>
      </c>
      <c r="O405">
        <v>1</v>
      </c>
      <c r="P405">
        <v>2026</v>
      </c>
      <c r="Q405">
        <v>0</v>
      </c>
      <c r="R405" t="s">
        <v>40</v>
      </c>
      <c r="S405" t="s">
        <v>55</v>
      </c>
      <c r="T405" t="s">
        <v>113</v>
      </c>
      <c r="U405" t="s">
        <v>40</v>
      </c>
      <c r="V405" t="s">
        <v>43</v>
      </c>
      <c r="W405" t="s">
        <v>44</v>
      </c>
      <c r="X405" t="s">
        <v>45</v>
      </c>
      <c r="Y405">
        <v>150</v>
      </c>
      <c r="Z405" t="s">
        <v>107</v>
      </c>
      <c r="AA405" t="s">
        <v>108</v>
      </c>
      <c r="AB405" s="1">
        <v>46041</v>
      </c>
      <c r="AC405" t="s">
        <v>40</v>
      </c>
      <c r="AD405" t="s">
        <v>40</v>
      </c>
      <c r="AE405" t="s">
        <v>86</v>
      </c>
      <c r="AF405" t="s">
        <v>40</v>
      </c>
      <c r="AG405">
        <v>0</v>
      </c>
      <c r="AH405" t="s">
        <v>100</v>
      </c>
    </row>
    <row r="406" spans="1:34" x14ac:dyDescent="0.3">
      <c r="A406" t="s">
        <v>816</v>
      </c>
      <c r="B406" t="s">
        <v>817</v>
      </c>
      <c r="C406" t="s">
        <v>122</v>
      </c>
      <c r="D406" t="s">
        <v>90</v>
      </c>
      <c r="E406" s="1">
        <v>45926</v>
      </c>
      <c r="F406" s="1">
        <v>45986</v>
      </c>
      <c r="G406" t="s">
        <v>38</v>
      </c>
      <c r="H406">
        <v>5256</v>
      </c>
      <c r="I406" t="s">
        <v>39</v>
      </c>
      <c r="J406" t="b">
        <v>0</v>
      </c>
      <c r="K406">
        <v>60</v>
      </c>
      <c r="L406">
        <v>11</v>
      </c>
      <c r="M406">
        <v>2025</v>
      </c>
      <c r="N406">
        <v>1</v>
      </c>
      <c r="O406">
        <v>9</v>
      </c>
      <c r="P406">
        <v>2025</v>
      </c>
      <c r="Q406">
        <v>4</v>
      </c>
      <c r="R406" t="s">
        <v>40</v>
      </c>
      <c r="S406" t="s">
        <v>67</v>
      </c>
      <c r="T406" t="s">
        <v>42</v>
      </c>
      <c r="U406" t="s">
        <v>66</v>
      </c>
      <c r="V406" t="s">
        <v>124</v>
      </c>
      <c r="W406" t="s">
        <v>125</v>
      </c>
      <c r="X406" t="s">
        <v>126</v>
      </c>
      <c r="Y406">
        <v>85</v>
      </c>
      <c r="Z406" t="s">
        <v>93</v>
      </c>
      <c r="AA406" t="s">
        <v>94</v>
      </c>
      <c r="AB406" s="1">
        <v>45986</v>
      </c>
      <c r="AC406" t="s">
        <v>40</v>
      </c>
      <c r="AD406" t="s">
        <v>40</v>
      </c>
      <c r="AE406" t="s">
        <v>86</v>
      </c>
      <c r="AF406" t="s">
        <v>40</v>
      </c>
      <c r="AG406">
        <v>0</v>
      </c>
      <c r="AH406" t="s">
        <v>61</v>
      </c>
    </row>
    <row r="407" spans="1:34" x14ac:dyDescent="0.3">
      <c r="A407" t="s">
        <v>818</v>
      </c>
      <c r="B407" t="s">
        <v>729</v>
      </c>
      <c r="C407" t="s">
        <v>36</v>
      </c>
      <c r="D407" t="s">
        <v>130</v>
      </c>
      <c r="E407" s="1">
        <v>46196</v>
      </c>
      <c r="F407" s="1">
        <v>46210</v>
      </c>
      <c r="G407" t="s">
        <v>41</v>
      </c>
      <c r="H407">
        <v>5780</v>
      </c>
      <c r="I407" t="s">
        <v>39</v>
      </c>
      <c r="J407" t="b">
        <v>0</v>
      </c>
      <c r="K407">
        <v>14</v>
      </c>
      <c r="L407">
        <v>7</v>
      </c>
      <c r="M407">
        <v>2026</v>
      </c>
      <c r="N407">
        <v>1</v>
      </c>
      <c r="O407">
        <v>6</v>
      </c>
      <c r="P407">
        <v>2026</v>
      </c>
      <c r="Q407">
        <v>1</v>
      </c>
      <c r="R407" t="s">
        <v>40</v>
      </c>
      <c r="S407" t="s">
        <v>55</v>
      </c>
      <c r="T407" t="s">
        <v>113</v>
      </c>
      <c r="U407" t="s">
        <v>40</v>
      </c>
      <c r="V407" t="s">
        <v>43</v>
      </c>
      <c r="W407" t="s">
        <v>44</v>
      </c>
      <c r="X407" t="s">
        <v>45</v>
      </c>
      <c r="Y407">
        <v>150</v>
      </c>
      <c r="Z407" t="s">
        <v>133</v>
      </c>
      <c r="AA407" t="s">
        <v>134</v>
      </c>
      <c r="AB407" s="1">
        <v>46210</v>
      </c>
      <c r="AC407" t="s">
        <v>40</v>
      </c>
      <c r="AD407" t="s">
        <v>40</v>
      </c>
      <c r="AE407" t="s">
        <v>86</v>
      </c>
      <c r="AF407" t="s">
        <v>40</v>
      </c>
      <c r="AG407">
        <v>0</v>
      </c>
      <c r="AH407" t="s">
        <v>70</v>
      </c>
    </row>
    <row r="408" spans="1:34" x14ac:dyDescent="0.3">
      <c r="A408" t="s">
        <v>819</v>
      </c>
      <c r="B408" t="s">
        <v>820</v>
      </c>
      <c r="C408" t="s">
        <v>103</v>
      </c>
      <c r="D408" t="s">
        <v>90</v>
      </c>
      <c r="E408" s="1">
        <v>46099</v>
      </c>
      <c r="F408" s="1">
        <v>46199</v>
      </c>
      <c r="G408" t="s">
        <v>38</v>
      </c>
      <c r="H408">
        <v>4275</v>
      </c>
      <c r="I408" t="s">
        <v>54</v>
      </c>
      <c r="J408" t="b">
        <v>0</v>
      </c>
      <c r="K408">
        <v>100</v>
      </c>
      <c r="L408">
        <v>6</v>
      </c>
      <c r="M408">
        <v>2026</v>
      </c>
      <c r="N408">
        <v>4</v>
      </c>
      <c r="O408">
        <v>3</v>
      </c>
      <c r="P408">
        <v>2026</v>
      </c>
      <c r="Q408">
        <v>2</v>
      </c>
      <c r="R408" t="s">
        <v>40</v>
      </c>
      <c r="S408" t="s">
        <v>45</v>
      </c>
      <c r="T408" t="s">
        <v>42</v>
      </c>
      <c r="U408" t="s">
        <v>66</v>
      </c>
      <c r="V408" t="s">
        <v>105</v>
      </c>
      <c r="W408" t="s">
        <v>106</v>
      </c>
      <c r="X408" t="s">
        <v>45</v>
      </c>
      <c r="Y408">
        <v>140</v>
      </c>
      <c r="Z408" t="s">
        <v>93</v>
      </c>
      <c r="AA408" t="s">
        <v>94</v>
      </c>
      <c r="AB408" s="1">
        <v>46199</v>
      </c>
      <c r="AC408" t="s">
        <v>40</v>
      </c>
      <c r="AD408" t="s">
        <v>40</v>
      </c>
      <c r="AE408" t="s">
        <v>60</v>
      </c>
      <c r="AF408" t="s">
        <v>40</v>
      </c>
      <c r="AG408">
        <v>1</v>
      </c>
      <c r="AH408" t="s">
        <v>49</v>
      </c>
    </row>
    <row r="409" spans="1:34" x14ac:dyDescent="0.3">
      <c r="A409" t="s">
        <v>821</v>
      </c>
      <c r="B409" t="s">
        <v>822</v>
      </c>
      <c r="C409" t="s">
        <v>169</v>
      </c>
      <c r="D409" t="s">
        <v>90</v>
      </c>
      <c r="E409" s="1">
        <v>46290</v>
      </c>
      <c r="F409" s="1">
        <v>46304</v>
      </c>
      <c r="G409" t="s">
        <v>38</v>
      </c>
      <c r="H409">
        <v>5376</v>
      </c>
      <c r="I409" t="s">
        <v>212</v>
      </c>
      <c r="J409" t="b">
        <v>0</v>
      </c>
      <c r="K409">
        <v>14</v>
      </c>
      <c r="L409">
        <v>10</v>
      </c>
      <c r="M409">
        <v>2026</v>
      </c>
      <c r="N409">
        <v>4</v>
      </c>
      <c r="O409">
        <v>9</v>
      </c>
      <c r="P409">
        <v>2026</v>
      </c>
      <c r="Q409">
        <v>4</v>
      </c>
      <c r="R409" t="s">
        <v>40</v>
      </c>
      <c r="S409" t="s">
        <v>45</v>
      </c>
      <c r="T409" t="s">
        <v>42</v>
      </c>
      <c r="U409" t="s">
        <v>40</v>
      </c>
      <c r="V409" t="s">
        <v>170</v>
      </c>
      <c r="W409" t="s">
        <v>171</v>
      </c>
      <c r="X409" t="s">
        <v>126</v>
      </c>
      <c r="Y409">
        <v>90</v>
      </c>
      <c r="Z409" t="s">
        <v>93</v>
      </c>
      <c r="AA409" t="s">
        <v>94</v>
      </c>
      <c r="AB409" s="1">
        <v>46304</v>
      </c>
      <c r="AC409" t="s">
        <v>40</v>
      </c>
      <c r="AD409" t="s">
        <v>40</v>
      </c>
      <c r="AE409" t="s">
        <v>60</v>
      </c>
      <c r="AF409" t="s">
        <v>40</v>
      </c>
      <c r="AG409">
        <v>0</v>
      </c>
      <c r="AH409" t="s">
        <v>70</v>
      </c>
    </row>
    <row r="410" spans="1:34" x14ac:dyDescent="0.3">
      <c r="A410" t="s">
        <v>823</v>
      </c>
      <c r="B410" t="s">
        <v>824</v>
      </c>
      <c r="C410" t="s">
        <v>129</v>
      </c>
      <c r="D410" t="s">
        <v>90</v>
      </c>
      <c r="E410" s="1">
        <v>46050</v>
      </c>
      <c r="F410" s="1">
        <v>46110</v>
      </c>
      <c r="G410" t="s">
        <v>81</v>
      </c>
      <c r="H410">
        <v>6981</v>
      </c>
      <c r="I410" t="s">
        <v>65</v>
      </c>
      <c r="J410" t="b">
        <v>0</v>
      </c>
      <c r="K410">
        <v>60</v>
      </c>
      <c r="L410">
        <v>3</v>
      </c>
      <c r="M410">
        <v>2026</v>
      </c>
      <c r="N410">
        <v>6</v>
      </c>
      <c r="O410">
        <v>1</v>
      </c>
      <c r="P410">
        <v>2026</v>
      </c>
      <c r="Q410">
        <v>2</v>
      </c>
      <c r="R410" t="s">
        <v>66</v>
      </c>
      <c r="S410" t="s">
        <v>41</v>
      </c>
      <c r="T410" t="s">
        <v>42</v>
      </c>
      <c r="U410" t="s">
        <v>66</v>
      </c>
      <c r="V410" t="s">
        <v>131</v>
      </c>
      <c r="W410" t="s">
        <v>132</v>
      </c>
      <c r="X410" t="s">
        <v>45</v>
      </c>
      <c r="Y410">
        <v>110</v>
      </c>
      <c r="Z410" t="s">
        <v>93</v>
      </c>
      <c r="AA410" t="s">
        <v>94</v>
      </c>
      <c r="AB410" s="1">
        <v>46110</v>
      </c>
      <c r="AC410" t="s">
        <v>66</v>
      </c>
      <c r="AD410" t="s">
        <v>40</v>
      </c>
      <c r="AE410" t="s">
        <v>60</v>
      </c>
      <c r="AF410" t="s">
        <v>40</v>
      </c>
      <c r="AG410">
        <v>0</v>
      </c>
      <c r="AH410" t="s">
        <v>61</v>
      </c>
    </row>
    <row r="411" spans="1:34" x14ac:dyDescent="0.3">
      <c r="A411" t="s">
        <v>825</v>
      </c>
      <c r="B411" t="s">
        <v>806</v>
      </c>
      <c r="C411" t="s">
        <v>129</v>
      </c>
      <c r="D411" t="s">
        <v>80</v>
      </c>
      <c r="E411" s="1">
        <v>45704</v>
      </c>
      <c r="F411" s="1">
        <v>45705</v>
      </c>
      <c r="G411" t="s">
        <v>41</v>
      </c>
      <c r="H411">
        <v>8965</v>
      </c>
      <c r="I411" t="s">
        <v>39</v>
      </c>
      <c r="J411" t="b">
        <v>0</v>
      </c>
      <c r="K411">
        <v>1</v>
      </c>
      <c r="L411">
        <v>2</v>
      </c>
      <c r="M411">
        <v>2025</v>
      </c>
      <c r="N411">
        <v>0</v>
      </c>
      <c r="O411">
        <v>2</v>
      </c>
      <c r="P411">
        <v>2025</v>
      </c>
      <c r="Q411">
        <v>6</v>
      </c>
      <c r="R411" t="s">
        <v>40</v>
      </c>
      <c r="S411" t="s">
        <v>41</v>
      </c>
      <c r="T411" t="s">
        <v>42</v>
      </c>
      <c r="U411" t="s">
        <v>66</v>
      </c>
      <c r="V411" t="s">
        <v>131</v>
      </c>
      <c r="W411" t="s">
        <v>132</v>
      </c>
      <c r="X411" t="s">
        <v>45</v>
      </c>
      <c r="Y411">
        <v>110</v>
      </c>
      <c r="Z411" t="s">
        <v>84</v>
      </c>
      <c r="AA411" t="s">
        <v>85</v>
      </c>
      <c r="AB411" s="1">
        <v>45705</v>
      </c>
      <c r="AC411" t="s">
        <v>40</v>
      </c>
      <c r="AD411" t="s">
        <v>40</v>
      </c>
      <c r="AE411" t="s">
        <v>60</v>
      </c>
      <c r="AF411" t="s">
        <v>40</v>
      </c>
      <c r="AG411">
        <v>0</v>
      </c>
      <c r="AH411" t="s">
        <v>100</v>
      </c>
    </row>
    <row r="412" spans="1:34" x14ac:dyDescent="0.3">
      <c r="A412" t="s">
        <v>826</v>
      </c>
      <c r="B412" t="s">
        <v>563</v>
      </c>
      <c r="C412" t="s">
        <v>146</v>
      </c>
      <c r="D412" t="s">
        <v>104</v>
      </c>
      <c r="E412" s="1">
        <v>46005</v>
      </c>
      <c r="F412" s="1">
        <v>46105</v>
      </c>
      <c r="G412" t="s">
        <v>38</v>
      </c>
      <c r="H412">
        <v>5672</v>
      </c>
      <c r="I412" t="s">
        <v>212</v>
      </c>
      <c r="J412" t="b">
        <v>0</v>
      </c>
      <c r="K412">
        <v>100</v>
      </c>
      <c r="L412">
        <v>3</v>
      </c>
      <c r="M412">
        <v>2026</v>
      </c>
      <c r="N412">
        <v>1</v>
      </c>
      <c r="O412">
        <v>12</v>
      </c>
      <c r="P412">
        <v>2025</v>
      </c>
      <c r="Q412">
        <v>6</v>
      </c>
      <c r="R412" t="s">
        <v>40</v>
      </c>
      <c r="S412" t="s">
        <v>45</v>
      </c>
      <c r="T412" t="s">
        <v>48</v>
      </c>
      <c r="U412" t="s">
        <v>40</v>
      </c>
      <c r="V412" t="s">
        <v>147</v>
      </c>
      <c r="W412" t="s">
        <v>148</v>
      </c>
      <c r="X412" t="s">
        <v>45</v>
      </c>
      <c r="Y412">
        <v>160</v>
      </c>
      <c r="Z412" t="s">
        <v>107</v>
      </c>
      <c r="AA412" t="s">
        <v>108</v>
      </c>
      <c r="AB412" s="1">
        <v>46105</v>
      </c>
      <c r="AC412" t="s">
        <v>40</v>
      </c>
      <c r="AD412" t="s">
        <v>40</v>
      </c>
      <c r="AE412" t="s">
        <v>60</v>
      </c>
      <c r="AF412" t="s">
        <v>40</v>
      </c>
      <c r="AG412">
        <v>0</v>
      </c>
      <c r="AH412" t="s">
        <v>49</v>
      </c>
    </row>
    <row r="413" spans="1:34" x14ac:dyDescent="0.3">
      <c r="A413" t="s">
        <v>827</v>
      </c>
      <c r="B413" t="s">
        <v>828</v>
      </c>
      <c r="C413" t="s">
        <v>169</v>
      </c>
      <c r="D413" t="s">
        <v>37</v>
      </c>
      <c r="E413" s="1">
        <v>46027</v>
      </c>
      <c r="F413" s="1">
        <v>46177</v>
      </c>
      <c r="G413" t="s">
        <v>81</v>
      </c>
      <c r="H413">
        <v>10735</v>
      </c>
      <c r="I413" t="s">
        <v>54</v>
      </c>
      <c r="J413" t="b">
        <v>0</v>
      </c>
      <c r="K413">
        <v>150</v>
      </c>
      <c r="L413">
        <v>6</v>
      </c>
      <c r="M413">
        <v>2026</v>
      </c>
      <c r="N413">
        <v>3</v>
      </c>
      <c r="O413">
        <v>1</v>
      </c>
      <c r="P413">
        <v>2026</v>
      </c>
      <c r="Q413">
        <v>0</v>
      </c>
      <c r="R413" t="s">
        <v>40</v>
      </c>
      <c r="S413" t="s">
        <v>55</v>
      </c>
      <c r="T413" t="s">
        <v>286</v>
      </c>
      <c r="U413" t="s">
        <v>40</v>
      </c>
      <c r="V413" t="s">
        <v>170</v>
      </c>
      <c r="W413" t="s">
        <v>171</v>
      </c>
      <c r="X413" t="s">
        <v>126</v>
      </c>
      <c r="Y413">
        <v>90</v>
      </c>
      <c r="Z413" t="s">
        <v>46</v>
      </c>
      <c r="AA413" t="s">
        <v>47</v>
      </c>
      <c r="AB413" s="1">
        <v>46177</v>
      </c>
      <c r="AC413" t="s">
        <v>40</v>
      </c>
      <c r="AD413" t="s">
        <v>40</v>
      </c>
      <c r="AE413" t="s">
        <v>60</v>
      </c>
      <c r="AF413" t="s">
        <v>40</v>
      </c>
      <c r="AG413">
        <v>1</v>
      </c>
      <c r="AH413" t="s">
        <v>49</v>
      </c>
    </row>
    <row r="414" spans="1:34" x14ac:dyDescent="0.3">
      <c r="A414" t="s">
        <v>829</v>
      </c>
      <c r="B414" t="s">
        <v>515</v>
      </c>
      <c r="C414" t="s">
        <v>97</v>
      </c>
      <c r="D414" t="s">
        <v>80</v>
      </c>
      <c r="E414" s="1">
        <v>46331</v>
      </c>
      <c r="F414" s="1">
        <v>46361</v>
      </c>
      <c r="G414" t="s">
        <v>41</v>
      </c>
      <c r="H414">
        <v>5941</v>
      </c>
      <c r="I414" t="s">
        <v>39</v>
      </c>
      <c r="J414" t="b">
        <v>0</v>
      </c>
      <c r="K414">
        <v>30</v>
      </c>
      <c r="L414">
        <v>12</v>
      </c>
      <c r="M414">
        <v>2026</v>
      </c>
      <c r="N414">
        <v>5</v>
      </c>
      <c r="O414">
        <v>11</v>
      </c>
      <c r="P414">
        <v>2026</v>
      </c>
      <c r="Q414">
        <v>3</v>
      </c>
      <c r="R414" t="s">
        <v>66</v>
      </c>
      <c r="S414" t="s">
        <v>45</v>
      </c>
      <c r="T414" t="s">
        <v>42</v>
      </c>
      <c r="U414" t="s">
        <v>40</v>
      </c>
      <c r="V414" t="s">
        <v>98</v>
      </c>
      <c r="W414" t="s">
        <v>99</v>
      </c>
      <c r="X414" t="s">
        <v>76</v>
      </c>
      <c r="Y414">
        <v>80</v>
      </c>
      <c r="Z414" t="s">
        <v>84</v>
      </c>
      <c r="AA414" t="s">
        <v>85</v>
      </c>
      <c r="AB414" s="1">
        <v>46361</v>
      </c>
      <c r="AC414" t="s">
        <v>66</v>
      </c>
      <c r="AD414" t="s">
        <v>40</v>
      </c>
      <c r="AE414" t="s">
        <v>69</v>
      </c>
      <c r="AF414" t="s">
        <v>40</v>
      </c>
      <c r="AG414">
        <v>0</v>
      </c>
      <c r="AH414" t="s">
        <v>70</v>
      </c>
    </row>
    <row r="415" spans="1:34" x14ac:dyDescent="0.3">
      <c r="A415" t="s">
        <v>830</v>
      </c>
      <c r="B415" t="s">
        <v>831</v>
      </c>
      <c r="C415" t="s">
        <v>103</v>
      </c>
      <c r="D415" t="s">
        <v>130</v>
      </c>
      <c r="E415" s="1">
        <v>46164</v>
      </c>
      <c r="F415" s="1">
        <v>46165</v>
      </c>
      <c r="G415" t="s">
        <v>81</v>
      </c>
      <c r="H415">
        <v>10538</v>
      </c>
      <c r="I415" t="s">
        <v>39</v>
      </c>
      <c r="J415" t="b">
        <v>0</v>
      </c>
      <c r="K415">
        <v>1</v>
      </c>
      <c r="L415">
        <v>5</v>
      </c>
      <c r="M415">
        <v>2026</v>
      </c>
      <c r="N415">
        <v>5</v>
      </c>
      <c r="O415">
        <v>5</v>
      </c>
      <c r="P415">
        <v>2026</v>
      </c>
      <c r="Q415">
        <v>4</v>
      </c>
      <c r="R415" t="s">
        <v>66</v>
      </c>
      <c r="S415" t="s">
        <v>41</v>
      </c>
      <c r="T415" t="s">
        <v>48</v>
      </c>
      <c r="U415" t="s">
        <v>40</v>
      </c>
      <c r="V415" t="s">
        <v>105</v>
      </c>
      <c r="W415" t="s">
        <v>106</v>
      </c>
      <c r="X415" t="s">
        <v>45</v>
      </c>
      <c r="Y415">
        <v>140</v>
      </c>
      <c r="Z415" t="s">
        <v>133</v>
      </c>
      <c r="AA415" t="s">
        <v>134</v>
      </c>
      <c r="AB415" s="1">
        <v>46165</v>
      </c>
      <c r="AC415" t="s">
        <v>66</v>
      </c>
      <c r="AD415" t="s">
        <v>40</v>
      </c>
      <c r="AE415" t="s">
        <v>69</v>
      </c>
      <c r="AF415" t="s">
        <v>40</v>
      </c>
      <c r="AG415">
        <v>0</v>
      </c>
      <c r="AH415" t="s">
        <v>100</v>
      </c>
    </row>
    <row r="416" spans="1:34" x14ac:dyDescent="0.3">
      <c r="A416" t="s">
        <v>832</v>
      </c>
      <c r="B416" t="s">
        <v>833</v>
      </c>
      <c r="C416" t="s">
        <v>73</v>
      </c>
      <c r="D416" t="s">
        <v>53</v>
      </c>
      <c r="E416" s="1">
        <v>45842</v>
      </c>
      <c r="F416" s="1">
        <v>45942</v>
      </c>
      <c r="G416" t="s">
        <v>81</v>
      </c>
      <c r="H416">
        <v>8239</v>
      </c>
      <c r="I416" t="s">
        <v>54</v>
      </c>
      <c r="J416" t="b">
        <v>0</v>
      </c>
      <c r="K416">
        <v>100</v>
      </c>
      <c r="L416">
        <v>10</v>
      </c>
      <c r="M416">
        <v>2025</v>
      </c>
      <c r="N416">
        <v>6</v>
      </c>
      <c r="O416">
        <v>7</v>
      </c>
      <c r="P416">
        <v>2025</v>
      </c>
      <c r="Q416">
        <v>4</v>
      </c>
      <c r="R416" t="s">
        <v>66</v>
      </c>
      <c r="S416" t="s">
        <v>67</v>
      </c>
      <c r="T416" t="s">
        <v>286</v>
      </c>
      <c r="U416" t="s">
        <v>66</v>
      </c>
      <c r="V416" t="s">
        <v>74</v>
      </c>
      <c r="W416" t="s">
        <v>75</v>
      </c>
      <c r="X416" t="s">
        <v>76</v>
      </c>
      <c r="Y416">
        <v>75</v>
      </c>
      <c r="Z416" t="s">
        <v>58</v>
      </c>
      <c r="AA416" t="s">
        <v>59</v>
      </c>
      <c r="AB416" s="1">
        <v>45942</v>
      </c>
      <c r="AC416" t="s">
        <v>66</v>
      </c>
      <c r="AD416" t="s">
        <v>40</v>
      </c>
      <c r="AE416" t="s">
        <v>60</v>
      </c>
      <c r="AF416" t="s">
        <v>40</v>
      </c>
      <c r="AG416">
        <v>1</v>
      </c>
      <c r="AH416" t="s">
        <v>49</v>
      </c>
    </row>
    <row r="417" spans="1:34" x14ac:dyDescent="0.3">
      <c r="A417" t="s">
        <v>834</v>
      </c>
      <c r="B417" t="s">
        <v>835</v>
      </c>
      <c r="C417" t="s">
        <v>97</v>
      </c>
      <c r="D417" t="s">
        <v>104</v>
      </c>
      <c r="E417" s="1">
        <v>45736</v>
      </c>
      <c r="F417" s="1">
        <v>45743</v>
      </c>
      <c r="G417" t="s">
        <v>41</v>
      </c>
      <c r="H417">
        <v>6164</v>
      </c>
      <c r="I417" t="s">
        <v>39</v>
      </c>
      <c r="J417" t="b">
        <v>0</v>
      </c>
      <c r="K417">
        <v>7</v>
      </c>
      <c r="L417">
        <v>3</v>
      </c>
      <c r="M417">
        <v>2025</v>
      </c>
      <c r="N417">
        <v>3</v>
      </c>
      <c r="O417">
        <v>3</v>
      </c>
      <c r="P417">
        <v>2025</v>
      </c>
      <c r="Q417">
        <v>3</v>
      </c>
      <c r="R417" t="s">
        <v>40</v>
      </c>
      <c r="S417" t="s">
        <v>45</v>
      </c>
      <c r="T417" t="s">
        <v>42</v>
      </c>
      <c r="U417" t="s">
        <v>66</v>
      </c>
      <c r="V417" t="s">
        <v>98</v>
      </c>
      <c r="W417" t="s">
        <v>99</v>
      </c>
      <c r="X417" t="s">
        <v>76</v>
      </c>
      <c r="Y417">
        <v>80</v>
      </c>
      <c r="Z417" t="s">
        <v>107</v>
      </c>
      <c r="AA417" t="s">
        <v>108</v>
      </c>
      <c r="AB417" s="1">
        <v>45743</v>
      </c>
      <c r="AC417" t="s">
        <v>40</v>
      </c>
      <c r="AD417" t="s">
        <v>40</v>
      </c>
      <c r="AE417" t="s">
        <v>60</v>
      </c>
      <c r="AF417" t="s">
        <v>40</v>
      </c>
      <c r="AG417">
        <v>0</v>
      </c>
      <c r="AH417" t="s">
        <v>100</v>
      </c>
    </row>
    <row r="418" spans="1:34" x14ac:dyDescent="0.3">
      <c r="A418" t="s">
        <v>836</v>
      </c>
      <c r="B418" t="s">
        <v>441</v>
      </c>
      <c r="C418" t="s">
        <v>36</v>
      </c>
      <c r="D418" t="s">
        <v>53</v>
      </c>
      <c r="E418" s="1">
        <v>45815</v>
      </c>
      <c r="F418" s="1">
        <v>45816</v>
      </c>
      <c r="G418" t="s">
        <v>41</v>
      </c>
      <c r="H418">
        <v>38475</v>
      </c>
      <c r="I418" t="s">
        <v>212</v>
      </c>
      <c r="J418" t="b">
        <v>0</v>
      </c>
      <c r="K418">
        <v>1</v>
      </c>
      <c r="L418">
        <v>6</v>
      </c>
      <c r="M418">
        <v>2025</v>
      </c>
      <c r="N418">
        <v>6</v>
      </c>
      <c r="O418">
        <v>6</v>
      </c>
      <c r="P418">
        <v>2025</v>
      </c>
      <c r="Q418">
        <v>5</v>
      </c>
      <c r="R418" t="s">
        <v>66</v>
      </c>
      <c r="S418" t="s">
        <v>67</v>
      </c>
      <c r="T418" t="s">
        <v>42</v>
      </c>
      <c r="U418" t="s">
        <v>66</v>
      </c>
      <c r="V418" t="s">
        <v>43</v>
      </c>
      <c r="W418" t="s">
        <v>44</v>
      </c>
      <c r="X418" t="s">
        <v>45</v>
      </c>
      <c r="Y418">
        <v>150</v>
      </c>
      <c r="Z418" t="s">
        <v>58</v>
      </c>
      <c r="AA418" t="s">
        <v>59</v>
      </c>
      <c r="AB418" s="1">
        <v>45816</v>
      </c>
      <c r="AC418" t="s">
        <v>66</v>
      </c>
      <c r="AD418" t="s">
        <v>40</v>
      </c>
      <c r="AE418" t="s">
        <v>60</v>
      </c>
      <c r="AF418" t="s">
        <v>40</v>
      </c>
      <c r="AG418">
        <v>0</v>
      </c>
      <c r="AH418" t="s">
        <v>100</v>
      </c>
    </row>
    <row r="419" spans="1:34" x14ac:dyDescent="0.3">
      <c r="A419" t="s">
        <v>837</v>
      </c>
      <c r="B419" t="s">
        <v>552</v>
      </c>
      <c r="C419" t="s">
        <v>89</v>
      </c>
      <c r="D419" t="s">
        <v>37</v>
      </c>
      <c r="E419" s="1">
        <v>46240</v>
      </c>
      <c r="F419" s="1">
        <v>46243</v>
      </c>
      <c r="G419" t="s">
        <v>64</v>
      </c>
      <c r="H419">
        <v>2861</v>
      </c>
      <c r="I419" t="s">
        <v>39</v>
      </c>
      <c r="J419" t="b">
        <v>0</v>
      </c>
      <c r="K419">
        <v>3</v>
      </c>
      <c r="L419">
        <v>8</v>
      </c>
      <c r="M419">
        <v>2026</v>
      </c>
      <c r="N419">
        <v>6</v>
      </c>
      <c r="O419">
        <v>8</v>
      </c>
      <c r="P419">
        <v>2026</v>
      </c>
      <c r="Q419">
        <v>3</v>
      </c>
      <c r="R419" t="s">
        <v>66</v>
      </c>
      <c r="S419" t="s">
        <v>55</v>
      </c>
      <c r="T419" t="s">
        <v>42</v>
      </c>
      <c r="U419" t="s">
        <v>40</v>
      </c>
      <c r="V419" t="s">
        <v>91</v>
      </c>
      <c r="W419" t="s">
        <v>92</v>
      </c>
      <c r="X419" t="s">
        <v>76</v>
      </c>
      <c r="Y419">
        <v>65</v>
      </c>
      <c r="Z419" t="s">
        <v>46</v>
      </c>
      <c r="AA419" t="s">
        <v>47</v>
      </c>
      <c r="AB419" s="1">
        <v>46243</v>
      </c>
      <c r="AC419" t="s">
        <v>66</v>
      </c>
      <c r="AD419" t="s">
        <v>40</v>
      </c>
      <c r="AE419" t="s">
        <v>86</v>
      </c>
      <c r="AF419" t="s">
        <v>40</v>
      </c>
      <c r="AG419">
        <v>0</v>
      </c>
      <c r="AH419" t="s">
        <v>100</v>
      </c>
    </row>
    <row r="420" spans="1:34" x14ac:dyDescent="0.3">
      <c r="A420" t="s">
        <v>838</v>
      </c>
      <c r="B420" t="s">
        <v>839</v>
      </c>
      <c r="C420" t="s">
        <v>73</v>
      </c>
      <c r="D420" t="s">
        <v>104</v>
      </c>
      <c r="E420" s="1">
        <v>45749</v>
      </c>
      <c r="F420" s="1">
        <v>45750</v>
      </c>
      <c r="G420" t="s">
        <v>38</v>
      </c>
      <c r="H420">
        <v>5148</v>
      </c>
      <c r="I420" t="s">
        <v>39</v>
      </c>
      <c r="J420" t="b">
        <v>0</v>
      </c>
      <c r="K420">
        <v>1</v>
      </c>
      <c r="L420">
        <v>4</v>
      </c>
      <c r="M420">
        <v>2025</v>
      </c>
      <c r="N420">
        <v>3</v>
      </c>
      <c r="O420">
        <v>4</v>
      </c>
      <c r="P420">
        <v>2025</v>
      </c>
      <c r="Q420">
        <v>2</v>
      </c>
      <c r="R420" t="s">
        <v>40</v>
      </c>
      <c r="S420" t="s">
        <v>67</v>
      </c>
      <c r="T420" t="s">
        <v>42</v>
      </c>
      <c r="U420" t="s">
        <v>40</v>
      </c>
      <c r="V420" t="s">
        <v>74</v>
      </c>
      <c r="W420" t="s">
        <v>75</v>
      </c>
      <c r="X420" t="s">
        <v>76</v>
      </c>
      <c r="Y420">
        <v>75</v>
      </c>
      <c r="Z420" t="s">
        <v>107</v>
      </c>
      <c r="AA420" t="s">
        <v>108</v>
      </c>
      <c r="AB420" s="1">
        <v>45750</v>
      </c>
      <c r="AC420" t="s">
        <v>40</v>
      </c>
      <c r="AD420" t="s">
        <v>40</v>
      </c>
      <c r="AE420" t="s">
        <v>69</v>
      </c>
      <c r="AF420" t="s">
        <v>40</v>
      </c>
      <c r="AG420">
        <v>0</v>
      </c>
      <c r="AH420" t="s">
        <v>100</v>
      </c>
    </row>
    <row r="421" spans="1:34" x14ac:dyDescent="0.3">
      <c r="A421" t="s">
        <v>840</v>
      </c>
      <c r="B421" t="s">
        <v>121</v>
      </c>
      <c r="C421" t="s">
        <v>103</v>
      </c>
      <c r="D421" t="s">
        <v>37</v>
      </c>
      <c r="E421" s="1">
        <v>45975</v>
      </c>
      <c r="F421" s="1">
        <v>46075</v>
      </c>
      <c r="G421" t="s">
        <v>38</v>
      </c>
      <c r="H421">
        <v>3893</v>
      </c>
      <c r="I421" t="s">
        <v>39</v>
      </c>
      <c r="J421" t="b">
        <v>0</v>
      </c>
      <c r="K421">
        <v>100</v>
      </c>
      <c r="L421">
        <v>2</v>
      </c>
      <c r="M421">
        <v>2026</v>
      </c>
      <c r="N421">
        <v>6</v>
      </c>
      <c r="O421">
        <v>11</v>
      </c>
      <c r="P421">
        <v>2025</v>
      </c>
      <c r="Q421">
        <v>4</v>
      </c>
      <c r="R421" t="s">
        <v>66</v>
      </c>
      <c r="S421" t="s">
        <v>55</v>
      </c>
      <c r="T421" t="s">
        <v>123</v>
      </c>
      <c r="U421" t="s">
        <v>40</v>
      </c>
      <c r="V421" t="s">
        <v>105</v>
      </c>
      <c r="W421" t="s">
        <v>106</v>
      </c>
      <c r="X421" t="s">
        <v>45</v>
      </c>
      <c r="Y421">
        <v>140</v>
      </c>
      <c r="Z421" t="s">
        <v>46</v>
      </c>
      <c r="AA421" t="s">
        <v>47</v>
      </c>
      <c r="AB421" s="1">
        <v>46075</v>
      </c>
      <c r="AC421" t="s">
        <v>66</v>
      </c>
      <c r="AD421" t="s">
        <v>40</v>
      </c>
      <c r="AE421" t="s">
        <v>60</v>
      </c>
      <c r="AF421" t="s">
        <v>40</v>
      </c>
      <c r="AG421">
        <v>0</v>
      </c>
      <c r="AH421" t="s">
        <v>49</v>
      </c>
    </row>
    <row r="422" spans="1:34" x14ac:dyDescent="0.3">
      <c r="A422" t="s">
        <v>841</v>
      </c>
      <c r="B422" t="s">
        <v>222</v>
      </c>
      <c r="C422" t="s">
        <v>155</v>
      </c>
      <c r="D422" t="s">
        <v>80</v>
      </c>
      <c r="E422" s="1">
        <v>46091</v>
      </c>
      <c r="F422" s="1">
        <v>46094</v>
      </c>
      <c r="G422" t="s">
        <v>41</v>
      </c>
      <c r="H422">
        <v>7583</v>
      </c>
      <c r="I422" t="s">
        <v>54</v>
      </c>
      <c r="J422" t="b">
        <v>0</v>
      </c>
      <c r="K422">
        <v>3</v>
      </c>
      <c r="L422">
        <v>3</v>
      </c>
      <c r="M422">
        <v>2026</v>
      </c>
      <c r="N422">
        <v>4</v>
      </c>
      <c r="O422">
        <v>3</v>
      </c>
      <c r="P422">
        <v>2026</v>
      </c>
      <c r="Q422">
        <v>1</v>
      </c>
      <c r="R422" t="s">
        <v>40</v>
      </c>
      <c r="S422" t="s">
        <v>41</v>
      </c>
      <c r="T422" t="s">
        <v>123</v>
      </c>
      <c r="U422" t="s">
        <v>40</v>
      </c>
      <c r="V422" t="s">
        <v>156</v>
      </c>
      <c r="W422" t="s">
        <v>157</v>
      </c>
      <c r="X422" t="s">
        <v>158</v>
      </c>
      <c r="Y422">
        <v>70</v>
      </c>
      <c r="Z422" t="s">
        <v>84</v>
      </c>
      <c r="AA422" t="s">
        <v>85</v>
      </c>
      <c r="AB422" s="1">
        <v>46094</v>
      </c>
      <c r="AC422" t="s">
        <v>40</v>
      </c>
      <c r="AD422" t="s">
        <v>40</v>
      </c>
      <c r="AE422" t="s">
        <v>60</v>
      </c>
      <c r="AF422" t="s">
        <v>40</v>
      </c>
      <c r="AG422">
        <v>1</v>
      </c>
      <c r="AH422" t="s">
        <v>100</v>
      </c>
    </row>
    <row r="423" spans="1:34" x14ac:dyDescent="0.3">
      <c r="A423" t="s">
        <v>842</v>
      </c>
      <c r="B423" t="s">
        <v>843</v>
      </c>
      <c r="C423" t="s">
        <v>122</v>
      </c>
      <c r="D423" t="s">
        <v>37</v>
      </c>
      <c r="E423" s="1">
        <v>45887</v>
      </c>
      <c r="F423" s="1">
        <v>45917</v>
      </c>
      <c r="G423" t="s">
        <v>38</v>
      </c>
      <c r="H423">
        <v>5649</v>
      </c>
      <c r="I423" t="s">
        <v>65</v>
      </c>
      <c r="J423" t="b">
        <v>0</v>
      </c>
      <c r="K423">
        <v>30</v>
      </c>
      <c r="L423">
        <v>9</v>
      </c>
      <c r="M423">
        <v>2025</v>
      </c>
      <c r="N423">
        <v>2</v>
      </c>
      <c r="O423">
        <v>8</v>
      </c>
      <c r="P423">
        <v>2025</v>
      </c>
      <c r="Q423">
        <v>0</v>
      </c>
      <c r="R423" t="s">
        <v>40</v>
      </c>
      <c r="S423" t="s">
        <v>45</v>
      </c>
      <c r="T423" t="s">
        <v>68</v>
      </c>
      <c r="U423" t="s">
        <v>66</v>
      </c>
      <c r="V423" t="s">
        <v>124</v>
      </c>
      <c r="W423" t="s">
        <v>125</v>
      </c>
      <c r="X423" t="s">
        <v>126</v>
      </c>
      <c r="Y423">
        <v>85</v>
      </c>
      <c r="Z423" t="s">
        <v>46</v>
      </c>
      <c r="AA423" t="s">
        <v>47</v>
      </c>
      <c r="AB423" s="1">
        <v>45917</v>
      </c>
      <c r="AC423" t="s">
        <v>40</v>
      </c>
      <c r="AD423" t="s">
        <v>40</v>
      </c>
      <c r="AE423" t="s">
        <v>60</v>
      </c>
      <c r="AF423" t="s">
        <v>40</v>
      </c>
      <c r="AG423">
        <v>0</v>
      </c>
      <c r="AH423" t="s">
        <v>70</v>
      </c>
    </row>
    <row r="424" spans="1:34" x14ac:dyDescent="0.3">
      <c r="A424" t="s">
        <v>844</v>
      </c>
      <c r="B424" t="s">
        <v>175</v>
      </c>
      <c r="C424" t="s">
        <v>97</v>
      </c>
      <c r="D424" t="s">
        <v>90</v>
      </c>
      <c r="E424" s="1">
        <v>46358</v>
      </c>
      <c r="F424" s="1">
        <v>46458</v>
      </c>
      <c r="G424" t="s">
        <v>38</v>
      </c>
      <c r="H424">
        <v>4710</v>
      </c>
      <c r="I424" t="s">
        <v>39</v>
      </c>
      <c r="J424" t="b">
        <v>0</v>
      </c>
      <c r="K424">
        <v>100</v>
      </c>
      <c r="L424">
        <v>3</v>
      </c>
      <c r="M424">
        <v>2027</v>
      </c>
      <c r="N424">
        <v>4</v>
      </c>
      <c r="O424">
        <v>12</v>
      </c>
      <c r="P424">
        <v>2026</v>
      </c>
      <c r="Q424">
        <v>2</v>
      </c>
      <c r="R424" t="s">
        <v>40</v>
      </c>
      <c r="S424" t="s">
        <v>41</v>
      </c>
      <c r="T424" t="s">
        <v>42</v>
      </c>
      <c r="U424" t="s">
        <v>40</v>
      </c>
      <c r="V424" t="s">
        <v>98</v>
      </c>
      <c r="W424" t="s">
        <v>99</v>
      </c>
      <c r="X424" t="s">
        <v>76</v>
      </c>
      <c r="Y424">
        <v>80</v>
      </c>
      <c r="Z424" t="s">
        <v>93</v>
      </c>
      <c r="AA424" t="s">
        <v>94</v>
      </c>
      <c r="AB424" s="1"/>
      <c r="AC424" t="s">
        <v>48</v>
      </c>
      <c r="AD424" t="s">
        <v>48</v>
      </c>
      <c r="AE424" t="s">
        <v>48</v>
      </c>
      <c r="AF424" t="s">
        <v>48</v>
      </c>
      <c r="AG424">
        <v>0</v>
      </c>
      <c r="AH424" t="s">
        <v>49</v>
      </c>
    </row>
    <row r="425" spans="1:34" x14ac:dyDescent="0.3">
      <c r="A425" t="s">
        <v>845</v>
      </c>
      <c r="B425" t="s">
        <v>846</v>
      </c>
      <c r="C425" t="s">
        <v>103</v>
      </c>
      <c r="D425" t="s">
        <v>104</v>
      </c>
      <c r="E425" s="1">
        <v>45754</v>
      </c>
      <c r="F425" s="1">
        <v>45768</v>
      </c>
      <c r="G425" t="s">
        <v>81</v>
      </c>
      <c r="H425">
        <v>7169</v>
      </c>
      <c r="I425" t="s">
        <v>54</v>
      </c>
      <c r="J425" t="b">
        <v>0</v>
      </c>
      <c r="K425">
        <v>14</v>
      </c>
      <c r="L425">
        <v>4</v>
      </c>
      <c r="M425">
        <v>2025</v>
      </c>
      <c r="N425">
        <v>0</v>
      </c>
      <c r="O425">
        <v>4</v>
      </c>
      <c r="P425">
        <v>2025</v>
      </c>
      <c r="Q425">
        <v>0</v>
      </c>
      <c r="R425" t="s">
        <v>40</v>
      </c>
      <c r="S425" t="s">
        <v>45</v>
      </c>
      <c r="T425" t="s">
        <v>123</v>
      </c>
      <c r="U425" t="s">
        <v>40</v>
      </c>
      <c r="V425" t="s">
        <v>105</v>
      </c>
      <c r="W425" t="s">
        <v>106</v>
      </c>
      <c r="X425" t="s">
        <v>45</v>
      </c>
      <c r="Y425">
        <v>140</v>
      </c>
      <c r="Z425" t="s">
        <v>107</v>
      </c>
      <c r="AA425" t="s">
        <v>108</v>
      </c>
      <c r="AB425" s="1">
        <v>45768</v>
      </c>
      <c r="AC425" t="s">
        <v>40</v>
      </c>
      <c r="AD425" t="s">
        <v>40</v>
      </c>
      <c r="AE425" t="s">
        <v>69</v>
      </c>
      <c r="AF425" t="s">
        <v>40</v>
      </c>
      <c r="AG425">
        <v>1</v>
      </c>
      <c r="AH425" t="s">
        <v>70</v>
      </c>
    </row>
    <row r="426" spans="1:34" x14ac:dyDescent="0.3">
      <c r="A426" t="s">
        <v>847</v>
      </c>
      <c r="B426" t="s">
        <v>848</v>
      </c>
      <c r="C426" t="s">
        <v>97</v>
      </c>
      <c r="D426" t="s">
        <v>90</v>
      </c>
      <c r="E426" s="1">
        <v>46060</v>
      </c>
      <c r="F426" s="1">
        <v>46061</v>
      </c>
      <c r="G426" t="s">
        <v>41</v>
      </c>
      <c r="H426">
        <v>8102</v>
      </c>
      <c r="I426" t="s">
        <v>39</v>
      </c>
      <c r="J426" t="b">
        <v>0</v>
      </c>
      <c r="K426">
        <v>1</v>
      </c>
      <c r="L426">
        <v>2</v>
      </c>
      <c r="M426">
        <v>2026</v>
      </c>
      <c r="N426">
        <v>6</v>
      </c>
      <c r="O426">
        <v>2</v>
      </c>
      <c r="P426">
        <v>2026</v>
      </c>
      <c r="Q426">
        <v>5</v>
      </c>
      <c r="R426" t="s">
        <v>66</v>
      </c>
      <c r="S426" t="s">
        <v>55</v>
      </c>
      <c r="T426" t="s">
        <v>42</v>
      </c>
      <c r="U426" t="s">
        <v>40</v>
      </c>
      <c r="V426" t="s">
        <v>98</v>
      </c>
      <c r="W426" t="s">
        <v>99</v>
      </c>
      <c r="X426" t="s">
        <v>76</v>
      </c>
      <c r="Y426">
        <v>80</v>
      </c>
      <c r="Z426" t="s">
        <v>93</v>
      </c>
      <c r="AA426" t="s">
        <v>94</v>
      </c>
      <c r="AB426" s="1">
        <v>46061</v>
      </c>
      <c r="AC426" t="s">
        <v>66</v>
      </c>
      <c r="AD426" t="s">
        <v>40</v>
      </c>
      <c r="AE426" t="s">
        <v>60</v>
      </c>
      <c r="AF426" t="s">
        <v>40</v>
      </c>
      <c r="AG426">
        <v>0</v>
      </c>
      <c r="AH426" t="s">
        <v>100</v>
      </c>
    </row>
    <row r="427" spans="1:34" x14ac:dyDescent="0.3">
      <c r="A427" t="s">
        <v>849</v>
      </c>
      <c r="B427" t="s">
        <v>850</v>
      </c>
      <c r="C427" t="s">
        <v>73</v>
      </c>
      <c r="D427" t="s">
        <v>90</v>
      </c>
      <c r="E427" s="1">
        <v>45738</v>
      </c>
      <c r="F427" s="1">
        <v>45798</v>
      </c>
      <c r="G427" t="s">
        <v>81</v>
      </c>
      <c r="H427">
        <v>6646</v>
      </c>
      <c r="I427" t="s">
        <v>54</v>
      </c>
      <c r="J427" t="b">
        <v>0</v>
      </c>
      <c r="K427">
        <v>60</v>
      </c>
      <c r="L427">
        <v>5</v>
      </c>
      <c r="M427">
        <v>2025</v>
      </c>
      <c r="N427">
        <v>2</v>
      </c>
      <c r="O427">
        <v>3</v>
      </c>
      <c r="P427">
        <v>2025</v>
      </c>
      <c r="Q427">
        <v>5</v>
      </c>
      <c r="R427" t="s">
        <v>40</v>
      </c>
      <c r="S427" t="s">
        <v>67</v>
      </c>
      <c r="T427" t="s">
        <v>42</v>
      </c>
      <c r="U427" t="s">
        <v>40</v>
      </c>
      <c r="V427" t="s">
        <v>74</v>
      </c>
      <c r="W427" t="s">
        <v>75</v>
      </c>
      <c r="X427" t="s">
        <v>76</v>
      </c>
      <c r="Y427">
        <v>75</v>
      </c>
      <c r="Z427" t="s">
        <v>93</v>
      </c>
      <c r="AA427" t="s">
        <v>94</v>
      </c>
      <c r="AB427" s="1">
        <v>45798</v>
      </c>
      <c r="AC427" t="s">
        <v>40</v>
      </c>
      <c r="AD427" t="s">
        <v>40</v>
      </c>
      <c r="AE427" t="s">
        <v>69</v>
      </c>
      <c r="AF427" t="s">
        <v>40</v>
      </c>
      <c r="AG427">
        <v>1</v>
      </c>
      <c r="AH427" t="s">
        <v>61</v>
      </c>
    </row>
    <row r="428" spans="1:34" x14ac:dyDescent="0.3">
      <c r="A428" t="s">
        <v>851</v>
      </c>
      <c r="B428" t="s">
        <v>852</v>
      </c>
      <c r="C428" t="s">
        <v>122</v>
      </c>
      <c r="D428" t="s">
        <v>37</v>
      </c>
      <c r="E428" s="1">
        <v>46072</v>
      </c>
      <c r="F428" s="1">
        <v>46172</v>
      </c>
      <c r="G428" t="s">
        <v>41</v>
      </c>
      <c r="H428">
        <v>8295</v>
      </c>
      <c r="I428" t="s">
        <v>54</v>
      </c>
      <c r="J428" t="b">
        <v>0</v>
      </c>
      <c r="K428">
        <v>100</v>
      </c>
      <c r="L428">
        <v>5</v>
      </c>
      <c r="M428">
        <v>2026</v>
      </c>
      <c r="N428">
        <v>5</v>
      </c>
      <c r="O428">
        <v>2</v>
      </c>
      <c r="P428">
        <v>2026</v>
      </c>
      <c r="Q428">
        <v>3</v>
      </c>
      <c r="R428" t="s">
        <v>66</v>
      </c>
      <c r="S428" t="s">
        <v>55</v>
      </c>
      <c r="T428" t="s">
        <v>42</v>
      </c>
      <c r="U428" t="s">
        <v>40</v>
      </c>
      <c r="V428" t="s">
        <v>124</v>
      </c>
      <c r="W428" t="s">
        <v>125</v>
      </c>
      <c r="X428" t="s">
        <v>126</v>
      </c>
      <c r="Y428">
        <v>85</v>
      </c>
      <c r="Z428" t="s">
        <v>46</v>
      </c>
      <c r="AA428" t="s">
        <v>47</v>
      </c>
      <c r="AB428" s="1">
        <v>46172</v>
      </c>
      <c r="AC428" t="s">
        <v>66</v>
      </c>
      <c r="AD428" t="s">
        <v>40</v>
      </c>
      <c r="AE428" t="s">
        <v>69</v>
      </c>
      <c r="AF428" t="s">
        <v>40</v>
      </c>
      <c r="AG428">
        <v>1</v>
      </c>
      <c r="AH428" t="s">
        <v>49</v>
      </c>
    </row>
    <row r="429" spans="1:34" x14ac:dyDescent="0.3">
      <c r="A429" t="s">
        <v>853</v>
      </c>
      <c r="B429" t="s">
        <v>854</v>
      </c>
      <c r="C429" t="s">
        <v>73</v>
      </c>
      <c r="D429" t="s">
        <v>130</v>
      </c>
      <c r="E429" s="1">
        <v>45674</v>
      </c>
      <c r="F429" s="1">
        <v>45734</v>
      </c>
      <c r="G429" t="s">
        <v>38</v>
      </c>
      <c r="H429">
        <v>5470</v>
      </c>
      <c r="I429" t="s">
        <v>39</v>
      </c>
      <c r="J429" t="b">
        <v>0</v>
      </c>
      <c r="K429">
        <v>60</v>
      </c>
      <c r="L429">
        <v>3</v>
      </c>
      <c r="M429">
        <v>2025</v>
      </c>
      <c r="N429">
        <v>1</v>
      </c>
      <c r="O429">
        <v>1</v>
      </c>
      <c r="P429">
        <v>2025</v>
      </c>
      <c r="Q429">
        <v>4</v>
      </c>
      <c r="R429" t="s">
        <v>40</v>
      </c>
      <c r="S429" t="s">
        <v>55</v>
      </c>
      <c r="T429" t="s">
        <v>42</v>
      </c>
      <c r="U429" t="s">
        <v>66</v>
      </c>
      <c r="V429" t="s">
        <v>74</v>
      </c>
      <c r="W429" t="s">
        <v>75</v>
      </c>
      <c r="X429" t="s">
        <v>76</v>
      </c>
      <c r="Y429">
        <v>75</v>
      </c>
      <c r="Z429" t="s">
        <v>133</v>
      </c>
      <c r="AA429" t="s">
        <v>134</v>
      </c>
      <c r="AB429" s="1">
        <v>45734</v>
      </c>
      <c r="AC429" t="s">
        <v>40</v>
      </c>
      <c r="AD429" t="s">
        <v>40</v>
      </c>
      <c r="AE429" t="s">
        <v>60</v>
      </c>
      <c r="AF429" t="s">
        <v>40</v>
      </c>
      <c r="AG429">
        <v>0</v>
      </c>
      <c r="AH429" t="s">
        <v>61</v>
      </c>
    </row>
    <row r="430" spans="1:34" x14ac:dyDescent="0.3">
      <c r="A430" t="s">
        <v>855</v>
      </c>
      <c r="B430" t="s">
        <v>856</v>
      </c>
      <c r="C430" t="s">
        <v>73</v>
      </c>
      <c r="D430" t="s">
        <v>130</v>
      </c>
      <c r="E430" s="1">
        <v>45966</v>
      </c>
      <c r="F430" s="1">
        <v>46026</v>
      </c>
      <c r="G430" t="s">
        <v>38</v>
      </c>
      <c r="H430">
        <v>3589</v>
      </c>
      <c r="I430" t="s">
        <v>39</v>
      </c>
      <c r="J430" t="b">
        <v>0</v>
      </c>
      <c r="K430">
        <v>60</v>
      </c>
      <c r="L430">
        <v>1</v>
      </c>
      <c r="M430">
        <v>2026</v>
      </c>
      <c r="N430">
        <v>6</v>
      </c>
      <c r="O430">
        <v>11</v>
      </c>
      <c r="P430">
        <v>2025</v>
      </c>
      <c r="Q430">
        <v>2</v>
      </c>
      <c r="R430" t="s">
        <v>66</v>
      </c>
      <c r="S430" t="s">
        <v>45</v>
      </c>
      <c r="T430" t="s">
        <v>42</v>
      </c>
      <c r="U430" t="s">
        <v>40</v>
      </c>
      <c r="V430" t="s">
        <v>74</v>
      </c>
      <c r="W430" t="s">
        <v>75</v>
      </c>
      <c r="X430" t="s">
        <v>76</v>
      </c>
      <c r="Y430">
        <v>75</v>
      </c>
      <c r="Z430" t="s">
        <v>133</v>
      </c>
      <c r="AA430" t="s">
        <v>134</v>
      </c>
      <c r="AB430" s="1">
        <v>46026</v>
      </c>
      <c r="AC430" t="s">
        <v>66</v>
      </c>
      <c r="AD430" t="s">
        <v>40</v>
      </c>
      <c r="AE430" t="s">
        <v>86</v>
      </c>
      <c r="AF430" t="s">
        <v>40</v>
      </c>
      <c r="AG430">
        <v>0</v>
      </c>
      <c r="AH430" t="s">
        <v>61</v>
      </c>
    </row>
    <row r="431" spans="1:34" x14ac:dyDescent="0.3">
      <c r="A431" t="s">
        <v>857</v>
      </c>
      <c r="B431" t="s">
        <v>858</v>
      </c>
      <c r="C431" t="s">
        <v>122</v>
      </c>
      <c r="D431" t="s">
        <v>130</v>
      </c>
      <c r="E431" s="1">
        <v>46118</v>
      </c>
      <c r="F431" s="1">
        <v>46148</v>
      </c>
      <c r="G431" t="s">
        <v>38</v>
      </c>
      <c r="H431">
        <v>29892</v>
      </c>
      <c r="I431" t="s">
        <v>39</v>
      </c>
      <c r="J431" t="b">
        <v>1</v>
      </c>
      <c r="K431">
        <v>30</v>
      </c>
      <c r="L431">
        <v>5</v>
      </c>
      <c r="M431">
        <v>2026</v>
      </c>
      <c r="N431">
        <v>2</v>
      </c>
      <c r="O431">
        <v>4</v>
      </c>
      <c r="P431">
        <v>2026</v>
      </c>
      <c r="Q431">
        <v>0</v>
      </c>
      <c r="R431" t="s">
        <v>40</v>
      </c>
      <c r="S431" t="s">
        <v>55</v>
      </c>
      <c r="T431" t="s">
        <v>42</v>
      </c>
      <c r="U431" t="s">
        <v>40</v>
      </c>
      <c r="V431" t="s">
        <v>124</v>
      </c>
      <c r="W431" t="s">
        <v>125</v>
      </c>
      <c r="X431" t="s">
        <v>126</v>
      </c>
      <c r="Y431">
        <v>85</v>
      </c>
      <c r="Z431" t="s">
        <v>133</v>
      </c>
      <c r="AA431" t="s">
        <v>134</v>
      </c>
      <c r="AB431" s="1">
        <v>46148</v>
      </c>
      <c r="AC431" t="s">
        <v>40</v>
      </c>
      <c r="AD431" t="s">
        <v>40</v>
      </c>
      <c r="AE431" t="s">
        <v>69</v>
      </c>
      <c r="AF431" t="s">
        <v>40</v>
      </c>
      <c r="AG431">
        <v>0</v>
      </c>
      <c r="AH431" t="s">
        <v>70</v>
      </c>
    </row>
    <row r="432" spans="1:34" x14ac:dyDescent="0.3">
      <c r="A432" t="s">
        <v>859</v>
      </c>
      <c r="B432" t="s">
        <v>695</v>
      </c>
      <c r="C432" t="s">
        <v>122</v>
      </c>
      <c r="D432" t="s">
        <v>37</v>
      </c>
      <c r="E432" s="1">
        <v>46250</v>
      </c>
      <c r="F432" s="1">
        <v>46280</v>
      </c>
      <c r="G432" t="s">
        <v>81</v>
      </c>
      <c r="H432">
        <v>10482</v>
      </c>
      <c r="I432" t="s">
        <v>65</v>
      </c>
      <c r="J432" t="b">
        <v>0</v>
      </c>
      <c r="K432">
        <v>30</v>
      </c>
      <c r="L432">
        <v>9</v>
      </c>
      <c r="M432">
        <v>2026</v>
      </c>
      <c r="N432">
        <v>1</v>
      </c>
      <c r="O432">
        <v>8</v>
      </c>
      <c r="P432">
        <v>2026</v>
      </c>
      <c r="Q432">
        <v>6</v>
      </c>
      <c r="R432" t="s">
        <v>40</v>
      </c>
      <c r="S432" t="s">
        <v>45</v>
      </c>
      <c r="T432" t="s">
        <v>42</v>
      </c>
      <c r="U432" t="s">
        <v>40</v>
      </c>
      <c r="V432" t="s">
        <v>124</v>
      </c>
      <c r="W432" t="s">
        <v>125</v>
      </c>
      <c r="X432" t="s">
        <v>126</v>
      </c>
      <c r="Y432">
        <v>85</v>
      </c>
      <c r="Z432" t="s">
        <v>46</v>
      </c>
      <c r="AA432" t="s">
        <v>47</v>
      </c>
      <c r="AB432" s="1">
        <v>46280</v>
      </c>
      <c r="AC432" t="s">
        <v>40</v>
      </c>
      <c r="AD432" t="s">
        <v>40</v>
      </c>
      <c r="AE432" t="s">
        <v>60</v>
      </c>
      <c r="AF432" t="s">
        <v>40</v>
      </c>
      <c r="AG432">
        <v>0</v>
      </c>
      <c r="AH432" t="s">
        <v>70</v>
      </c>
    </row>
    <row r="433" spans="1:34" x14ac:dyDescent="0.3">
      <c r="A433" t="s">
        <v>860</v>
      </c>
      <c r="B433" t="s">
        <v>861</v>
      </c>
      <c r="C433" t="s">
        <v>73</v>
      </c>
      <c r="D433" t="s">
        <v>37</v>
      </c>
      <c r="E433" s="1">
        <v>45720</v>
      </c>
      <c r="F433" s="1">
        <v>45750</v>
      </c>
      <c r="G433" t="s">
        <v>41</v>
      </c>
      <c r="H433">
        <v>6097</v>
      </c>
      <c r="I433" t="s">
        <v>39</v>
      </c>
      <c r="J433" t="b">
        <v>0</v>
      </c>
      <c r="K433">
        <v>30</v>
      </c>
      <c r="L433">
        <v>4</v>
      </c>
      <c r="M433">
        <v>2025</v>
      </c>
      <c r="N433">
        <v>3</v>
      </c>
      <c r="O433">
        <v>3</v>
      </c>
      <c r="P433">
        <v>2025</v>
      </c>
      <c r="Q433">
        <v>1</v>
      </c>
      <c r="R433" t="s">
        <v>40</v>
      </c>
      <c r="S433" t="s">
        <v>41</v>
      </c>
      <c r="T433" t="s">
        <v>42</v>
      </c>
      <c r="U433" t="s">
        <v>40</v>
      </c>
      <c r="V433" t="s">
        <v>74</v>
      </c>
      <c r="W433" t="s">
        <v>75</v>
      </c>
      <c r="X433" t="s">
        <v>76</v>
      </c>
      <c r="Y433">
        <v>75</v>
      </c>
      <c r="Z433" t="s">
        <v>46</v>
      </c>
      <c r="AA433" t="s">
        <v>47</v>
      </c>
      <c r="AB433" s="1">
        <v>45750</v>
      </c>
      <c r="AC433" t="s">
        <v>40</v>
      </c>
      <c r="AD433" t="s">
        <v>40</v>
      </c>
      <c r="AE433" t="s">
        <v>69</v>
      </c>
      <c r="AF433" t="s">
        <v>40</v>
      </c>
      <c r="AG433">
        <v>0</v>
      </c>
      <c r="AH433" t="s">
        <v>70</v>
      </c>
    </row>
    <row r="434" spans="1:34" x14ac:dyDescent="0.3">
      <c r="A434" t="s">
        <v>862</v>
      </c>
      <c r="B434" t="s">
        <v>820</v>
      </c>
      <c r="C434" t="s">
        <v>155</v>
      </c>
      <c r="D434" t="s">
        <v>37</v>
      </c>
      <c r="E434" s="1">
        <v>46013</v>
      </c>
      <c r="F434" s="1">
        <v>46027</v>
      </c>
      <c r="G434" t="s">
        <v>41</v>
      </c>
      <c r="H434">
        <v>6922</v>
      </c>
      <c r="I434" t="s">
        <v>39</v>
      </c>
      <c r="J434" t="b">
        <v>0</v>
      </c>
      <c r="K434">
        <v>14</v>
      </c>
      <c r="L434">
        <v>1</v>
      </c>
      <c r="M434">
        <v>2026</v>
      </c>
      <c r="N434">
        <v>0</v>
      </c>
      <c r="O434">
        <v>12</v>
      </c>
      <c r="P434">
        <v>2025</v>
      </c>
      <c r="Q434">
        <v>0</v>
      </c>
      <c r="R434" t="s">
        <v>40</v>
      </c>
      <c r="S434" t="s">
        <v>45</v>
      </c>
      <c r="T434" t="s">
        <v>42</v>
      </c>
      <c r="U434" t="s">
        <v>66</v>
      </c>
      <c r="V434" t="s">
        <v>156</v>
      </c>
      <c r="W434" t="s">
        <v>157</v>
      </c>
      <c r="X434" t="s">
        <v>158</v>
      </c>
      <c r="Y434">
        <v>70</v>
      </c>
      <c r="Z434" t="s">
        <v>46</v>
      </c>
      <c r="AA434" t="s">
        <v>47</v>
      </c>
      <c r="AB434" s="1">
        <v>46027</v>
      </c>
      <c r="AC434" t="s">
        <v>40</v>
      </c>
      <c r="AD434" t="s">
        <v>40</v>
      </c>
      <c r="AE434" t="s">
        <v>86</v>
      </c>
      <c r="AF434" t="s">
        <v>40</v>
      </c>
      <c r="AG434">
        <v>0</v>
      </c>
      <c r="AH434" t="s">
        <v>70</v>
      </c>
    </row>
    <row r="435" spans="1:34" x14ac:dyDescent="0.3">
      <c r="A435" t="s">
        <v>863</v>
      </c>
      <c r="B435" t="s">
        <v>864</v>
      </c>
      <c r="C435" t="s">
        <v>155</v>
      </c>
      <c r="D435" t="s">
        <v>37</v>
      </c>
      <c r="E435" s="1">
        <v>46330</v>
      </c>
      <c r="F435" s="1">
        <v>46344</v>
      </c>
      <c r="G435" t="s">
        <v>81</v>
      </c>
      <c r="H435">
        <v>11845</v>
      </c>
      <c r="I435" t="s">
        <v>212</v>
      </c>
      <c r="J435" t="b">
        <v>0</v>
      </c>
      <c r="K435">
        <v>14</v>
      </c>
      <c r="L435">
        <v>11</v>
      </c>
      <c r="M435">
        <v>2026</v>
      </c>
      <c r="N435">
        <v>2</v>
      </c>
      <c r="O435">
        <v>11</v>
      </c>
      <c r="P435">
        <v>2026</v>
      </c>
      <c r="Q435">
        <v>2</v>
      </c>
      <c r="R435" t="s">
        <v>40</v>
      </c>
      <c r="S435" t="s">
        <v>45</v>
      </c>
      <c r="T435" t="s">
        <v>113</v>
      </c>
      <c r="U435" t="s">
        <v>40</v>
      </c>
      <c r="V435" t="s">
        <v>156</v>
      </c>
      <c r="W435" t="s">
        <v>157</v>
      </c>
      <c r="X435" t="s">
        <v>158</v>
      </c>
      <c r="Y435">
        <v>70</v>
      </c>
      <c r="Z435" t="s">
        <v>46</v>
      </c>
      <c r="AA435" t="s">
        <v>47</v>
      </c>
      <c r="AB435" s="1">
        <v>46344</v>
      </c>
      <c r="AC435" t="s">
        <v>40</v>
      </c>
      <c r="AD435" t="s">
        <v>40</v>
      </c>
      <c r="AE435" t="s">
        <v>86</v>
      </c>
      <c r="AF435" t="s">
        <v>40</v>
      </c>
      <c r="AG435">
        <v>0</v>
      </c>
      <c r="AH435" t="s">
        <v>70</v>
      </c>
    </row>
    <row r="436" spans="1:34" x14ac:dyDescent="0.3">
      <c r="A436" t="s">
        <v>865</v>
      </c>
      <c r="B436" t="s">
        <v>866</v>
      </c>
      <c r="C436" t="s">
        <v>155</v>
      </c>
      <c r="D436" t="s">
        <v>90</v>
      </c>
      <c r="E436" s="1">
        <v>45947</v>
      </c>
      <c r="F436" s="1">
        <v>46007</v>
      </c>
      <c r="G436" t="s">
        <v>64</v>
      </c>
      <c r="H436">
        <v>2464</v>
      </c>
      <c r="I436" t="s">
        <v>39</v>
      </c>
      <c r="J436" t="b">
        <v>0</v>
      </c>
      <c r="K436">
        <v>60</v>
      </c>
      <c r="L436">
        <v>12</v>
      </c>
      <c r="M436">
        <v>2025</v>
      </c>
      <c r="N436">
        <v>1</v>
      </c>
      <c r="O436">
        <v>10</v>
      </c>
      <c r="P436">
        <v>2025</v>
      </c>
      <c r="Q436">
        <v>4</v>
      </c>
      <c r="R436" t="s">
        <v>40</v>
      </c>
      <c r="S436" t="s">
        <v>41</v>
      </c>
      <c r="T436" t="s">
        <v>42</v>
      </c>
      <c r="U436" t="s">
        <v>66</v>
      </c>
      <c r="V436" t="s">
        <v>156</v>
      </c>
      <c r="W436" t="s">
        <v>157</v>
      </c>
      <c r="X436" t="s">
        <v>158</v>
      </c>
      <c r="Y436">
        <v>70</v>
      </c>
      <c r="Z436" t="s">
        <v>93</v>
      </c>
      <c r="AA436" t="s">
        <v>94</v>
      </c>
      <c r="AB436" s="1">
        <v>46007</v>
      </c>
      <c r="AC436" t="s">
        <v>40</v>
      </c>
      <c r="AD436" t="s">
        <v>40</v>
      </c>
      <c r="AE436" t="s">
        <v>69</v>
      </c>
      <c r="AF436" t="s">
        <v>40</v>
      </c>
      <c r="AG436">
        <v>0</v>
      </c>
      <c r="AH436" t="s">
        <v>61</v>
      </c>
    </row>
    <row r="437" spans="1:34" x14ac:dyDescent="0.3">
      <c r="A437" t="s">
        <v>867</v>
      </c>
      <c r="B437" t="s">
        <v>769</v>
      </c>
      <c r="C437" t="s">
        <v>169</v>
      </c>
      <c r="D437" t="s">
        <v>90</v>
      </c>
      <c r="E437" s="1">
        <v>45872</v>
      </c>
      <c r="F437" s="1">
        <v>45902</v>
      </c>
      <c r="G437" t="s">
        <v>64</v>
      </c>
      <c r="H437">
        <v>4004</v>
      </c>
      <c r="I437" t="s">
        <v>65</v>
      </c>
      <c r="J437" t="b">
        <v>0</v>
      </c>
      <c r="K437">
        <v>30</v>
      </c>
      <c r="L437">
        <v>9</v>
      </c>
      <c r="M437">
        <v>2025</v>
      </c>
      <c r="N437">
        <v>1</v>
      </c>
      <c r="O437">
        <v>8</v>
      </c>
      <c r="P437">
        <v>2025</v>
      </c>
      <c r="Q437">
        <v>6</v>
      </c>
      <c r="R437" t="s">
        <v>40</v>
      </c>
      <c r="S437" t="s">
        <v>41</v>
      </c>
      <c r="T437" t="s">
        <v>42</v>
      </c>
      <c r="U437" t="s">
        <v>40</v>
      </c>
      <c r="V437" t="s">
        <v>170</v>
      </c>
      <c r="W437" t="s">
        <v>171</v>
      </c>
      <c r="X437" t="s">
        <v>126</v>
      </c>
      <c r="Y437">
        <v>90</v>
      </c>
      <c r="Z437" t="s">
        <v>93</v>
      </c>
      <c r="AA437" t="s">
        <v>94</v>
      </c>
      <c r="AB437" s="1">
        <v>45902</v>
      </c>
      <c r="AC437" t="s">
        <v>40</v>
      </c>
      <c r="AD437" t="s">
        <v>40</v>
      </c>
      <c r="AE437" t="s">
        <v>60</v>
      </c>
      <c r="AF437" t="s">
        <v>40</v>
      </c>
      <c r="AG437">
        <v>0</v>
      </c>
      <c r="AH437" t="s">
        <v>70</v>
      </c>
    </row>
    <row r="438" spans="1:34" x14ac:dyDescent="0.3">
      <c r="A438" t="s">
        <v>868</v>
      </c>
      <c r="B438" t="s">
        <v>523</v>
      </c>
      <c r="C438" t="s">
        <v>36</v>
      </c>
      <c r="D438" t="s">
        <v>53</v>
      </c>
      <c r="E438" s="1">
        <v>46098</v>
      </c>
      <c r="F438" s="1">
        <v>46101</v>
      </c>
      <c r="G438" t="s">
        <v>38</v>
      </c>
      <c r="H438">
        <v>4417</v>
      </c>
      <c r="I438" t="s">
        <v>65</v>
      </c>
      <c r="J438" t="b">
        <v>0</v>
      </c>
      <c r="K438">
        <v>3</v>
      </c>
      <c r="L438">
        <v>3</v>
      </c>
      <c r="M438">
        <v>2026</v>
      </c>
      <c r="N438">
        <v>4</v>
      </c>
      <c r="O438">
        <v>3</v>
      </c>
      <c r="P438">
        <v>2026</v>
      </c>
      <c r="Q438">
        <v>1</v>
      </c>
      <c r="R438" t="s">
        <v>40</v>
      </c>
      <c r="S438" t="s">
        <v>67</v>
      </c>
      <c r="T438" t="s">
        <v>42</v>
      </c>
      <c r="U438" t="s">
        <v>40</v>
      </c>
      <c r="V438" t="s">
        <v>43</v>
      </c>
      <c r="W438" t="s">
        <v>44</v>
      </c>
      <c r="X438" t="s">
        <v>45</v>
      </c>
      <c r="Y438">
        <v>150</v>
      </c>
      <c r="Z438" t="s">
        <v>58</v>
      </c>
      <c r="AA438" t="s">
        <v>59</v>
      </c>
      <c r="AB438" s="1">
        <v>46101</v>
      </c>
      <c r="AC438" t="s">
        <v>40</v>
      </c>
      <c r="AD438" t="s">
        <v>40</v>
      </c>
      <c r="AE438" t="s">
        <v>60</v>
      </c>
      <c r="AF438" t="s">
        <v>40</v>
      </c>
      <c r="AG438">
        <v>0</v>
      </c>
      <c r="AH438" t="s">
        <v>100</v>
      </c>
    </row>
    <row r="439" spans="1:34" x14ac:dyDescent="0.3">
      <c r="A439" t="s">
        <v>869</v>
      </c>
      <c r="B439" t="s">
        <v>870</v>
      </c>
      <c r="C439" t="s">
        <v>169</v>
      </c>
      <c r="D439" t="s">
        <v>90</v>
      </c>
      <c r="E439" s="1">
        <v>46185</v>
      </c>
      <c r="F439" s="1">
        <v>46215</v>
      </c>
      <c r="G439" t="s">
        <v>64</v>
      </c>
      <c r="H439">
        <v>4097</v>
      </c>
      <c r="I439" t="s">
        <v>54</v>
      </c>
      <c r="J439" t="b">
        <v>0</v>
      </c>
      <c r="K439">
        <v>30</v>
      </c>
      <c r="L439">
        <v>7</v>
      </c>
      <c r="M439">
        <v>2026</v>
      </c>
      <c r="N439">
        <v>6</v>
      </c>
      <c r="O439">
        <v>6</v>
      </c>
      <c r="P439">
        <v>2026</v>
      </c>
      <c r="Q439">
        <v>4</v>
      </c>
      <c r="R439" t="s">
        <v>66</v>
      </c>
      <c r="S439" t="s">
        <v>45</v>
      </c>
      <c r="T439" t="s">
        <v>113</v>
      </c>
      <c r="U439" t="s">
        <v>40</v>
      </c>
      <c r="V439" t="s">
        <v>170</v>
      </c>
      <c r="W439" t="s">
        <v>171</v>
      </c>
      <c r="X439" t="s">
        <v>126</v>
      </c>
      <c r="Y439">
        <v>90</v>
      </c>
      <c r="Z439" t="s">
        <v>93</v>
      </c>
      <c r="AA439" t="s">
        <v>94</v>
      </c>
      <c r="AB439" s="1">
        <v>46215</v>
      </c>
      <c r="AC439" t="s">
        <v>66</v>
      </c>
      <c r="AD439" t="s">
        <v>40</v>
      </c>
      <c r="AE439" t="s">
        <v>86</v>
      </c>
      <c r="AF439" t="s">
        <v>40</v>
      </c>
      <c r="AG439">
        <v>1</v>
      </c>
      <c r="AH439" t="s">
        <v>70</v>
      </c>
    </row>
    <row r="440" spans="1:34" x14ac:dyDescent="0.3">
      <c r="A440" t="s">
        <v>871</v>
      </c>
      <c r="B440" t="s">
        <v>692</v>
      </c>
      <c r="C440" t="s">
        <v>155</v>
      </c>
      <c r="D440" t="s">
        <v>80</v>
      </c>
      <c r="E440" s="1">
        <v>45762</v>
      </c>
      <c r="F440" s="1">
        <v>45862</v>
      </c>
      <c r="G440" t="s">
        <v>64</v>
      </c>
      <c r="H440">
        <v>2415</v>
      </c>
      <c r="I440" t="s">
        <v>39</v>
      </c>
      <c r="J440" t="b">
        <v>0</v>
      </c>
      <c r="K440">
        <v>100</v>
      </c>
      <c r="L440">
        <v>7</v>
      </c>
      <c r="M440">
        <v>2025</v>
      </c>
      <c r="N440">
        <v>3</v>
      </c>
      <c r="O440">
        <v>4</v>
      </c>
      <c r="P440">
        <v>2025</v>
      </c>
      <c r="Q440">
        <v>1</v>
      </c>
      <c r="R440" t="s">
        <v>40</v>
      </c>
      <c r="S440" t="s">
        <v>55</v>
      </c>
      <c r="T440" t="s">
        <v>113</v>
      </c>
      <c r="U440" t="s">
        <v>40</v>
      </c>
      <c r="V440" t="s">
        <v>156</v>
      </c>
      <c r="W440" t="s">
        <v>157</v>
      </c>
      <c r="X440" t="s">
        <v>158</v>
      </c>
      <c r="Y440">
        <v>70</v>
      </c>
      <c r="Z440" t="s">
        <v>84</v>
      </c>
      <c r="AA440" t="s">
        <v>85</v>
      </c>
      <c r="AB440" s="1">
        <v>45862</v>
      </c>
      <c r="AC440" t="s">
        <v>40</v>
      </c>
      <c r="AD440" t="s">
        <v>40</v>
      </c>
      <c r="AE440" t="s">
        <v>86</v>
      </c>
      <c r="AF440" t="s">
        <v>40</v>
      </c>
      <c r="AG440">
        <v>0</v>
      </c>
      <c r="AH440" t="s">
        <v>49</v>
      </c>
    </row>
    <row r="441" spans="1:34" x14ac:dyDescent="0.3">
      <c r="A441" t="s">
        <v>872</v>
      </c>
      <c r="B441" t="s">
        <v>873</v>
      </c>
      <c r="C441" t="s">
        <v>89</v>
      </c>
      <c r="D441" t="s">
        <v>104</v>
      </c>
      <c r="E441" s="1">
        <v>46176</v>
      </c>
      <c r="F441" s="1">
        <v>46206</v>
      </c>
      <c r="G441" t="s">
        <v>64</v>
      </c>
      <c r="H441">
        <v>3525</v>
      </c>
      <c r="I441" t="s">
        <v>39</v>
      </c>
      <c r="J441" t="b">
        <v>0</v>
      </c>
      <c r="K441">
        <v>30</v>
      </c>
      <c r="L441">
        <v>7</v>
      </c>
      <c r="M441">
        <v>2026</v>
      </c>
      <c r="N441">
        <v>4</v>
      </c>
      <c r="O441">
        <v>6</v>
      </c>
      <c r="P441">
        <v>2026</v>
      </c>
      <c r="Q441">
        <v>2</v>
      </c>
      <c r="R441" t="s">
        <v>40</v>
      </c>
      <c r="S441" t="s">
        <v>55</v>
      </c>
      <c r="T441" t="s">
        <v>42</v>
      </c>
      <c r="U441" t="s">
        <v>40</v>
      </c>
      <c r="V441" t="s">
        <v>91</v>
      </c>
      <c r="W441" t="s">
        <v>92</v>
      </c>
      <c r="X441" t="s">
        <v>76</v>
      </c>
      <c r="Y441">
        <v>65</v>
      </c>
      <c r="Z441" t="s">
        <v>107</v>
      </c>
      <c r="AA441" t="s">
        <v>108</v>
      </c>
      <c r="AB441" s="1">
        <v>46206</v>
      </c>
      <c r="AC441" t="s">
        <v>40</v>
      </c>
      <c r="AD441" t="s">
        <v>40</v>
      </c>
      <c r="AE441" t="s">
        <v>86</v>
      </c>
      <c r="AF441" t="s">
        <v>40</v>
      </c>
      <c r="AG441">
        <v>0</v>
      </c>
      <c r="AH441" t="s">
        <v>70</v>
      </c>
    </row>
    <row r="442" spans="1:34" x14ac:dyDescent="0.3">
      <c r="A442" t="s">
        <v>874</v>
      </c>
      <c r="B442" t="s">
        <v>695</v>
      </c>
      <c r="C442" t="s">
        <v>52</v>
      </c>
      <c r="D442" t="s">
        <v>90</v>
      </c>
      <c r="E442" s="1">
        <v>46143</v>
      </c>
      <c r="F442" s="1">
        <v>46157</v>
      </c>
      <c r="G442" t="s">
        <v>38</v>
      </c>
      <c r="H442">
        <v>5025</v>
      </c>
      <c r="I442" t="s">
        <v>65</v>
      </c>
      <c r="J442" t="b">
        <v>0</v>
      </c>
      <c r="K442">
        <v>14</v>
      </c>
      <c r="L442">
        <v>5</v>
      </c>
      <c r="M442">
        <v>2026</v>
      </c>
      <c r="N442">
        <v>4</v>
      </c>
      <c r="O442">
        <v>5</v>
      </c>
      <c r="P442">
        <v>2026</v>
      </c>
      <c r="Q442">
        <v>4</v>
      </c>
      <c r="R442" t="s">
        <v>40</v>
      </c>
      <c r="S442" t="s">
        <v>45</v>
      </c>
      <c r="T442" t="s">
        <v>42</v>
      </c>
      <c r="U442" t="s">
        <v>40</v>
      </c>
      <c r="V442" t="s">
        <v>56</v>
      </c>
      <c r="W442" t="s">
        <v>57</v>
      </c>
      <c r="X442" t="s">
        <v>45</v>
      </c>
      <c r="Y442">
        <v>120</v>
      </c>
      <c r="Z442" t="s">
        <v>93</v>
      </c>
      <c r="AA442" t="s">
        <v>94</v>
      </c>
      <c r="AB442" s="1">
        <v>46157</v>
      </c>
      <c r="AC442" t="s">
        <v>40</v>
      </c>
      <c r="AD442" t="s">
        <v>40</v>
      </c>
      <c r="AE442" t="s">
        <v>69</v>
      </c>
      <c r="AF442" t="s">
        <v>40</v>
      </c>
      <c r="AG442">
        <v>0</v>
      </c>
      <c r="AH442" t="s">
        <v>70</v>
      </c>
    </row>
    <row r="443" spans="1:34" x14ac:dyDescent="0.3">
      <c r="A443" t="s">
        <v>875</v>
      </c>
      <c r="B443" t="s">
        <v>876</v>
      </c>
      <c r="C443" t="s">
        <v>103</v>
      </c>
      <c r="D443" t="s">
        <v>90</v>
      </c>
      <c r="E443" s="1">
        <v>45799</v>
      </c>
      <c r="F443" s="1">
        <v>45859</v>
      </c>
      <c r="G443" t="s">
        <v>41</v>
      </c>
      <c r="H443">
        <v>8254</v>
      </c>
      <c r="I443" t="s">
        <v>39</v>
      </c>
      <c r="J443" t="b">
        <v>0</v>
      </c>
      <c r="K443">
        <v>60</v>
      </c>
      <c r="L443">
        <v>7</v>
      </c>
      <c r="M443">
        <v>2025</v>
      </c>
      <c r="N443">
        <v>0</v>
      </c>
      <c r="O443">
        <v>5</v>
      </c>
      <c r="P443">
        <v>2025</v>
      </c>
      <c r="Q443">
        <v>3</v>
      </c>
      <c r="R443" t="s">
        <v>40</v>
      </c>
      <c r="S443" t="s">
        <v>45</v>
      </c>
      <c r="T443" t="s">
        <v>42</v>
      </c>
      <c r="U443" t="s">
        <v>66</v>
      </c>
      <c r="V443" t="s">
        <v>105</v>
      </c>
      <c r="W443" t="s">
        <v>106</v>
      </c>
      <c r="X443" t="s">
        <v>45</v>
      </c>
      <c r="Y443">
        <v>140</v>
      </c>
      <c r="Z443" t="s">
        <v>93</v>
      </c>
      <c r="AA443" t="s">
        <v>94</v>
      </c>
      <c r="AB443" s="1">
        <v>45859</v>
      </c>
      <c r="AC443" t="s">
        <v>40</v>
      </c>
      <c r="AD443" t="s">
        <v>40</v>
      </c>
      <c r="AE443" t="s">
        <v>86</v>
      </c>
      <c r="AF443" t="s">
        <v>40</v>
      </c>
      <c r="AG443">
        <v>0</v>
      </c>
      <c r="AH443" t="s">
        <v>61</v>
      </c>
    </row>
    <row r="444" spans="1:34" x14ac:dyDescent="0.3">
      <c r="A444" t="s">
        <v>877</v>
      </c>
      <c r="B444" t="s">
        <v>878</v>
      </c>
      <c r="C444" t="s">
        <v>89</v>
      </c>
      <c r="D444" t="s">
        <v>80</v>
      </c>
      <c r="E444" s="1">
        <v>45729</v>
      </c>
      <c r="F444" s="1">
        <v>45732</v>
      </c>
      <c r="G444" t="s">
        <v>81</v>
      </c>
      <c r="H444">
        <v>10055</v>
      </c>
      <c r="I444" t="s">
        <v>54</v>
      </c>
      <c r="J444" t="b">
        <v>0</v>
      </c>
      <c r="K444">
        <v>3</v>
      </c>
      <c r="L444">
        <v>3</v>
      </c>
      <c r="M444">
        <v>2025</v>
      </c>
      <c r="N444">
        <v>6</v>
      </c>
      <c r="O444">
        <v>3</v>
      </c>
      <c r="P444">
        <v>2025</v>
      </c>
      <c r="Q444">
        <v>3</v>
      </c>
      <c r="R444" t="s">
        <v>66</v>
      </c>
      <c r="S444" t="s">
        <v>41</v>
      </c>
      <c r="T444" t="s">
        <v>113</v>
      </c>
      <c r="U444" t="s">
        <v>40</v>
      </c>
      <c r="V444" t="s">
        <v>91</v>
      </c>
      <c r="W444" t="s">
        <v>92</v>
      </c>
      <c r="X444" t="s">
        <v>76</v>
      </c>
      <c r="Y444">
        <v>65</v>
      </c>
      <c r="Z444" t="s">
        <v>84</v>
      </c>
      <c r="AA444" t="s">
        <v>85</v>
      </c>
      <c r="AB444" s="1">
        <v>45732</v>
      </c>
      <c r="AC444" t="s">
        <v>66</v>
      </c>
      <c r="AD444" t="s">
        <v>40</v>
      </c>
      <c r="AE444" t="s">
        <v>60</v>
      </c>
      <c r="AF444" t="s">
        <v>40</v>
      </c>
      <c r="AG444">
        <v>1</v>
      </c>
      <c r="AH444" t="s">
        <v>100</v>
      </c>
    </row>
    <row r="445" spans="1:34" x14ac:dyDescent="0.3">
      <c r="A445" t="s">
        <v>879</v>
      </c>
      <c r="B445" t="s">
        <v>880</v>
      </c>
      <c r="C445" t="s">
        <v>155</v>
      </c>
      <c r="D445" t="s">
        <v>130</v>
      </c>
      <c r="E445" s="1">
        <v>46304</v>
      </c>
      <c r="F445" s="1">
        <v>46524</v>
      </c>
      <c r="G445" t="s">
        <v>81</v>
      </c>
      <c r="H445">
        <v>8993</v>
      </c>
      <c r="I445" t="s">
        <v>39</v>
      </c>
      <c r="J445" t="b">
        <v>0</v>
      </c>
      <c r="K445">
        <v>220</v>
      </c>
      <c r="L445">
        <v>5</v>
      </c>
      <c r="M445">
        <v>2027</v>
      </c>
      <c r="N445">
        <v>0</v>
      </c>
      <c r="O445">
        <v>10</v>
      </c>
      <c r="P445">
        <v>2026</v>
      </c>
      <c r="Q445">
        <v>4</v>
      </c>
      <c r="R445" t="s">
        <v>40</v>
      </c>
      <c r="S445" t="s">
        <v>55</v>
      </c>
      <c r="T445" t="s">
        <v>42</v>
      </c>
      <c r="U445" t="s">
        <v>40</v>
      </c>
      <c r="V445" t="s">
        <v>156</v>
      </c>
      <c r="W445" t="s">
        <v>157</v>
      </c>
      <c r="X445" t="s">
        <v>158</v>
      </c>
      <c r="Y445">
        <v>70</v>
      </c>
      <c r="Z445" t="s">
        <v>133</v>
      </c>
      <c r="AA445" t="s">
        <v>134</v>
      </c>
      <c r="AB445" s="1"/>
      <c r="AC445" t="s">
        <v>48</v>
      </c>
      <c r="AD445" t="s">
        <v>48</v>
      </c>
      <c r="AE445" t="s">
        <v>48</v>
      </c>
      <c r="AF445" t="s">
        <v>48</v>
      </c>
      <c r="AG445">
        <v>0</v>
      </c>
      <c r="AH445" t="s">
        <v>142</v>
      </c>
    </row>
    <row r="446" spans="1:34" x14ac:dyDescent="0.3">
      <c r="A446" t="s">
        <v>881</v>
      </c>
      <c r="B446" t="s">
        <v>574</v>
      </c>
      <c r="C446" t="s">
        <v>146</v>
      </c>
      <c r="D446" t="s">
        <v>80</v>
      </c>
      <c r="E446" s="1">
        <v>45808</v>
      </c>
      <c r="F446" s="1">
        <v>45868</v>
      </c>
      <c r="G446" t="s">
        <v>41</v>
      </c>
      <c r="H446">
        <v>8229</v>
      </c>
      <c r="I446" t="s">
        <v>39</v>
      </c>
      <c r="J446" t="b">
        <v>0</v>
      </c>
      <c r="K446">
        <v>60</v>
      </c>
      <c r="L446">
        <v>7</v>
      </c>
      <c r="M446">
        <v>2025</v>
      </c>
      <c r="N446">
        <v>2</v>
      </c>
      <c r="O446">
        <v>5</v>
      </c>
      <c r="P446">
        <v>2025</v>
      </c>
      <c r="Q446">
        <v>5</v>
      </c>
      <c r="R446" t="s">
        <v>40</v>
      </c>
      <c r="S446" t="s">
        <v>55</v>
      </c>
      <c r="T446" t="s">
        <v>42</v>
      </c>
      <c r="U446" t="s">
        <v>40</v>
      </c>
      <c r="V446" t="s">
        <v>147</v>
      </c>
      <c r="W446" t="s">
        <v>148</v>
      </c>
      <c r="X446" t="s">
        <v>45</v>
      </c>
      <c r="Y446">
        <v>160</v>
      </c>
      <c r="Z446" t="s">
        <v>84</v>
      </c>
      <c r="AA446" t="s">
        <v>85</v>
      </c>
      <c r="AB446" s="1">
        <v>45868</v>
      </c>
      <c r="AC446" t="s">
        <v>40</v>
      </c>
      <c r="AD446" t="s">
        <v>40</v>
      </c>
      <c r="AE446" t="s">
        <v>86</v>
      </c>
      <c r="AF446" t="s">
        <v>40</v>
      </c>
      <c r="AG446">
        <v>0</v>
      </c>
      <c r="AH446" t="s">
        <v>61</v>
      </c>
    </row>
    <row r="447" spans="1:34" x14ac:dyDescent="0.3">
      <c r="A447" t="s">
        <v>882</v>
      </c>
      <c r="B447" t="s">
        <v>275</v>
      </c>
      <c r="C447" t="s">
        <v>73</v>
      </c>
      <c r="D447" t="s">
        <v>53</v>
      </c>
      <c r="E447" s="1">
        <v>45744</v>
      </c>
      <c r="F447" s="1">
        <v>45745</v>
      </c>
      <c r="G447" t="s">
        <v>81</v>
      </c>
      <c r="H447">
        <v>10763</v>
      </c>
      <c r="I447" t="s">
        <v>54</v>
      </c>
      <c r="J447" t="b">
        <v>0</v>
      </c>
      <c r="K447">
        <v>1</v>
      </c>
      <c r="L447">
        <v>3</v>
      </c>
      <c r="M447">
        <v>2025</v>
      </c>
      <c r="N447">
        <v>5</v>
      </c>
      <c r="O447">
        <v>3</v>
      </c>
      <c r="P447">
        <v>2025</v>
      </c>
      <c r="Q447">
        <v>4</v>
      </c>
      <c r="R447" t="s">
        <v>66</v>
      </c>
      <c r="S447" t="s">
        <v>55</v>
      </c>
      <c r="T447" t="s">
        <v>42</v>
      </c>
      <c r="U447" t="s">
        <v>66</v>
      </c>
      <c r="V447" t="s">
        <v>74</v>
      </c>
      <c r="W447" t="s">
        <v>75</v>
      </c>
      <c r="X447" t="s">
        <v>76</v>
      </c>
      <c r="Y447">
        <v>75</v>
      </c>
      <c r="Z447" t="s">
        <v>58</v>
      </c>
      <c r="AA447" t="s">
        <v>59</v>
      </c>
      <c r="AB447" s="1">
        <v>45745</v>
      </c>
      <c r="AC447" t="s">
        <v>66</v>
      </c>
      <c r="AD447" t="s">
        <v>40</v>
      </c>
      <c r="AE447" t="s">
        <v>60</v>
      </c>
      <c r="AF447" t="s">
        <v>40</v>
      </c>
      <c r="AG447">
        <v>1</v>
      </c>
      <c r="AH447" t="s">
        <v>100</v>
      </c>
    </row>
    <row r="448" spans="1:34" x14ac:dyDescent="0.3">
      <c r="A448" t="s">
        <v>883</v>
      </c>
      <c r="B448" t="s">
        <v>884</v>
      </c>
      <c r="C448" t="s">
        <v>169</v>
      </c>
      <c r="D448" t="s">
        <v>80</v>
      </c>
      <c r="E448" s="1">
        <v>46006</v>
      </c>
      <c r="F448" s="1">
        <v>46066</v>
      </c>
      <c r="G448" t="s">
        <v>38</v>
      </c>
      <c r="H448">
        <v>5711</v>
      </c>
      <c r="I448" t="s">
        <v>65</v>
      </c>
      <c r="J448" t="b">
        <v>0</v>
      </c>
      <c r="K448">
        <v>60</v>
      </c>
      <c r="L448">
        <v>2</v>
      </c>
      <c r="M448">
        <v>2026</v>
      </c>
      <c r="N448">
        <v>4</v>
      </c>
      <c r="O448">
        <v>12</v>
      </c>
      <c r="P448">
        <v>2025</v>
      </c>
      <c r="Q448">
        <v>0</v>
      </c>
      <c r="R448" t="s">
        <v>40</v>
      </c>
      <c r="S448" t="s">
        <v>55</v>
      </c>
      <c r="T448" t="s">
        <v>42</v>
      </c>
      <c r="U448" t="s">
        <v>40</v>
      </c>
      <c r="V448" t="s">
        <v>170</v>
      </c>
      <c r="W448" t="s">
        <v>171</v>
      </c>
      <c r="X448" t="s">
        <v>126</v>
      </c>
      <c r="Y448">
        <v>90</v>
      </c>
      <c r="Z448" t="s">
        <v>84</v>
      </c>
      <c r="AA448" t="s">
        <v>85</v>
      </c>
      <c r="AB448" s="1">
        <v>46066</v>
      </c>
      <c r="AC448" t="s">
        <v>40</v>
      </c>
      <c r="AD448" t="s">
        <v>40</v>
      </c>
      <c r="AE448" t="s">
        <v>60</v>
      </c>
      <c r="AF448" t="s">
        <v>40</v>
      </c>
      <c r="AG448">
        <v>0</v>
      </c>
      <c r="AH448" t="s">
        <v>61</v>
      </c>
    </row>
    <row r="449" spans="1:34" x14ac:dyDescent="0.3">
      <c r="A449" t="s">
        <v>885</v>
      </c>
      <c r="B449" t="s">
        <v>886</v>
      </c>
      <c r="C449" t="s">
        <v>36</v>
      </c>
      <c r="D449" t="s">
        <v>37</v>
      </c>
      <c r="E449" s="1">
        <v>45719</v>
      </c>
      <c r="F449" s="1">
        <v>45819</v>
      </c>
      <c r="G449" t="s">
        <v>81</v>
      </c>
      <c r="H449">
        <v>6891</v>
      </c>
      <c r="I449" t="s">
        <v>54</v>
      </c>
      <c r="J449" t="b">
        <v>0</v>
      </c>
      <c r="K449">
        <v>100</v>
      </c>
      <c r="L449">
        <v>6</v>
      </c>
      <c r="M449">
        <v>2025</v>
      </c>
      <c r="N449">
        <v>2</v>
      </c>
      <c r="O449">
        <v>3</v>
      </c>
      <c r="P449">
        <v>2025</v>
      </c>
      <c r="Q449">
        <v>0</v>
      </c>
      <c r="R449" t="s">
        <v>40</v>
      </c>
      <c r="S449" t="s">
        <v>45</v>
      </c>
      <c r="T449" t="s">
        <v>42</v>
      </c>
      <c r="U449" t="s">
        <v>66</v>
      </c>
      <c r="V449" t="s">
        <v>43</v>
      </c>
      <c r="W449" t="s">
        <v>44</v>
      </c>
      <c r="X449" t="s">
        <v>45</v>
      </c>
      <c r="Y449">
        <v>150</v>
      </c>
      <c r="Z449" t="s">
        <v>46</v>
      </c>
      <c r="AA449" t="s">
        <v>47</v>
      </c>
      <c r="AB449" s="1">
        <v>45819</v>
      </c>
      <c r="AC449" t="s">
        <v>40</v>
      </c>
      <c r="AD449" t="s">
        <v>40</v>
      </c>
      <c r="AE449" t="s">
        <v>60</v>
      </c>
      <c r="AF449" t="s">
        <v>40</v>
      </c>
      <c r="AG449">
        <v>1</v>
      </c>
      <c r="AH449" t="s">
        <v>49</v>
      </c>
    </row>
    <row r="450" spans="1:34" x14ac:dyDescent="0.3">
      <c r="A450" t="s">
        <v>887</v>
      </c>
      <c r="B450" t="s">
        <v>888</v>
      </c>
      <c r="C450" t="s">
        <v>155</v>
      </c>
      <c r="D450" t="s">
        <v>37</v>
      </c>
      <c r="E450" s="1">
        <v>45663</v>
      </c>
      <c r="F450" s="1">
        <v>45677</v>
      </c>
      <c r="G450" t="s">
        <v>38</v>
      </c>
      <c r="H450">
        <v>5684</v>
      </c>
      <c r="I450" t="s">
        <v>65</v>
      </c>
      <c r="J450" t="b">
        <v>0</v>
      </c>
      <c r="K450">
        <v>14</v>
      </c>
      <c r="L450">
        <v>1</v>
      </c>
      <c r="M450">
        <v>2025</v>
      </c>
      <c r="N450">
        <v>0</v>
      </c>
      <c r="O450">
        <v>1</v>
      </c>
      <c r="P450">
        <v>2025</v>
      </c>
      <c r="Q450">
        <v>0</v>
      </c>
      <c r="R450" t="s">
        <v>40</v>
      </c>
      <c r="S450" t="s">
        <v>55</v>
      </c>
      <c r="T450" t="s">
        <v>42</v>
      </c>
      <c r="U450" t="s">
        <v>40</v>
      </c>
      <c r="V450" t="s">
        <v>156</v>
      </c>
      <c r="W450" t="s">
        <v>157</v>
      </c>
      <c r="X450" t="s">
        <v>158</v>
      </c>
      <c r="Y450">
        <v>70</v>
      </c>
      <c r="Z450" t="s">
        <v>46</v>
      </c>
      <c r="AA450" t="s">
        <v>47</v>
      </c>
      <c r="AB450" s="1">
        <v>45677</v>
      </c>
      <c r="AC450" t="s">
        <v>40</v>
      </c>
      <c r="AD450" t="s">
        <v>40</v>
      </c>
      <c r="AE450" t="s">
        <v>86</v>
      </c>
      <c r="AF450" t="s">
        <v>40</v>
      </c>
      <c r="AG450">
        <v>0</v>
      </c>
      <c r="AH450" t="s">
        <v>70</v>
      </c>
    </row>
    <row r="451" spans="1:34" x14ac:dyDescent="0.3">
      <c r="A451" t="s">
        <v>889</v>
      </c>
      <c r="B451" t="s">
        <v>890</v>
      </c>
      <c r="C451" t="s">
        <v>129</v>
      </c>
      <c r="D451" t="s">
        <v>90</v>
      </c>
      <c r="E451" s="1">
        <v>46044</v>
      </c>
      <c r="F451" s="1">
        <v>46074</v>
      </c>
      <c r="G451" t="s">
        <v>38</v>
      </c>
      <c r="H451">
        <v>5615</v>
      </c>
      <c r="I451" t="s">
        <v>39</v>
      </c>
      <c r="J451" t="b">
        <v>0</v>
      </c>
      <c r="K451">
        <v>30</v>
      </c>
      <c r="L451">
        <v>2</v>
      </c>
      <c r="M451">
        <v>2026</v>
      </c>
      <c r="N451">
        <v>5</v>
      </c>
      <c r="O451">
        <v>1</v>
      </c>
      <c r="P451">
        <v>2026</v>
      </c>
      <c r="Q451">
        <v>3</v>
      </c>
      <c r="R451" t="s">
        <v>66</v>
      </c>
      <c r="S451" t="s">
        <v>41</v>
      </c>
      <c r="T451" t="s">
        <v>113</v>
      </c>
      <c r="U451" t="s">
        <v>40</v>
      </c>
      <c r="V451" t="s">
        <v>131</v>
      </c>
      <c r="W451" t="s">
        <v>132</v>
      </c>
      <c r="X451" t="s">
        <v>45</v>
      </c>
      <c r="Y451">
        <v>110</v>
      </c>
      <c r="Z451" t="s">
        <v>93</v>
      </c>
      <c r="AA451" t="s">
        <v>94</v>
      </c>
      <c r="AB451" s="1">
        <v>46074</v>
      </c>
      <c r="AC451" t="s">
        <v>66</v>
      </c>
      <c r="AD451" t="s">
        <v>40</v>
      </c>
      <c r="AE451" t="s">
        <v>60</v>
      </c>
      <c r="AF451" t="s">
        <v>40</v>
      </c>
      <c r="AG451">
        <v>0</v>
      </c>
      <c r="AH451" t="s">
        <v>70</v>
      </c>
    </row>
    <row r="452" spans="1:34" x14ac:dyDescent="0.3">
      <c r="A452" t="s">
        <v>891</v>
      </c>
      <c r="B452" t="s">
        <v>892</v>
      </c>
      <c r="C452" t="s">
        <v>103</v>
      </c>
      <c r="D452" t="s">
        <v>130</v>
      </c>
      <c r="E452" s="1">
        <v>45752</v>
      </c>
      <c r="F452" s="1">
        <v>45753</v>
      </c>
      <c r="G452" t="s">
        <v>38</v>
      </c>
      <c r="H452">
        <v>5327</v>
      </c>
      <c r="I452" t="s">
        <v>39</v>
      </c>
      <c r="J452" t="b">
        <v>0</v>
      </c>
      <c r="K452">
        <v>1</v>
      </c>
      <c r="L452">
        <v>4</v>
      </c>
      <c r="M452">
        <v>2025</v>
      </c>
      <c r="N452">
        <v>6</v>
      </c>
      <c r="O452">
        <v>4</v>
      </c>
      <c r="P452">
        <v>2025</v>
      </c>
      <c r="Q452">
        <v>5</v>
      </c>
      <c r="R452" t="s">
        <v>66</v>
      </c>
      <c r="S452" t="s">
        <v>45</v>
      </c>
      <c r="T452" t="s">
        <v>42</v>
      </c>
      <c r="U452" t="s">
        <v>40</v>
      </c>
      <c r="V452" t="s">
        <v>105</v>
      </c>
      <c r="W452" t="s">
        <v>106</v>
      </c>
      <c r="X452" t="s">
        <v>45</v>
      </c>
      <c r="Y452">
        <v>140</v>
      </c>
      <c r="Z452" t="s">
        <v>133</v>
      </c>
      <c r="AA452" t="s">
        <v>134</v>
      </c>
      <c r="AB452" s="1">
        <v>45753</v>
      </c>
      <c r="AC452" t="s">
        <v>66</v>
      </c>
      <c r="AD452" t="s">
        <v>40</v>
      </c>
      <c r="AE452" t="s">
        <v>69</v>
      </c>
      <c r="AF452" t="s">
        <v>40</v>
      </c>
      <c r="AG452">
        <v>0</v>
      </c>
      <c r="AH452" t="s">
        <v>100</v>
      </c>
    </row>
    <row r="453" spans="1:34" x14ac:dyDescent="0.3">
      <c r="A453" t="s">
        <v>893</v>
      </c>
      <c r="B453" t="s">
        <v>320</v>
      </c>
      <c r="C453" t="s">
        <v>169</v>
      </c>
      <c r="D453" t="s">
        <v>80</v>
      </c>
      <c r="E453" s="1">
        <v>46168</v>
      </c>
      <c r="F453" s="1">
        <v>46198</v>
      </c>
      <c r="G453" t="s">
        <v>41</v>
      </c>
      <c r="H453">
        <v>5591</v>
      </c>
      <c r="I453" t="s">
        <v>39</v>
      </c>
      <c r="J453" t="b">
        <v>0</v>
      </c>
      <c r="K453">
        <v>30</v>
      </c>
      <c r="L453">
        <v>6</v>
      </c>
      <c r="M453">
        <v>2026</v>
      </c>
      <c r="N453">
        <v>3</v>
      </c>
      <c r="O453">
        <v>5</v>
      </c>
      <c r="P453">
        <v>2026</v>
      </c>
      <c r="Q453">
        <v>1</v>
      </c>
      <c r="R453" t="s">
        <v>40</v>
      </c>
      <c r="S453" t="s">
        <v>67</v>
      </c>
      <c r="T453" t="s">
        <v>42</v>
      </c>
      <c r="U453" t="s">
        <v>40</v>
      </c>
      <c r="V453" t="s">
        <v>170</v>
      </c>
      <c r="W453" t="s">
        <v>171</v>
      </c>
      <c r="X453" t="s">
        <v>126</v>
      </c>
      <c r="Y453">
        <v>90</v>
      </c>
      <c r="Z453" t="s">
        <v>84</v>
      </c>
      <c r="AA453" t="s">
        <v>85</v>
      </c>
      <c r="AB453" s="1">
        <v>46198</v>
      </c>
      <c r="AC453" t="s">
        <v>40</v>
      </c>
      <c r="AD453" t="s">
        <v>40</v>
      </c>
      <c r="AE453" t="s">
        <v>60</v>
      </c>
      <c r="AF453" t="s">
        <v>40</v>
      </c>
      <c r="AG453">
        <v>0</v>
      </c>
      <c r="AH453" t="s">
        <v>70</v>
      </c>
    </row>
    <row r="454" spans="1:34" x14ac:dyDescent="0.3">
      <c r="A454" t="s">
        <v>894</v>
      </c>
      <c r="B454" t="s">
        <v>895</v>
      </c>
      <c r="C454" t="s">
        <v>146</v>
      </c>
      <c r="D454" t="s">
        <v>130</v>
      </c>
      <c r="E454" s="1">
        <v>45875</v>
      </c>
      <c r="F454" s="1">
        <v>45889</v>
      </c>
      <c r="G454" t="s">
        <v>64</v>
      </c>
      <c r="H454">
        <v>4133</v>
      </c>
      <c r="I454" t="s">
        <v>39</v>
      </c>
      <c r="J454" t="b">
        <v>0</v>
      </c>
      <c r="K454">
        <v>14</v>
      </c>
      <c r="L454">
        <v>8</v>
      </c>
      <c r="M454">
        <v>2025</v>
      </c>
      <c r="N454">
        <v>2</v>
      </c>
      <c r="O454">
        <v>8</v>
      </c>
      <c r="P454">
        <v>2025</v>
      </c>
      <c r="Q454">
        <v>2</v>
      </c>
      <c r="R454" t="s">
        <v>40</v>
      </c>
      <c r="S454" t="s">
        <v>67</v>
      </c>
      <c r="T454" t="s">
        <v>123</v>
      </c>
      <c r="U454" t="s">
        <v>40</v>
      </c>
      <c r="V454" t="s">
        <v>147</v>
      </c>
      <c r="W454" t="s">
        <v>148</v>
      </c>
      <c r="X454" t="s">
        <v>45</v>
      </c>
      <c r="Y454">
        <v>160</v>
      </c>
      <c r="Z454" t="s">
        <v>133</v>
      </c>
      <c r="AA454" t="s">
        <v>134</v>
      </c>
      <c r="AB454" s="1">
        <v>45889</v>
      </c>
      <c r="AC454" t="s">
        <v>40</v>
      </c>
      <c r="AD454" t="s">
        <v>40</v>
      </c>
      <c r="AE454" t="s">
        <v>86</v>
      </c>
      <c r="AF454" t="s">
        <v>40</v>
      </c>
      <c r="AG454">
        <v>0</v>
      </c>
      <c r="AH454" t="s">
        <v>70</v>
      </c>
    </row>
    <row r="455" spans="1:34" x14ac:dyDescent="0.3">
      <c r="A455" t="s">
        <v>896</v>
      </c>
      <c r="B455" t="s">
        <v>271</v>
      </c>
      <c r="C455" t="s">
        <v>79</v>
      </c>
      <c r="D455" t="s">
        <v>80</v>
      </c>
      <c r="E455" s="1">
        <v>45954</v>
      </c>
      <c r="F455" s="1">
        <v>45955</v>
      </c>
      <c r="G455" t="s">
        <v>38</v>
      </c>
      <c r="H455">
        <v>4748</v>
      </c>
      <c r="I455" t="s">
        <v>54</v>
      </c>
      <c r="J455" t="b">
        <v>0</v>
      </c>
      <c r="K455">
        <v>1</v>
      </c>
      <c r="L455">
        <v>10</v>
      </c>
      <c r="M455">
        <v>2025</v>
      </c>
      <c r="N455">
        <v>5</v>
      </c>
      <c r="O455">
        <v>10</v>
      </c>
      <c r="P455">
        <v>2025</v>
      </c>
      <c r="Q455">
        <v>4</v>
      </c>
      <c r="R455" t="s">
        <v>66</v>
      </c>
      <c r="S455" t="s">
        <v>67</v>
      </c>
      <c r="T455" t="s">
        <v>42</v>
      </c>
      <c r="U455" t="s">
        <v>40</v>
      </c>
      <c r="V455" t="s">
        <v>82</v>
      </c>
      <c r="W455" t="s">
        <v>83</v>
      </c>
      <c r="X455" t="s">
        <v>76</v>
      </c>
      <c r="Y455">
        <v>100</v>
      </c>
      <c r="Z455" t="s">
        <v>84</v>
      </c>
      <c r="AA455" t="s">
        <v>85</v>
      </c>
      <c r="AB455" s="1">
        <v>45955</v>
      </c>
      <c r="AC455" t="s">
        <v>66</v>
      </c>
      <c r="AD455" t="s">
        <v>40</v>
      </c>
      <c r="AE455" t="s">
        <v>60</v>
      </c>
      <c r="AF455" t="s">
        <v>40</v>
      </c>
      <c r="AG455">
        <v>1</v>
      </c>
      <c r="AH455" t="s">
        <v>100</v>
      </c>
    </row>
    <row r="456" spans="1:34" x14ac:dyDescent="0.3">
      <c r="A456" t="s">
        <v>897</v>
      </c>
      <c r="B456" t="s">
        <v>357</v>
      </c>
      <c r="C456" t="s">
        <v>97</v>
      </c>
      <c r="D456" t="s">
        <v>80</v>
      </c>
      <c r="E456" s="1">
        <v>46089</v>
      </c>
      <c r="F456" s="1">
        <v>46090</v>
      </c>
      <c r="G456" t="s">
        <v>81</v>
      </c>
      <c r="H456">
        <v>10504</v>
      </c>
      <c r="I456" t="s">
        <v>65</v>
      </c>
      <c r="J456" t="b">
        <v>0</v>
      </c>
      <c r="K456">
        <v>1</v>
      </c>
      <c r="L456">
        <v>3</v>
      </c>
      <c r="M456">
        <v>2026</v>
      </c>
      <c r="N456">
        <v>0</v>
      </c>
      <c r="O456">
        <v>3</v>
      </c>
      <c r="P456">
        <v>2026</v>
      </c>
      <c r="Q456">
        <v>6</v>
      </c>
      <c r="R456" t="s">
        <v>40</v>
      </c>
      <c r="S456" t="s">
        <v>45</v>
      </c>
      <c r="T456" t="s">
        <v>123</v>
      </c>
      <c r="U456" t="s">
        <v>40</v>
      </c>
      <c r="V456" t="s">
        <v>98</v>
      </c>
      <c r="W456" t="s">
        <v>99</v>
      </c>
      <c r="X456" t="s">
        <v>76</v>
      </c>
      <c r="Y456">
        <v>80</v>
      </c>
      <c r="Z456" t="s">
        <v>84</v>
      </c>
      <c r="AA456" t="s">
        <v>85</v>
      </c>
      <c r="AB456" s="1">
        <v>46090</v>
      </c>
      <c r="AC456" t="s">
        <v>40</v>
      </c>
      <c r="AD456" t="s">
        <v>40</v>
      </c>
      <c r="AE456" t="s">
        <v>60</v>
      </c>
      <c r="AF456" t="s">
        <v>40</v>
      </c>
      <c r="AG456">
        <v>0</v>
      </c>
      <c r="AH456" t="s">
        <v>100</v>
      </c>
    </row>
    <row r="457" spans="1:34" x14ac:dyDescent="0.3">
      <c r="A457" t="s">
        <v>898</v>
      </c>
      <c r="B457" t="s">
        <v>406</v>
      </c>
      <c r="C457" t="s">
        <v>122</v>
      </c>
      <c r="D457" t="s">
        <v>80</v>
      </c>
      <c r="E457" s="1">
        <v>45975</v>
      </c>
      <c r="F457" s="1">
        <v>46005</v>
      </c>
      <c r="G457" t="s">
        <v>81</v>
      </c>
      <c r="H457">
        <v>7587</v>
      </c>
      <c r="I457" t="s">
        <v>65</v>
      </c>
      <c r="J457" t="b">
        <v>0</v>
      </c>
      <c r="K457">
        <v>30</v>
      </c>
      <c r="L457">
        <v>12</v>
      </c>
      <c r="M457">
        <v>2025</v>
      </c>
      <c r="N457">
        <v>6</v>
      </c>
      <c r="O457">
        <v>11</v>
      </c>
      <c r="P457">
        <v>2025</v>
      </c>
      <c r="Q457">
        <v>4</v>
      </c>
      <c r="R457" t="s">
        <v>66</v>
      </c>
      <c r="S457" t="s">
        <v>55</v>
      </c>
      <c r="T457" t="s">
        <v>42</v>
      </c>
      <c r="U457" t="s">
        <v>40</v>
      </c>
      <c r="V457" t="s">
        <v>124</v>
      </c>
      <c r="W457" t="s">
        <v>125</v>
      </c>
      <c r="X457" t="s">
        <v>126</v>
      </c>
      <c r="Y457">
        <v>85</v>
      </c>
      <c r="Z457" t="s">
        <v>84</v>
      </c>
      <c r="AA457" t="s">
        <v>85</v>
      </c>
      <c r="AB457" s="1">
        <v>46005</v>
      </c>
      <c r="AC457" t="s">
        <v>66</v>
      </c>
      <c r="AD457" t="s">
        <v>40</v>
      </c>
      <c r="AE457" t="s">
        <v>69</v>
      </c>
      <c r="AF457" t="s">
        <v>40</v>
      </c>
      <c r="AG457">
        <v>0</v>
      </c>
      <c r="AH457" t="s">
        <v>70</v>
      </c>
    </row>
    <row r="458" spans="1:34" x14ac:dyDescent="0.3">
      <c r="A458" t="s">
        <v>899</v>
      </c>
      <c r="B458" t="s">
        <v>668</v>
      </c>
      <c r="C458" t="s">
        <v>97</v>
      </c>
      <c r="D458" t="s">
        <v>37</v>
      </c>
      <c r="E458" s="1">
        <v>45991</v>
      </c>
      <c r="F458" s="1">
        <v>45994</v>
      </c>
      <c r="G458" t="s">
        <v>41</v>
      </c>
      <c r="H458">
        <v>7215</v>
      </c>
      <c r="I458" t="s">
        <v>39</v>
      </c>
      <c r="J458" t="b">
        <v>0</v>
      </c>
      <c r="K458">
        <v>3</v>
      </c>
      <c r="L458">
        <v>12</v>
      </c>
      <c r="M458">
        <v>2025</v>
      </c>
      <c r="N458">
        <v>2</v>
      </c>
      <c r="O458">
        <v>11</v>
      </c>
      <c r="P458">
        <v>2025</v>
      </c>
      <c r="Q458">
        <v>6</v>
      </c>
      <c r="R458" t="s">
        <v>40</v>
      </c>
      <c r="S458" t="s">
        <v>67</v>
      </c>
      <c r="T458" t="s">
        <v>42</v>
      </c>
      <c r="U458" t="s">
        <v>66</v>
      </c>
      <c r="V458" t="s">
        <v>98</v>
      </c>
      <c r="W458" t="s">
        <v>99</v>
      </c>
      <c r="X458" t="s">
        <v>76</v>
      </c>
      <c r="Y458">
        <v>80</v>
      </c>
      <c r="Z458" t="s">
        <v>46</v>
      </c>
      <c r="AA458" t="s">
        <v>47</v>
      </c>
      <c r="AB458" s="1">
        <v>45994</v>
      </c>
      <c r="AC458" t="s">
        <v>40</v>
      </c>
      <c r="AD458" t="s">
        <v>40</v>
      </c>
      <c r="AE458" t="s">
        <v>69</v>
      </c>
      <c r="AF458" t="s">
        <v>40</v>
      </c>
      <c r="AG458">
        <v>0</v>
      </c>
      <c r="AH458" t="s">
        <v>100</v>
      </c>
    </row>
    <row r="459" spans="1:34" x14ac:dyDescent="0.3">
      <c r="A459" t="s">
        <v>900</v>
      </c>
      <c r="B459" t="s">
        <v>661</v>
      </c>
      <c r="C459" t="s">
        <v>129</v>
      </c>
      <c r="D459" t="s">
        <v>130</v>
      </c>
      <c r="E459" s="1">
        <v>45827</v>
      </c>
      <c r="F459" s="1">
        <v>45887</v>
      </c>
      <c r="G459" t="s">
        <v>81</v>
      </c>
      <c r="H459">
        <v>11774</v>
      </c>
      <c r="I459" t="s">
        <v>39</v>
      </c>
      <c r="J459" t="b">
        <v>0</v>
      </c>
      <c r="K459">
        <v>60</v>
      </c>
      <c r="L459">
        <v>8</v>
      </c>
      <c r="M459">
        <v>2025</v>
      </c>
      <c r="N459">
        <v>0</v>
      </c>
      <c r="O459">
        <v>6</v>
      </c>
      <c r="P459">
        <v>2025</v>
      </c>
      <c r="Q459">
        <v>3</v>
      </c>
      <c r="R459" t="s">
        <v>40</v>
      </c>
      <c r="S459" t="s">
        <v>55</v>
      </c>
      <c r="T459" t="s">
        <v>42</v>
      </c>
      <c r="U459" t="s">
        <v>40</v>
      </c>
      <c r="V459" t="s">
        <v>131</v>
      </c>
      <c r="W459" t="s">
        <v>132</v>
      </c>
      <c r="X459" t="s">
        <v>45</v>
      </c>
      <c r="Y459">
        <v>110</v>
      </c>
      <c r="Z459" t="s">
        <v>133</v>
      </c>
      <c r="AA459" t="s">
        <v>134</v>
      </c>
      <c r="AB459" s="1">
        <v>45887</v>
      </c>
      <c r="AC459" t="s">
        <v>40</v>
      </c>
      <c r="AD459" t="s">
        <v>40</v>
      </c>
      <c r="AE459" t="s">
        <v>86</v>
      </c>
      <c r="AF459" t="s">
        <v>40</v>
      </c>
      <c r="AG459">
        <v>0</v>
      </c>
      <c r="AH459" t="s">
        <v>61</v>
      </c>
    </row>
    <row r="460" spans="1:34" x14ac:dyDescent="0.3">
      <c r="A460" t="s">
        <v>901</v>
      </c>
      <c r="B460" t="s">
        <v>902</v>
      </c>
      <c r="C460" t="s">
        <v>155</v>
      </c>
      <c r="D460" t="s">
        <v>80</v>
      </c>
      <c r="E460" s="1">
        <v>45851</v>
      </c>
      <c r="F460" s="1">
        <v>45911</v>
      </c>
      <c r="G460" t="s">
        <v>64</v>
      </c>
      <c r="H460">
        <v>3548</v>
      </c>
      <c r="I460" t="s">
        <v>39</v>
      </c>
      <c r="J460" t="b">
        <v>0</v>
      </c>
      <c r="K460">
        <v>60</v>
      </c>
      <c r="L460">
        <v>9</v>
      </c>
      <c r="M460">
        <v>2025</v>
      </c>
      <c r="N460">
        <v>3</v>
      </c>
      <c r="O460">
        <v>7</v>
      </c>
      <c r="P460">
        <v>2025</v>
      </c>
      <c r="Q460">
        <v>6</v>
      </c>
      <c r="R460" t="s">
        <v>40</v>
      </c>
      <c r="S460" t="s">
        <v>55</v>
      </c>
      <c r="T460" t="s">
        <v>139</v>
      </c>
      <c r="U460" t="s">
        <v>40</v>
      </c>
      <c r="V460" t="s">
        <v>156</v>
      </c>
      <c r="W460" t="s">
        <v>157</v>
      </c>
      <c r="X460" t="s">
        <v>158</v>
      </c>
      <c r="Y460">
        <v>70</v>
      </c>
      <c r="Z460" t="s">
        <v>84</v>
      </c>
      <c r="AA460" t="s">
        <v>85</v>
      </c>
      <c r="AB460" s="1">
        <v>45911</v>
      </c>
      <c r="AC460" t="s">
        <v>40</v>
      </c>
      <c r="AD460" t="s">
        <v>40</v>
      </c>
      <c r="AE460" t="s">
        <v>60</v>
      </c>
      <c r="AF460" t="s">
        <v>40</v>
      </c>
      <c r="AG460">
        <v>0</v>
      </c>
      <c r="AH460" t="s">
        <v>61</v>
      </c>
    </row>
    <row r="461" spans="1:34" x14ac:dyDescent="0.3">
      <c r="A461" t="s">
        <v>903</v>
      </c>
      <c r="B461" t="s">
        <v>904</v>
      </c>
      <c r="C461" t="s">
        <v>122</v>
      </c>
      <c r="D461" t="s">
        <v>130</v>
      </c>
      <c r="E461" s="1">
        <v>46204</v>
      </c>
      <c r="F461" s="1">
        <v>46234</v>
      </c>
      <c r="G461" t="s">
        <v>41</v>
      </c>
      <c r="H461">
        <v>6392</v>
      </c>
      <c r="I461" t="s">
        <v>65</v>
      </c>
      <c r="J461" t="b">
        <v>0</v>
      </c>
      <c r="K461">
        <v>30</v>
      </c>
      <c r="L461">
        <v>7</v>
      </c>
      <c r="M461">
        <v>2026</v>
      </c>
      <c r="N461">
        <v>4</v>
      </c>
      <c r="O461">
        <v>7</v>
      </c>
      <c r="P461">
        <v>2026</v>
      </c>
      <c r="Q461">
        <v>2</v>
      </c>
      <c r="R461" t="s">
        <v>40</v>
      </c>
      <c r="S461" t="s">
        <v>55</v>
      </c>
      <c r="T461" t="s">
        <v>48</v>
      </c>
      <c r="U461" t="s">
        <v>40</v>
      </c>
      <c r="V461" t="s">
        <v>124</v>
      </c>
      <c r="W461" t="s">
        <v>125</v>
      </c>
      <c r="X461" t="s">
        <v>126</v>
      </c>
      <c r="Y461">
        <v>85</v>
      </c>
      <c r="Z461" t="s">
        <v>133</v>
      </c>
      <c r="AA461" t="s">
        <v>134</v>
      </c>
      <c r="AB461" s="1">
        <v>46234</v>
      </c>
      <c r="AC461" t="s">
        <v>40</v>
      </c>
      <c r="AD461" t="s">
        <v>40</v>
      </c>
      <c r="AE461" t="s">
        <v>86</v>
      </c>
      <c r="AF461" t="s">
        <v>40</v>
      </c>
      <c r="AG461">
        <v>0</v>
      </c>
      <c r="AH461" t="s">
        <v>70</v>
      </c>
    </row>
    <row r="462" spans="1:34" x14ac:dyDescent="0.3">
      <c r="A462" t="s">
        <v>905</v>
      </c>
      <c r="B462" t="s">
        <v>644</v>
      </c>
      <c r="C462" t="s">
        <v>103</v>
      </c>
      <c r="D462" t="s">
        <v>53</v>
      </c>
      <c r="E462" s="1">
        <v>45751</v>
      </c>
      <c r="F462" s="1">
        <v>45754</v>
      </c>
      <c r="G462" t="s">
        <v>64</v>
      </c>
      <c r="H462">
        <v>2544</v>
      </c>
      <c r="I462" t="s">
        <v>54</v>
      </c>
      <c r="J462" t="b">
        <v>0</v>
      </c>
      <c r="K462">
        <v>3</v>
      </c>
      <c r="L462">
        <v>4</v>
      </c>
      <c r="M462">
        <v>2025</v>
      </c>
      <c r="N462">
        <v>0</v>
      </c>
      <c r="O462">
        <v>4</v>
      </c>
      <c r="P462">
        <v>2025</v>
      </c>
      <c r="Q462">
        <v>4</v>
      </c>
      <c r="R462" t="s">
        <v>40</v>
      </c>
      <c r="S462" t="s">
        <v>41</v>
      </c>
      <c r="T462" t="s">
        <v>139</v>
      </c>
      <c r="U462" t="s">
        <v>40</v>
      </c>
      <c r="V462" t="s">
        <v>105</v>
      </c>
      <c r="W462" t="s">
        <v>106</v>
      </c>
      <c r="X462" t="s">
        <v>45</v>
      </c>
      <c r="Y462">
        <v>140</v>
      </c>
      <c r="Z462" t="s">
        <v>58</v>
      </c>
      <c r="AA462" t="s">
        <v>59</v>
      </c>
      <c r="AB462" s="1">
        <v>45754</v>
      </c>
      <c r="AC462" t="s">
        <v>40</v>
      </c>
      <c r="AD462" t="s">
        <v>40</v>
      </c>
      <c r="AE462" t="s">
        <v>69</v>
      </c>
      <c r="AF462" t="s">
        <v>40</v>
      </c>
      <c r="AG462">
        <v>1</v>
      </c>
      <c r="AH462" t="s">
        <v>100</v>
      </c>
    </row>
    <row r="463" spans="1:34" x14ac:dyDescent="0.3">
      <c r="A463" t="s">
        <v>906</v>
      </c>
      <c r="B463" t="s">
        <v>907</v>
      </c>
      <c r="C463" t="s">
        <v>103</v>
      </c>
      <c r="D463" t="s">
        <v>37</v>
      </c>
      <c r="E463" s="1">
        <v>45831</v>
      </c>
      <c r="F463" s="1">
        <v>45832</v>
      </c>
      <c r="G463" t="s">
        <v>81</v>
      </c>
      <c r="H463">
        <v>8941</v>
      </c>
      <c r="I463" t="s">
        <v>65</v>
      </c>
      <c r="J463" t="b">
        <v>0</v>
      </c>
      <c r="K463">
        <v>1</v>
      </c>
      <c r="L463">
        <v>6</v>
      </c>
      <c r="M463">
        <v>2025</v>
      </c>
      <c r="N463">
        <v>1</v>
      </c>
      <c r="O463">
        <v>6</v>
      </c>
      <c r="P463">
        <v>2025</v>
      </c>
      <c r="Q463">
        <v>0</v>
      </c>
      <c r="R463" t="s">
        <v>40</v>
      </c>
      <c r="S463" t="s">
        <v>41</v>
      </c>
      <c r="T463" t="s">
        <v>113</v>
      </c>
      <c r="U463" t="s">
        <v>40</v>
      </c>
      <c r="V463" t="s">
        <v>105</v>
      </c>
      <c r="W463" t="s">
        <v>106</v>
      </c>
      <c r="X463" t="s">
        <v>45</v>
      </c>
      <c r="Y463">
        <v>140</v>
      </c>
      <c r="Z463" t="s">
        <v>46</v>
      </c>
      <c r="AA463" t="s">
        <v>47</v>
      </c>
      <c r="AB463" s="1">
        <v>45832</v>
      </c>
      <c r="AC463" t="s">
        <v>40</v>
      </c>
      <c r="AD463" t="s">
        <v>40</v>
      </c>
      <c r="AE463" t="s">
        <v>60</v>
      </c>
      <c r="AF463" t="s">
        <v>40</v>
      </c>
      <c r="AG463">
        <v>0</v>
      </c>
      <c r="AH463" t="s">
        <v>100</v>
      </c>
    </row>
    <row r="464" spans="1:34" x14ac:dyDescent="0.3">
      <c r="A464" t="s">
        <v>908</v>
      </c>
      <c r="B464" t="s">
        <v>677</v>
      </c>
      <c r="C464" t="s">
        <v>103</v>
      </c>
      <c r="D464" t="s">
        <v>130</v>
      </c>
      <c r="E464" s="1">
        <v>45711</v>
      </c>
      <c r="F464" s="1">
        <v>45718</v>
      </c>
      <c r="G464" t="s">
        <v>38</v>
      </c>
      <c r="H464">
        <v>5566</v>
      </c>
      <c r="I464" t="s">
        <v>54</v>
      </c>
      <c r="J464" t="b">
        <v>0</v>
      </c>
      <c r="K464">
        <v>7</v>
      </c>
      <c r="L464">
        <v>3</v>
      </c>
      <c r="M464">
        <v>2025</v>
      </c>
      <c r="N464">
        <v>6</v>
      </c>
      <c r="O464">
        <v>2</v>
      </c>
      <c r="P464">
        <v>2025</v>
      </c>
      <c r="Q464">
        <v>6</v>
      </c>
      <c r="R464" t="s">
        <v>66</v>
      </c>
      <c r="S464" t="s">
        <v>67</v>
      </c>
      <c r="T464" t="s">
        <v>286</v>
      </c>
      <c r="U464" t="s">
        <v>40</v>
      </c>
      <c r="V464" t="s">
        <v>105</v>
      </c>
      <c r="W464" t="s">
        <v>106</v>
      </c>
      <c r="X464" t="s">
        <v>45</v>
      </c>
      <c r="Y464">
        <v>140</v>
      </c>
      <c r="Z464" t="s">
        <v>133</v>
      </c>
      <c r="AA464" t="s">
        <v>134</v>
      </c>
      <c r="AB464" s="1">
        <v>45718</v>
      </c>
      <c r="AC464" t="s">
        <v>66</v>
      </c>
      <c r="AD464" t="s">
        <v>40</v>
      </c>
      <c r="AE464" t="s">
        <v>60</v>
      </c>
      <c r="AF464" t="s">
        <v>40</v>
      </c>
      <c r="AG464">
        <v>1</v>
      </c>
      <c r="AH464" t="s">
        <v>100</v>
      </c>
    </row>
    <row r="465" spans="1:34" x14ac:dyDescent="0.3">
      <c r="A465" t="s">
        <v>909</v>
      </c>
      <c r="B465" t="s">
        <v>338</v>
      </c>
      <c r="C465" t="s">
        <v>146</v>
      </c>
      <c r="D465" t="s">
        <v>104</v>
      </c>
      <c r="E465" s="1">
        <v>45725</v>
      </c>
      <c r="F465" s="1">
        <v>45739</v>
      </c>
      <c r="G465" t="s">
        <v>41</v>
      </c>
      <c r="H465">
        <v>7269</v>
      </c>
      <c r="I465" t="s">
        <v>39</v>
      </c>
      <c r="J465" t="b">
        <v>0</v>
      </c>
      <c r="K465">
        <v>14</v>
      </c>
      <c r="L465">
        <v>3</v>
      </c>
      <c r="M465">
        <v>2025</v>
      </c>
      <c r="N465">
        <v>6</v>
      </c>
      <c r="O465">
        <v>3</v>
      </c>
      <c r="P465">
        <v>2025</v>
      </c>
      <c r="Q465">
        <v>6</v>
      </c>
      <c r="R465" t="s">
        <v>66</v>
      </c>
      <c r="S465" t="s">
        <v>45</v>
      </c>
      <c r="T465" t="s">
        <v>42</v>
      </c>
      <c r="U465" t="s">
        <v>40</v>
      </c>
      <c r="V465" t="s">
        <v>147</v>
      </c>
      <c r="W465" t="s">
        <v>148</v>
      </c>
      <c r="X465" t="s">
        <v>45</v>
      </c>
      <c r="Y465">
        <v>160</v>
      </c>
      <c r="Z465" t="s">
        <v>107</v>
      </c>
      <c r="AA465" t="s">
        <v>108</v>
      </c>
      <c r="AB465" s="1">
        <v>45739</v>
      </c>
      <c r="AC465" t="s">
        <v>66</v>
      </c>
      <c r="AD465" t="s">
        <v>40</v>
      </c>
      <c r="AE465" t="s">
        <v>60</v>
      </c>
      <c r="AF465" t="s">
        <v>40</v>
      </c>
      <c r="AG465">
        <v>0</v>
      </c>
      <c r="AH465" t="s">
        <v>70</v>
      </c>
    </row>
    <row r="466" spans="1:34" x14ac:dyDescent="0.3">
      <c r="A466" t="s">
        <v>910</v>
      </c>
      <c r="B466" t="s">
        <v>911</v>
      </c>
      <c r="C466" t="s">
        <v>129</v>
      </c>
      <c r="D466" t="s">
        <v>90</v>
      </c>
      <c r="E466" s="1">
        <v>45969</v>
      </c>
      <c r="F466" s="1">
        <v>45999</v>
      </c>
      <c r="G466" t="s">
        <v>41</v>
      </c>
      <c r="H466">
        <v>8206</v>
      </c>
      <c r="I466" t="s">
        <v>212</v>
      </c>
      <c r="J466" t="b">
        <v>0</v>
      </c>
      <c r="K466">
        <v>30</v>
      </c>
      <c r="L466">
        <v>12</v>
      </c>
      <c r="M466">
        <v>2025</v>
      </c>
      <c r="N466">
        <v>0</v>
      </c>
      <c r="O466">
        <v>11</v>
      </c>
      <c r="P466">
        <v>2025</v>
      </c>
      <c r="Q466">
        <v>5</v>
      </c>
      <c r="R466" t="s">
        <v>40</v>
      </c>
      <c r="S466" t="s">
        <v>55</v>
      </c>
      <c r="T466" t="s">
        <v>48</v>
      </c>
      <c r="U466" t="s">
        <v>40</v>
      </c>
      <c r="V466" t="s">
        <v>131</v>
      </c>
      <c r="W466" t="s">
        <v>132</v>
      </c>
      <c r="X466" t="s">
        <v>45</v>
      </c>
      <c r="Y466">
        <v>110</v>
      </c>
      <c r="Z466" t="s">
        <v>93</v>
      </c>
      <c r="AA466" t="s">
        <v>94</v>
      </c>
      <c r="AB466" s="1">
        <v>45999</v>
      </c>
      <c r="AC466" t="s">
        <v>40</v>
      </c>
      <c r="AD466" t="s">
        <v>40</v>
      </c>
      <c r="AE466" t="s">
        <v>69</v>
      </c>
      <c r="AF466" t="s">
        <v>40</v>
      </c>
      <c r="AG466">
        <v>0</v>
      </c>
      <c r="AH466" t="s">
        <v>70</v>
      </c>
    </row>
    <row r="467" spans="1:34" x14ac:dyDescent="0.3">
      <c r="A467" t="s">
        <v>912</v>
      </c>
      <c r="B467" t="s">
        <v>655</v>
      </c>
      <c r="C467" t="s">
        <v>146</v>
      </c>
      <c r="D467" t="s">
        <v>104</v>
      </c>
      <c r="E467" s="1">
        <v>46226</v>
      </c>
      <c r="F467" s="1">
        <v>46240</v>
      </c>
      <c r="G467" t="s">
        <v>64</v>
      </c>
      <c r="H467">
        <v>4168</v>
      </c>
      <c r="I467" t="s">
        <v>54</v>
      </c>
      <c r="J467" t="b">
        <v>0</v>
      </c>
      <c r="K467">
        <v>14</v>
      </c>
      <c r="L467">
        <v>8</v>
      </c>
      <c r="M467">
        <v>2026</v>
      </c>
      <c r="N467">
        <v>3</v>
      </c>
      <c r="O467">
        <v>7</v>
      </c>
      <c r="P467">
        <v>2026</v>
      </c>
      <c r="Q467">
        <v>3</v>
      </c>
      <c r="R467" t="s">
        <v>40</v>
      </c>
      <c r="S467" t="s">
        <v>45</v>
      </c>
      <c r="T467" t="s">
        <v>48</v>
      </c>
      <c r="U467" t="s">
        <v>40</v>
      </c>
      <c r="V467" t="s">
        <v>147</v>
      </c>
      <c r="W467" t="s">
        <v>148</v>
      </c>
      <c r="X467" t="s">
        <v>45</v>
      </c>
      <c r="Y467">
        <v>160</v>
      </c>
      <c r="Z467" t="s">
        <v>107</v>
      </c>
      <c r="AA467" t="s">
        <v>108</v>
      </c>
      <c r="AB467" s="1">
        <v>46240</v>
      </c>
      <c r="AC467" t="s">
        <v>40</v>
      </c>
      <c r="AD467" t="s">
        <v>40</v>
      </c>
      <c r="AE467" t="s">
        <v>86</v>
      </c>
      <c r="AF467" t="s">
        <v>40</v>
      </c>
      <c r="AG467">
        <v>1</v>
      </c>
      <c r="AH467" t="s">
        <v>70</v>
      </c>
    </row>
    <row r="468" spans="1:34" x14ac:dyDescent="0.3">
      <c r="A468" t="s">
        <v>913</v>
      </c>
      <c r="B468" t="s">
        <v>914</v>
      </c>
      <c r="C468" t="s">
        <v>169</v>
      </c>
      <c r="D468" t="s">
        <v>80</v>
      </c>
      <c r="E468" s="1">
        <v>45914</v>
      </c>
      <c r="F468" s="1">
        <v>46014</v>
      </c>
      <c r="G468" t="s">
        <v>41</v>
      </c>
      <c r="H468">
        <v>8443</v>
      </c>
      <c r="I468" t="s">
        <v>54</v>
      </c>
      <c r="J468" t="b">
        <v>0</v>
      </c>
      <c r="K468">
        <v>100</v>
      </c>
      <c r="L468">
        <v>12</v>
      </c>
      <c r="M468">
        <v>2025</v>
      </c>
      <c r="N468">
        <v>1</v>
      </c>
      <c r="O468">
        <v>9</v>
      </c>
      <c r="P468">
        <v>2025</v>
      </c>
      <c r="Q468">
        <v>6</v>
      </c>
      <c r="R468" t="s">
        <v>40</v>
      </c>
      <c r="S468" t="s">
        <v>41</v>
      </c>
      <c r="T468" t="s">
        <v>42</v>
      </c>
      <c r="U468" t="s">
        <v>40</v>
      </c>
      <c r="V468" t="s">
        <v>170</v>
      </c>
      <c r="W468" t="s">
        <v>171</v>
      </c>
      <c r="X468" t="s">
        <v>126</v>
      </c>
      <c r="Y468">
        <v>90</v>
      </c>
      <c r="Z468" t="s">
        <v>84</v>
      </c>
      <c r="AA468" t="s">
        <v>85</v>
      </c>
      <c r="AB468" s="1">
        <v>46014</v>
      </c>
      <c r="AC468" t="s">
        <v>40</v>
      </c>
      <c r="AD468" t="s">
        <v>40</v>
      </c>
      <c r="AE468" t="s">
        <v>69</v>
      </c>
      <c r="AF468" t="s">
        <v>40</v>
      </c>
      <c r="AG468">
        <v>1</v>
      </c>
      <c r="AH468" t="s">
        <v>49</v>
      </c>
    </row>
    <row r="469" spans="1:34" x14ac:dyDescent="0.3">
      <c r="A469" t="s">
        <v>915</v>
      </c>
      <c r="B469" t="s">
        <v>916</v>
      </c>
      <c r="C469" t="s">
        <v>155</v>
      </c>
      <c r="D469" t="s">
        <v>130</v>
      </c>
      <c r="E469" s="1">
        <v>45965</v>
      </c>
      <c r="F469" s="1">
        <v>45968</v>
      </c>
      <c r="G469" t="s">
        <v>64</v>
      </c>
      <c r="H469">
        <v>3684</v>
      </c>
      <c r="I469" t="s">
        <v>212</v>
      </c>
      <c r="J469" t="b">
        <v>0</v>
      </c>
      <c r="K469">
        <v>3</v>
      </c>
      <c r="L469">
        <v>11</v>
      </c>
      <c r="M469">
        <v>2025</v>
      </c>
      <c r="N469">
        <v>4</v>
      </c>
      <c r="O469">
        <v>11</v>
      </c>
      <c r="P469">
        <v>2025</v>
      </c>
      <c r="Q469">
        <v>1</v>
      </c>
      <c r="R469" t="s">
        <v>40</v>
      </c>
      <c r="S469" t="s">
        <v>55</v>
      </c>
      <c r="T469" t="s">
        <v>42</v>
      </c>
      <c r="U469" t="s">
        <v>66</v>
      </c>
      <c r="V469" t="s">
        <v>156</v>
      </c>
      <c r="W469" t="s">
        <v>157</v>
      </c>
      <c r="X469" t="s">
        <v>158</v>
      </c>
      <c r="Y469">
        <v>70</v>
      </c>
      <c r="Z469" t="s">
        <v>133</v>
      </c>
      <c r="AA469" t="s">
        <v>134</v>
      </c>
      <c r="AB469" s="1">
        <v>45968</v>
      </c>
      <c r="AC469" t="s">
        <v>40</v>
      </c>
      <c r="AD469" t="s">
        <v>40</v>
      </c>
      <c r="AE469" t="s">
        <v>86</v>
      </c>
      <c r="AF469" t="s">
        <v>40</v>
      </c>
      <c r="AG469">
        <v>0</v>
      </c>
      <c r="AH469" t="s">
        <v>100</v>
      </c>
    </row>
    <row r="470" spans="1:34" x14ac:dyDescent="0.3">
      <c r="A470" t="s">
        <v>917</v>
      </c>
      <c r="B470" t="s">
        <v>269</v>
      </c>
      <c r="C470" t="s">
        <v>129</v>
      </c>
      <c r="D470" t="s">
        <v>53</v>
      </c>
      <c r="E470" s="1">
        <v>46308</v>
      </c>
      <c r="F470" s="1">
        <v>46315</v>
      </c>
      <c r="G470" t="s">
        <v>41</v>
      </c>
      <c r="H470">
        <v>5862</v>
      </c>
      <c r="I470" t="s">
        <v>39</v>
      </c>
      <c r="J470" t="b">
        <v>0</v>
      </c>
      <c r="K470">
        <v>7</v>
      </c>
      <c r="L470">
        <v>10</v>
      </c>
      <c r="M470">
        <v>2026</v>
      </c>
      <c r="N470">
        <v>1</v>
      </c>
      <c r="O470">
        <v>10</v>
      </c>
      <c r="P470">
        <v>2026</v>
      </c>
      <c r="Q470">
        <v>1</v>
      </c>
      <c r="R470" t="s">
        <v>40</v>
      </c>
      <c r="S470" t="s">
        <v>45</v>
      </c>
      <c r="T470" t="s">
        <v>42</v>
      </c>
      <c r="U470" t="s">
        <v>40</v>
      </c>
      <c r="V470" t="s">
        <v>131</v>
      </c>
      <c r="W470" t="s">
        <v>132</v>
      </c>
      <c r="X470" t="s">
        <v>45</v>
      </c>
      <c r="Y470">
        <v>110</v>
      </c>
      <c r="Z470" t="s">
        <v>58</v>
      </c>
      <c r="AA470" t="s">
        <v>59</v>
      </c>
      <c r="AB470" s="1">
        <v>46315</v>
      </c>
      <c r="AC470" t="s">
        <v>40</v>
      </c>
      <c r="AD470" t="s">
        <v>40</v>
      </c>
      <c r="AE470" t="s">
        <v>60</v>
      </c>
      <c r="AF470" t="s">
        <v>40</v>
      </c>
      <c r="AG470">
        <v>0</v>
      </c>
      <c r="AH470" t="s">
        <v>100</v>
      </c>
    </row>
    <row r="471" spans="1:34" x14ac:dyDescent="0.3">
      <c r="A471" t="s">
        <v>918</v>
      </c>
      <c r="B471" t="s">
        <v>232</v>
      </c>
      <c r="C471" t="s">
        <v>129</v>
      </c>
      <c r="D471" t="s">
        <v>130</v>
      </c>
      <c r="E471" s="1">
        <v>46281</v>
      </c>
      <c r="F471" s="1">
        <v>46295</v>
      </c>
      <c r="G471" t="s">
        <v>64</v>
      </c>
      <c r="H471">
        <v>3046</v>
      </c>
      <c r="I471" t="s">
        <v>54</v>
      </c>
      <c r="J471" t="b">
        <v>0</v>
      </c>
      <c r="K471">
        <v>14</v>
      </c>
      <c r="L471">
        <v>9</v>
      </c>
      <c r="M471">
        <v>2026</v>
      </c>
      <c r="N471">
        <v>2</v>
      </c>
      <c r="O471">
        <v>9</v>
      </c>
      <c r="P471">
        <v>2026</v>
      </c>
      <c r="Q471">
        <v>2</v>
      </c>
      <c r="R471" t="s">
        <v>40</v>
      </c>
      <c r="S471" t="s">
        <v>41</v>
      </c>
      <c r="T471" t="s">
        <v>42</v>
      </c>
      <c r="U471" t="s">
        <v>40</v>
      </c>
      <c r="V471" t="s">
        <v>131</v>
      </c>
      <c r="W471" t="s">
        <v>132</v>
      </c>
      <c r="X471" t="s">
        <v>45</v>
      </c>
      <c r="Y471">
        <v>110</v>
      </c>
      <c r="Z471" t="s">
        <v>133</v>
      </c>
      <c r="AA471" t="s">
        <v>134</v>
      </c>
      <c r="AB471" s="1">
        <v>46295</v>
      </c>
      <c r="AC471" t="s">
        <v>40</v>
      </c>
      <c r="AD471" t="s">
        <v>40</v>
      </c>
      <c r="AE471" t="s">
        <v>60</v>
      </c>
      <c r="AF471" t="s">
        <v>40</v>
      </c>
      <c r="AG471">
        <v>1</v>
      </c>
      <c r="AH471" t="s">
        <v>70</v>
      </c>
    </row>
    <row r="472" spans="1:34" x14ac:dyDescent="0.3">
      <c r="A472" t="s">
        <v>919</v>
      </c>
      <c r="B472" t="s">
        <v>920</v>
      </c>
      <c r="C472" t="s">
        <v>146</v>
      </c>
      <c r="D472" t="s">
        <v>130</v>
      </c>
      <c r="E472" s="1">
        <v>46345</v>
      </c>
      <c r="F472" s="1">
        <v>46359</v>
      </c>
      <c r="G472" t="s">
        <v>64</v>
      </c>
      <c r="H472">
        <v>4190</v>
      </c>
      <c r="I472" t="s">
        <v>65</v>
      </c>
      <c r="J472" t="b">
        <v>0</v>
      </c>
      <c r="K472">
        <v>14</v>
      </c>
      <c r="L472">
        <v>12</v>
      </c>
      <c r="M472">
        <v>2026</v>
      </c>
      <c r="N472">
        <v>3</v>
      </c>
      <c r="O472">
        <v>11</v>
      </c>
      <c r="P472">
        <v>2026</v>
      </c>
      <c r="Q472">
        <v>3</v>
      </c>
      <c r="R472" t="s">
        <v>40</v>
      </c>
      <c r="S472" t="s">
        <v>55</v>
      </c>
      <c r="T472" t="s">
        <v>42</v>
      </c>
      <c r="U472" t="s">
        <v>40</v>
      </c>
      <c r="V472" t="s">
        <v>147</v>
      </c>
      <c r="W472" t="s">
        <v>148</v>
      </c>
      <c r="X472" t="s">
        <v>45</v>
      </c>
      <c r="Y472">
        <v>160</v>
      </c>
      <c r="Z472" t="s">
        <v>133</v>
      </c>
      <c r="AA472" t="s">
        <v>134</v>
      </c>
      <c r="AB472" s="1">
        <v>46359</v>
      </c>
      <c r="AC472" t="s">
        <v>40</v>
      </c>
      <c r="AD472" t="s">
        <v>40</v>
      </c>
      <c r="AE472" t="s">
        <v>69</v>
      </c>
      <c r="AF472" t="s">
        <v>40</v>
      </c>
      <c r="AG472">
        <v>0</v>
      </c>
      <c r="AH472" t="s">
        <v>70</v>
      </c>
    </row>
    <row r="473" spans="1:34" x14ac:dyDescent="0.3">
      <c r="A473" t="s">
        <v>921</v>
      </c>
      <c r="B473" t="s">
        <v>259</v>
      </c>
      <c r="C473" t="s">
        <v>36</v>
      </c>
      <c r="D473" t="s">
        <v>104</v>
      </c>
      <c r="E473" s="1">
        <v>46037</v>
      </c>
      <c r="F473" s="1">
        <v>46187</v>
      </c>
      <c r="G473" t="s">
        <v>41</v>
      </c>
      <c r="H473">
        <v>7787</v>
      </c>
      <c r="I473" t="s">
        <v>39</v>
      </c>
      <c r="J473" t="b">
        <v>0</v>
      </c>
      <c r="K473">
        <v>150</v>
      </c>
      <c r="L473">
        <v>6</v>
      </c>
      <c r="M473">
        <v>2026</v>
      </c>
      <c r="N473">
        <v>6</v>
      </c>
      <c r="O473">
        <v>1</v>
      </c>
      <c r="P473">
        <v>2026</v>
      </c>
      <c r="Q473">
        <v>3</v>
      </c>
      <c r="R473" t="s">
        <v>66</v>
      </c>
      <c r="S473" t="s">
        <v>67</v>
      </c>
      <c r="T473" t="s">
        <v>42</v>
      </c>
      <c r="U473" t="s">
        <v>66</v>
      </c>
      <c r="V473" t="s">
        <v>43</v>
      </c>
      <c r="W473" t="s">
        <v>44</v>
      </c>
      <c r="X473" t="s">
        <v>45</v>
      </c>
      <c r="Y473">
        <v>150</v>
      </c>
      <c r="Z473" t="s">
        <v>107</v>
      </c>
      <c r="AA473" t="s">
        <v>108</v>
      </c>
      <c r="AB473" s="1">
        <v>46187</v>
      </c>
      <c r="AC473" t="s">
        <v>66</v>
      </c>
      <c r="AD473" t="s">
        <v>40</v>
      </c>
      <c r="AE473" t="s">
        <v>60</v>
      </c>
      <c r="AF473" t="s">
        <v>40</v>
      </c>
      <c r="AG473">
        <v>0</v>
      </c>
      <c r="AH473" t="s">
        <v>49</v>
      </c>
    </row>
    <row r="474" spans="1:34" x14ac:dyDescent="0.3">
      <c r="A474" t="s">
        <v>922</v>
      </c>
      <c r="B474" t="s">
        <v>154</v>
      </c>
      <c r="C474" t="s">
        <v>129</v>
      </c>
      <c r="D474" t="s">
        <v>53</v>
      </c>
      <c r="E474" s="1">
        <v>45884</v>
      </c>
      <c r="F474" s="1">
        <v>45891</v>
      </c>
      <c r="G474" t="s">
        <v>41</v>
      </c>
      <c r="H474">
        <v>8704</v>
      </c>
      <c r="I474" t="s">
        <v>39</v>
      </c>
      <c r="J474" t="b">
        <v>0</v>
      </c>
      <c r="K474">
        <v>7</v>
      </c>
      <c r="L474">
        <v>8</v>
      </c>
      <c r="M474">
        <v>2025</v>
      </c>
      <c r="N474">
        <v>4</v>
      </c>
      <c r="O474">
        <v>8</v>
      </c>
      <c r="P474">
        <v>2025</v>
      </c>
      <c r="Q474">
        <v>4</v>
      </c>
      <c r="R474" t="s">
        <v>40</v>
      </c>
      <c r="S474" t="s">
        <v>55</v>
      </c>
      <c r="T474" t="s">
        <v>42</v>
      </c>
      <c r="U474" t="s">
        <v>40</v>
      </c>
      <c r="V474" t="s">
        <v>131</v>
      </c>
      <c r="W474" t="s">
        <v>132</v>
      </c>
      <c r="X474" t="s">
        <v>45</v>
      </c>
      <c r="Y474">
        <v>110</v>
      </c>
      <c r="Z474" t="s">
        <v>58</v>
      </c>
      <c r="AA474" t="s">
        <v>59</v>
      </c>
      <c r="AB474" s="1">
        <v>45891</v>
      </c>
      <c r="AC474" t="s">
        <v>40</v>
      </c>
      <c r="AD474" t="s">
        <v>40</v>
      </c>
      <c r="AE474" t="s">
        <v>86</v>
      </c>
      <c r="AF474" t="s">
        <v>40</v>
      </c>
      <c r="AG474">
        <v>0</v>
      </c>
      <c r="AH474" t="s">
        <v>100</v>
      </c>
    </row>
    <row r="475" spans="1:34" x14ac:dyDescent="0.3">
      <c r="A475" t="s">
        <v>923</v>
      </c>
      <c r="B475" t="s">
        <v>924</v>
      </c>
      <c r="C475" t="s">
        <v>36</v>
      </c>
      <c r="D475" t="s">
        <v>53</v>
      </c>
      <c r="E475" s="1">
        <v>46240</v>
      </c>
      <c r="F475" s="1">
        <v>46270</v>
      </c>
      <c r="G475" t="s">
        <v>38</v>
      </c>
      <c r="H475">
        <v>5817</v>
      </c>
      <c r="I475" t="s">
        <v>65</v>
      </c>
      <c r="J475" t="b">
        <v>0</v>
      </c>
      <c r="K475">
        <v>30</v>
      </c>
      <c r="L475">
        <v>9</v>
      </c>
      <c r="M475">
        <v>2026</v>
      </c>
      <c r="N475">
        <v>5</v>
      </c>
      <c r="O475">
        <v>8</v>
      </c>
      <c r="P475">
        <v>2026</v>
      </c>
      <c r="Q475">
        <v>3</v>
      </c>
      <c r="R475" t="s">
        <v>66</v>
      </c>
      <c r="S475" t="s">
        <v>41</v>
      </c>
      <c r="T475" t="s">
        <v>123</v>
      </c>
      <c r="U475" t="s">
        <v>66</v>
      </c>
      <c r="V475" t="s">
        <v>43</v>
      </c>
      <c r="W475" t="s">
        <v>44</v>
      </c>
      <c r="X475" t="s">
        <v>45</v>
      </c>
      <c r="Y475">
        <v>150</v>
      </c>
      <c r="Z475" t="s">
        <v>58</v>
      </c>
      <c r="AA475" t="s">
        <v>59</v>
      </c>
      <c r="AB475" s="1">
        <v>46270</v>
      </c>
      <c r="AC475" t="s">
        <v>66</v>
      </c>
      <c r="AD475" t="s">
        <v>40</v>
      </c>
      <c r="AE475" t="s">
        <v>60</v>
      </c>
      <c r="AF475" t="s">
        <v>40</v>
      </c>
      <c r="AG475">
        <v>0</v>
      </c>
      <c r="AH475" t="s">
        <v>70</v>
      </c>
    </row>
    <row r="476" spans="1:34" x14ac:dyDescent="0.3">
      <c r="A476" t="s">
        <v>925</v>
      </c>
      <c r="B476" t="s">
        <v>926</v>
      </c>
      <c r="C476" t="s">
        <v>169</v>
      </c>
      <c r="D476" t="s">
        <v>80</v>
      </c>
      <c r="E476" s="1">
        <v>45891</v>
      </c>
      <c r="F476" s="1">
        <v>45991</v>
      </c>
      <c r="G476" t="s">
        <v>81</v>
      </c>
      <c r="H476">
        <v>10865</v>
      </c>
      <c r="I476" t="s">
        <v>39</v>
      </c>
      <c r="J476" t="b">
        <v>0</v>
      </c>
      <c r="K476">
        <v>100</v>
      </c>
      <c r="L476">
        <v>11</v>
      </c>
      <c r="M476">
        <v>2025</v>
      </c>
      <c r="N476">
        <v>6</v>
      </c>
      <c r="O476">
        <v>8</v>
      </c>
      <c r="P476">
        <v>2025</v>
      </c>
      <c r="Q476">
        <v>4</v>
      </c>
      <c r="R476" t="s">
        <v>66</v>
      </c>
      <c r="S476" t="s">
        <v>67</v>
      </c>
      <c r="T476" t="s">
        <v>42</v>
      </c>
      <c r="U476" t="s">
        <v>40</v>
      </c>
      <c r="V476" t="s">
        <v>170</v>
      </c>
      <c r="W476" t="s">
        <v>171</v>
      </c>
      <c r="X476" t="s">
        <v>126</v>
      </c>
      <c r="Y476">
        <v>90</v>
      </c>
      <c r="Z476" t="s">
        <v>84</v>
      </c>
      <c r="AA476" t="s">
        <v>85</v>
      </c>
      <c r="AB476" s="1">
        <v>45991</v>
      </c>
      <c r="AC476" t="s">
        <v>66</v>
      </c>
      <c r="AD476" t="s">
        <v>40</v>
      </c>
      <c r="AE476" t="s">
        <v>86</v>
      </c>
      <c r="AF476" t="s">
        <v>40</v>
      </c>
      <c r="AG476">
        <v>0</v>
      </c>
      <c r="AH476" t="s">
        <v>49</v>
      </c>
    </row>
    <row r="477" spans="1:34" x14ac:dyDescent="0.3">
      <c r="A477" t="s">
        <v>927</v>
      </c>
      <c r="B477" t="s">
        <v>587</v>
      </c>
      <c r="C477" t="s">
        <v>129</v>
      </c>
      <c r="D477" t="s">
        <v>37</v>
      </c>
      <c r="E477" s="1">
        <v>46323</v>
      </c>
      <c r="F477" s="1">
        <v>46324</v>
      </c>
      <c r="G477" t="s">
        <v>81</v>
      </c>
      <c r="H477">
        <v>8744</v>
      </c>
      <c r="I477" t="s">
        <v>39</v>
      </c>
      <c r="J477" t="b">
        <v>0</v>
      </c>
      <c r="K477">
        <v>1</v>
      </c>
      <c r="L477">
        <v>10</v>
      </c>
      <c r="M477">
        <v>2026</v>
      </c>
      <c r="N477">
        <v>3</v>
      </c>
      <c r="O477">
        <v>10</v>
      </c>
      <c r="P477">
        <v>2026</v>
      </c>
      <c r="Q477">
        <v>2</v>
      </c>
      <c r="R477" t="s">
        <v>40</v>
      </c>
      <c r="S477" t="s">
        <v>55</v>
      </c>
      <c r="T477" t="s">
        <v>68</v>
      </c>
      <c r="U477" t="s">
        <v>40</v>
      </c>
      <c r="V477" t="s">
        <v>131</v>
      </c>
      <c r="W477" t="s">
        <v>132</v>
      </c>
      <c r="X477" t="s">
        <v>45</v>
      </c>
      <c r="Y477">
        <v>110</v>
      </c>
      <c r="Z477" t="s">
        <v>46</v>
      </c>
      <c r="AA477" t="s">
        <v>47</v>
      </c>
      <c r="AB477" s="1">
        <v>46324</v>
      </c>
      <c r="AC477" t="s">
        <v>40</v>
      </c>
      <c r="AD477" t="s">
        <v>40</v>
      </c>
      <c r="AE477" t="s">
        <v>60</v>
      </c>
      <c r="AF477" t="s">
        <v>40</v>
      </c>
      <c r="AG477">
        <v>0</v>
      </c>
      <c r="AH477" t="s">
        <v>100</v>
      </c>
    </row>
    <row r="478" spans="1:34" x14ac:dyDescent="0.3">
      <c r="A478" t="s">
        <v>928</v>
      </c>
      <c r="B478" t="s">
        <v>762</v>
      </c>
      <c r="C478" t="s">
        <v>89</v>
      </c>
      <c r="D478" t="s">
        <v>90</v>
      </c>
      <c r="E478" s="1">
        <v>45706</v>
      </c>
      <c r="F478" s="1">
        <v>45713</v>
      </c>
      <c r="G478" t="s">
        <v>41</v>
      </c>
      <c r="H478">
        <v>6605</v>
      </c>
      <c r="I478" t="s">
        <v>39</v>
      </c>
      <c r="J478" t="b">
        <v>0</v>
      </c>
      <c r="K478">
        <v>7</v>
      </c>
      <c r="L478">
        <v>2</v>
      </c>
      <c r="M478">
        <v>2025</v>
      </c>
      <c r="N478">
        <v>1</v>
      </c>
      <c r="O478">
        <v>2</v>
      </c>
      <c r="P478">
        <v>2025</v>
      </c>
      <c r="Q478">
        <v>1</v>
      </c>
      <c r="R478" t="s">
        <v>40</v>
      </c>
      <c r="S478" t="s">
        <v>67</v>
      </c>
      <c r="T478" t="s">
        <v>68</v>
      </c>
      <c r="U478" t="s">
        <v>66</v>
      </c>
      <c r="V478" t="s">
        <v>91</v>
      </c>
      <c r="W478" t="s">
        <v>92</v>
      </c>
      <c r="X478" t="s">
        <v>76</v>
      </c>
      <c r="Y478">
        <v>65</v>
      </c>
      <c r="Z478" t="s">
        <v>93</v>
      </c>
      <c r="AA478" t="s">
        <v>94</v>
      </c>
      <c r="AB478" s="1">
        <v>45713</v>
      </c>
      <c r="AC478" t="s">
        <v>40</v>
      </c>
      <c r="AD478" t="s">
        <v>40</v>
      </c>
      <c r="AE478" t="s">
        <v>60</v>
      </c>
      <c r="AF478" t="s">
        <v>40</v>
      </c>
      <c r="AG478">
        <v>0</v>
      </c>
      <c r="AH478" t="s">
        <v>100</v>
      </c>
    </row>
    <row r="479" spans="1:34" x14ac:dyDescent="0.3">
      <c r="A479" t="s">
        <v>929</v>
      </c>
      <c r="B479" t="s">
        <v>733</v>
      </c>
      <c r="C479" t="s">
        <v>89</v>
      </c>
      <c r="D479" t="s">
        <v>90</v>
      </c>
      <c r="E479" s="1">
        <v>46091</v>
      </c>
      <c r="F479" s="1">
        <v>46241</v>
      </c>
      <c r="G479" t="s">
        <v>38</v>
      </c>
      <c r="H479">
        <v>4848</v>
      </c>
      <c r="I479" t="s">
        <v>54</v>
      </c>
      <c r="J479" t="b">
        <v>0</v>
      </c>
      <c r="K479">
        <v>150</v>
      </c>
      <c r="L479">
        <v>8</v>
      </c>
      <c r="M479">
        <v>2026</v>
      </c>
      <c r="N479">
        <v>4</v>
      </c>
      <c r="O479">
        <v>3</v>
      </c>
      <c r="P479">
        <v>2026</v>
      </c>
      <c r="Q479">
        <v>1</v>
      </c>
      <c r="R479" t="s">
        <v>40</v>
      </c>
      <c r="S479" t="s">
        <v>45</v>
      </c>
      <c r="T479" t="s">
        <v>139</v>
      </c>
      <c r="U479" t="s">
        <v>40</v>
      </c>
      <c r="V479" t="s">
        <v>91</v>
      </c>
      <c r="W479" t="s">
        <v>92</v>
      </c>
      <c r="X479" t="s">
        <v>76</v>
      </c>
      <c r="Y479">
        <v>65</v>
      </c>
      <c r="Z479" t="s">
        <v>93</v>
      </c>
      <c r="AA479" t="s">
        <v>94</v>
      </c>
      <c r="AB479" s="1">
        <v>46241</v>
      </c>
      <c r="AC479" t="s">
        <v>40</v>
      </c>
      <c r="AD479" t="s">
        <v>40</v>
      </c>
      <c r="AE479" t="s">
        <v>86</v>
      </c>
      <c r="AF479" t="s">
        <v>40</v>
      </c>
      <c r="AG479">
        <v>1</v>
      </c>
      <c r="AH479" t="s">
        <v>49</v>
      </c>
    </row>
    <row r="480" spans="1:34" x14ac:dyDescent="0.3">
      <c r="A480" t="s">
        <v>930</v>
      </c>
      <c r="B480" t="s">
        <v>931</v>
      </c>
      <c r="C480" t="s">
        <v>103</v>
      </c>
      <c r="D480" t="s">
        <v>130</v>
      </c>
      <c r="E480" s="1">
        <v>46264</v>
      </c>
      <c r="F480" s="1">
        <v>46324</v>
      </c>
      <c r="G480" t="s">
        <v>81</v>
      </c>
      <c r="H480">
        <v>10379</v>
      </c>
      <c r="I480" t="s">
        <v>65</v>
      </c>
      <c r="J480" t="b">
        <v>0</v>
      </c>
      <c r="K480">
        <v>60</v>
      </c>
      <c r="L480">
        <v>10</v>
      </c>
      <c r="M480">
        <v>2026</v>
      </c>
      <c r="N480">
        <v>3</v>
      </c>
      <c r="O480">
        <v>8</v>
      </c>
      <c r="P480">
        <v>2026</v>
      </c>
      <c r="Q480">
        <v>6</v>
      </c>
      <c r="R480" t="s">
        <v>40</v>
      </c>
      <c r="S480" t="s">
        <v>67</v>
      </c>
      <c r="T480" t="s">
        <v>42</v>
      </c>
      <c r="U480" t="s">
        <v>40</v>
      </c>
      <c r="V480" t="s">
        <v>105</v>
      </c>
      <c r="W480" t="s">
        <v>106</v>
      </c>
      <c r="X480" t="s">
        <v>45</v>
      </c>
      <c r="Y480">
        <v>140</v>
      </c>
      <c r="Z480" t="s">
        <v>133</v>
      </c>
      <c r="AA480" t="s">
        <v>134</v>
      </c>
      <c r="AB480" s="1">
        <v>46324</v>
      </c>
      <c r="AC480" t="s">
        <v>40</v>
      </c>
      <c r="AD480" t="s">
        <v>40</v>
      </c>
      <c r="AE480" t="s">
        <v>60</v>
      </c>
      <c r="AF480" t="s">
        <v>40</v>
      </c>
      <c r="AG480">
        <v>0</v>
      </c>
      <c r="AH480" t="s">
        <v>61</v>
      </c>
    </row>
    <row r="481" spans="1:34" x14ac:dyDescent="0.3">
      <c r="A481" t="s">
        <v>932</v>
      </c>
      <c r="B481" t="s">
        <v>933</v>
      </c>
      <c r="C481" t="s">
        <v>73</v>
      </c>
      <c r="D481" t="s">
        <v>130</v>
      </c>
      <c r="E481" s="1">
        <v>46272</v>
      </c>
      <c r="F481" s="1">
        <v>46302</v>
      </c>
      <c r="G481" t="s">
        <v>64</v>
      </c>
      <c r="H481">
        <v>3385</v>
      </c>
      <c r="I481" t="s">
        <v>54</v>
      </c>
      <c r="J481" t="b">
        <v>0</v>
      </c>
      <c r="K481">
        <v>30</v>
      </c>
      <c r="L481">
        <v>10</v>
      </c>
      <c r="M481">
        <v>2026</v>
      </c>
      <c r="N481">
        <v>2</v>
      </c>
      <c r="O481">
        <v>9</v>
      </c>
      <c r="P481">
        <v>2026</v>
      </c>
      <c r="Q481">
        <v>0</v>
      </c>
      <c r="R481" t="s">
        <v>40</v>
      </c>
      <c r="S481" t="s">
        <v>55</v>
      </c>
      <c r="T481" t="s">
        <v>42</v>
      </c>
      <c r="U481" t="s">
        <v>40</v>
      </c>
      <c r="V481" t="s">
        <v>74</v>
      </c>
      <c r="W481" t="s">
        <v>75</v>
      </c>
      <c r="X481" t="s">
        <v>76</v>
      </c>
      <c r="Y481">
        <v>75</v>
      </c>
      <c r="Z481" t="s">
        <v>133</v>
      </c>
      <c r="AA481" t="s">
        <v>134</v>
      </c>
      <c r="AB481" s="1">
        <v>46302</v>
      </c>
      <c r="AC481" t="s">
        <v>40</v>
      </c>
      <c r="AD481" t="s">
        <v>40</v>
      </c>
      <c r="AE481" t="s">
        <v>60</v>
      </c>
      <c r="AF481" t="s">
        <v>40</v>
      </c>
      <c r="AG481">
        <v>1</v>
      </c>
      <c r="AH481" t="s">
        <v>70</v>
      </c>
    </row>
    <row r="482" spans="1:34" x14ac:dyDescent="0.3">
      <c r="A482" t="s">
        <v>934</v>
      </c>
      <c r="B482" t="s">
        <v>411</v>
      </c>
      <c r="C482" t="s">
        <v>89</v>
      </c>
      <c r="D482" t="s">
        <v>130</v>
      </c>
      <c r="E482" s="1">
        <v>45788</v>
      </c>
      <c r="F482" s="1">
        <v>45789</v>
      </c>
      <c r="G482" t="s">
        <v>41</v>
      </c>
      <c r="H482">
        <v>5417</v>
      </c>
      <c r="I482" t="s">
        <v>39</v>
      </c>
      <c r="J482" t="b">
        <v>0</v>
      </c>
      <c r="K482">
        <v>1</v>
      </c>
      <c r="L482">
        <v>5</v>
      </c>
      <c r="M482">
        <v>2025</v>
      </c>
      <c r="N482">
        <v>0</v>
      </c>
      <c r="O482">
        <v>5</v>
      </c>
      <c r="P482">
        <v>2025</v>
      </c>
      <c r="Q482">
        <v>6</v>
      </c>
      <c r="R482" t="s">
        <v>40</v>
      </c>
      <c r="S482" t="s">
        <v>41</v>
      </c>
      <c r="T482" t="s">
        <v>42</v>
      </c>
      <c r="U482" t="s">
        <v>40</v>
      </c>
      <c r="V482" t="s">
        <v>91</v>
      </c>
      <c r="W482" t="s">
        <v>92</v>
      </c>
      <c r="X482" t="s">
        <v>76</v>
      </c>
      <c r="Y482">
        <v>65</v>
      </c>
      <c r="Z482" t="s">
        <v>133</v>
      </c>
      <c r="AA482" t="s">
        <v>134</v>
      </c>
      <c r="AB482" s="1">
        <v>45789</v>
      </c>
      <c r="AC482" t="s">
        <v>40</v>
      </c>
      <c r="AD482" t="s">
        <v>40</v>
      </c>
      <c r="AE482" t="s">
        <v>69</v>
      </c>
      <c r="AF482" t="s">
        <v>40</v>
      </c>
      <c r="AG482">
        <v>0</v>
      </c>
      <c r="AH482" t="s">
        <v>100</v>
      </c>
    </row>
    <row r="483" spans="1:34" x14ac:dyDescent="0.3">
      <c r="A483" t="s">
        <v>935</v>
      </c>
      <c r="B483" t="s">
        <v>936</v>
      </c>
      <c r="C483" t="s">
        <v>103</v>
      </c>
      <c r="D483" t="s">
        <v>130</v>
      </c>
      <c r="E483" s="1">
        <v>46290</v>
      </c>
      <c r="F483" s="1">
        <v>46350</v>
      </c>
      <c r="G483" t="s">
        <v>38</v>
      </c>
      <c r="H483">
        <v>3543</v>
      </c>
      <c r="I483" t="s">
        <v>39</v>
      </c>
      <c r="J483" t="b">
        <v>0</v>
      </c>
      <c r="K483">
        <v>60</v>
      </c>
      <c r="L483">
        <v>11</v>
      </c>
      <c r="M483">
        <v>2026</v>
      </c>
      <c r="N483">
        <v>1</v>
      </c>
      <c r="O483">
        <v>9</v>
      </c>
      <c r="P483">
        <v>2026</v>
      </c>
      <c r="Q483">
        <v>4</v>
      </c>
      <c r="R483" t="s">
        <v>40</v>
      </c>
      <c r="S483" t="s">
        <v>55</v>
      </c>
      <c r="T483" t="s">
        <v>42</v>
      </c>
      <c r="U483" t="s">
        <v>66</v>
      </c>
      <c r="V483" t="s">
        <v>105</v>
      </c>
      <c r="W483" t="s">
        <v>106</v>
      </c>
      <c r="X483" t="s">
        <v>45</v>
      </c>
      <c r="Y483">
        <v>140</v>
      </c>
      <c r="Z483" t="s">
        <v>133</v>
      </c>
      <c r="AA483" t="s">
        <v>134</v>
      </c>
      <c r="AB483" s="1">
        <v>46350</v>
      </c>
      <c r="AC483" t="s">
        <v>40</v>
      </c>
      <c r="AD483" t="s">
        <v>40</v>
      </c>
      <c r="AE483" t="s">
        <v>86</v>
      </c>
      <c r="AF483" t="s">
        <v>40</v>
      </c>
      <c r="AG483">
        <v>0</v>
      </c>
      <c r="AH483" t="s">
        <v>61</v>
      </c>
    </row>
    <row r="484" spans="1:34" x14ac:dyDescent="0.3">
      <c r="A484" t="s">
        <v>937</v>
      </c>
      <c r="B484" t="s">
        <v>938</v>
      </c>
      <c r="C484" t="s">
        <v>79</v>
      </c>
      <c r="D484" t="s">
        <v>37</v>
      </c>
      <c r="E484" s="1">
        <v>46349</v>
      </c>
      <c r="F484" s="1">
        <v>46409</v>
      </c>
      <c r="G484" t="s">
        <v>41</v>
      </c>
      <c r="H484">
        <v>5442</v>
      </c>
      <c r="I484" t="s">
        <v>39</v>
      </c>
      <c r="J484" t="b">
        <v>0</v>
      </c>
      <c r="K484">
        <v>60</v>
      </c>
      <c r="L484">
        <v>1</v>
      </c>
      <c r="M484">
        <v>2027</v>
      </c>
      <c r="N484">
        <v>4</v>
      </c>
      <c r="O484">
        <v>11</v>
      </c>
      <c r="P484">
        <v>2026</v>
      </c>
      <c r="Q484">
        <v>0</v>
      </c>
      <c r="R484" t="s">
        <v>40</v>
      </c>
      <c r="S484" t="s">
        <v>67</v>
      </c>
      <c r="T484" t="s">
        <v>139</v>
      </c>
      <c r="U484" t="s">
        <v>66</v>
      </c>
      <c r="V484" t="s">
        <v>82</v>
      </c>
      <c r="W484" t="s">
        <v>83</v>
      </c>
      <c r="X484" t="s">
        <v>76</v>
      </c>
      <c r="Y484">
        <v>100</v>
      </c>
      <c r="Z484" t="s">
        <v>46</v>
      </c>
      <c r="AA484" t="s">
        <v>47</v>
      </c>
      <c r="AB484" s="1"/>
      <c r="AC484" t="s">
        <v>48</v>
      </c>
      <c r="AD484" t="s">
        <v>48</v>
      </c>
      <c r="AE484" t="s">
        <v>48</v>
      </c>
      <c r="AF484" t="s">
        <v>48</v>
      </c>
      <c r="AG484">
        <v>0</v>
      </c>
      <c r="AH484" t="s">
        <v>61</v>
      </c>
    </row>
    <row r="485" spans="1:34" x14ac:dyDescent="0.3">
      <c r="A485" t="s">
        <v>939</v>
      </c>
      <c r="B485" t="s">
        <v>940</v>
      </c>
      <c r="C485" t="s">
        <v>155</v>
      </c>
      <c r="D485" t="s">
        <v>90</v>
      </c>
      <c r="E485" s="1">
        <v>46310</v>
      </c>
      <c r="F485" s="1">
        <v>46340</v>
      </c>
      <c r="G485" t="s">
        <v>81</v>
      </c>
      <c r="H485">
        <v>8023</v>
      </c>
      <c r="I485" t="s">
        <v>54</v>
      </c>
      <c r="J485" t="b">
        <v>0</v>
      </c>
      <c r="K485">
        <v>30</v>
      </c>
      <c r="L485">
        <v>11</v>
      </c>
      <c r="M485">
        <v>2026</v>
      </c>
      <c r="N485">
        <v>5</v>
      </c>
      <c r="O485">
        <v>10</v>
      </c>
      <c r="P485">
        <v>2026</v>
      </c>
      <c r="Q485">
        <v>3</v>
      </c>
      <c r="R485" t="s">
        <v>66</v>
      </c>
      <c r="S485" t="s">
        <v>55</v>
      </c>
      <c r="T485" t="s">
        <v>139</v>
      </c>
      <c r="U485" t="s">
        <v>40</v>
      </c>
      <c r="V485" t="s">
        <v>156</v>
      </c>
      <c r="W485" t="s">
        <v>157</v>
      </c>
      <c r="X485" t="s">
        <v>158</v>
      </c>
      <c r="Y485">
        <v>70</v>
      </c>
      <c r="Z485" t="s">
        <v>93</v>
      </c>
      <c r="AA485" t="s">
        <v>94</v>
      </c>
      <c r="AB485" s="1">
        <v>46340</v>
      </c>
      <c r="AC485" t="s">
        <v>66</v>
      </c>
      <c r="AD485" t="s">
        <v>40</v>
      </c>
      <c r="AE485" t="s">
        <v>86</v>
      </c>
      <c r="AF485" t="s">
        <v>40</v>
      </c>
      <c r="AG485">
        <v>1</v>
      </c>
      <c r="AH485" t="s">
        <v>70</v>
      </c>
    </row>
    <row r="486" spans="1:34" x14ac:dyDescent="0.3">
      <c r="A486" t="s">
        <v>941</v>
      </c>
      <c r="B486" t="s">
        <v>926</v>
      </c>
      <c r="C486" t="s">
        <v>169</v>
      </c>
      <c r="D486" t="s">
        <v>80</v>
      </c>
      <c r="E486" s="1">
        <v>46104</v>
      </c>
      <c r="F486" s="1">
        <v>46134</v>
      </c>
      <c r="G486" t="s">
        <v>81</v>
      </c>
      <c r="H486">
        <v>7692</v>
      </c>
      <c r="I486" t="s">
        <v>39</v>
      </c>
      <c r="J486" t="b">
        <v>0</v>
      </c>
      <c r="K486">
        <v>30</v>
      </c>
      <c r="L486">
        <v>4</v>
      </c>
      <c r="M486">
        <v>2026</v>
      </c>
      <c r="N486">
        <v>2</v>
      </c>
      <c r="O486">
        <v>3</v>
      </c>
      <c r="P486">
        <v>2026</v>
      </c>
      <c r="Q486">
        <v>0</v>
      </c>
      <c r="R486" t="s">
        <v>40</v>
      </c>
      <c r="S486" t="s">
        <v>67</v>
      </c>
      <c r="T486" t="s">
        <v>42</v>
      </c>
      <c r="U486" t="s">
        <v>40</v>
      </c>
      <c r="V486" t="s">
        <v>170</v>
      </c>
      <c r="W486" t="s">
        <v>171</v>
      </c>
      <c r="X486" t="s">
        <v>126</v>
      </c>
      <c r="Y486">
        <v>90</v>
      </c>
      <c r="Z486" t="s">
        <v>84</v>
      </c>
      <c r="AA486" t="s">
        <v>85</v>
      </c>
      <c r="AB486" s="1">
        <v>46134</v>
      </c>
      <c r="AC486" t="s">
        <v>40</v>
      </c>
      <c r="AD486" t="s">
        <v>40</v>
      </c>
      <c r="AE486" t="s">
        <v>69</v>
      </c>
      <c r="AF486" t="s">
        <v>40</v>
      </c>
      <c r="AG486">
        <v>0</v>
      </c>
      <c r="AH486" t="s">
        <v>70</v>
      </c>
    </row>
    <row r="487" spans="1:34" x14ac:dyDescent="0.3">
      <c r="A487" t="s">
        <v>942</v>
      </c>
      <c r="B487" t="s">
        <v>259</v>
      </c>
      <c r="C487" t="s">
        <v>146</v>
      </c>
      <c r="D487" t="s">
        <v>80</v>
      </c>
      <c r="E487" s="1">
        <v>46331</v>
      </c>
      <c r="F487" s="1">
        <v>46391</v>
      </c>
      <c r="G487" t="s">
        <v>64</v>
      </c>
      <c r="H487">
        <v>3238</v>
      </c>
      <c r="I487" t="s">
        <v>39</v>
      </c>
      <c r="J487" t="b">
        <v>0</v>
      </c>
      <c r="K487">
        <v>60</v>
      </c>
      <c r="L487">
        <v>1</v>
      </c>
      <c r="M487">
        <v>2027</v>
      </c>
      <c r="N487">
        <v>0</v>
      </c>
      <c r="O487">
        <v>11</v>
      </c>
      <c r="P487">
        <v>2026</v>
      </c>
      <c r="Q487">
        <v>3</v>
      </c>
      <c r="R487" t="s">
        <v>40</v>
      </c>
      <c r="S487" t="s">
        <v>67</v>
      </c>
      <c r="T487" t="s">
        <v>42</v>
      </c>
      <c r="U487" t="s">
        <v>66</v>
      </c>
      <c r="V487" t="s">
        <v>147</v>
      </c>
      <c r="W487" t="s">
        <v>148</v>
      </c>
      <c r="X487" t="s">
        <v>45</v>
      </c>
      <c r="Y487">
        <v>160</v>
      </c>
      <c r="Z487" t="s">
        <v>84</v>
      </c>
      <c r="AA487" t="s">
        <v>85</v>
      </c>
      <c r="AB487" s="1"/>
      <c r="AC487" t="s">
        <v>48</v>
      </c>
      <c r="AD487" t="s">
        <v>48</v>
      </c>
      <c r="AE487" t="s">
        <v>48</v>
      </c>
      <c r="AF487" t="s">
        <v>48</v>
      </c>
      <c r="AG487">
        <v>0</v>
      </c>
      <c r="AH487" t="s">
        <v>61</v>
      </c>
    </row>
    <row r="488" spans="1:34" x14ac:dyDescent="0.3">
      <c r="A488" t="s">
        <v>943</v>
      </c>
      <c r="B488" t="s">
        <v>610</v>
      </c>
      <c r="C488" t="s">
        <v>36</v>
      </c>
      <c r="D488" t="s">
        <v>53</v>
      </c>
      <c r="E488" s="1">
        <v>45851</v>
      </c>
      <c r="F488" s="1">
        <v>45881</v>
      </c>
      <c r="G488" t="s">
        <v>41</v>
      </c>
      <c r="H488">
        <v>7318</v>
      </c>
      <c r="I488" t="s">
        <v>39</v>
      </c>
      <c r="J488" t="b">
        <v>0</v>
      </c>
      <c r="K488">
        <v>30</v>
      </c>
      <c r="L488">
        <v>8</v>
      </c>
      <c r="M488">
        <v>2025</v>
      </c>
      <c r="N488">
        <v>1</v>
      </c>
      <c r="O488">
        <v>7</v>
      </c>
      <c r="P488">
        <v>2025</v>
      </c>
      <c r="Q488">
        <v>6</v>
      </c>
      <c r="R488" t="s">
        <v>40</v>
      </c>
      <c r="S488" t="s">
        <v>41</v>
      </c>
      <c r="T488" t="s">
        <v>42</v>
      </c>
      <c r="U488" t="s">
        <v>66</v>
      </c>
      <c r="V488" t="s">
        <v>43</v>
      </c>
      <c r="W488" t="s">
        <v>44</v>
      </c>
      <c r="X488" t="s">
        <v>45</v>
      </c>
      <c r="Y488">
        <v>150</v>
      </c>
      <c r="Z488" t="s">
        <v>58</v>
      </c>
      <c r="AA488" t="s">
        <v>59</v>
      </c>
      <c r="AB488" s="1">
        <v>45881</v>
      </c>
      <c r="AC488" t="s">
        <v>40</v>
      </c>
      <c r="AD488" t="s">
        <v>40</v>
      </c>
      <c r="AE488" t="s">
        <v>86</v>
      </c>
      <c r="AF488" t="s">
        <v>40</v>
      </c>
      <c r="AG488">
        <v>0</v>
      </c>
      <c r="AH488" t="s">
        <v>70</v>
      </c>
    </row>
    <row r="489" spans="1:34" x14ac:dyDescent="0.3">
      <c r="A489" t="s">
        <v>944</v>
      </c>
      <c r="B489" t="s">
        <v>755</v>
      </c>
      <c r="C489" t="s">
        <v>36</v>
      </c>
      <c r="D489" t="s">
        <v>104</v>
      </c>
      <c r="E489" s="1">
        <v>45701</v>
      </c>
      <c r="F489" s="1">
        <v>45731</v>
      </c>
      <c r="G489" t="s">
        <v>64</v>
      </c>
      <c r="H489">
        <v>3619</v>
      </c>
      <c r="I489" t="s">
        <v>65</v>
      </c>
      <c r="J489" t="b">
        <v>0</v>
      </c>
      <c r="K489">
        <v>30</v>
      </c>
      <c r="L489">
        <v>3</v>
      </c>
      <c r="M489">
        <v>2025</v>
      </c>
      <c r="N489">
        <v>5</v>
      </c>
      <c r="O489">
        <v>2</v>
      </c>
      <c r="P489">
        <v>2025</v>
      </c>
      <c r="Q489">
        <v>3</v>
      </c>
      <c r="R489" t="s">
        <v>66</v>
      </c>
      <c r="S489" t="s">
        <v>45</v>
      </c>
      <c r="T489" t="s">
        <v>42</v>
      </c>
      <c r="U489" t="s">
        <v>40</v>
      </c>
      <c r="V489" t="s">
        <v>43</v>
      </c>
      <c r="W489" t="s">
        <v>44</v>
      </c>
      <c r="X489" t="s">
        <v>45</v>
      </c>
      <c r="Y489">
        <v>150</v>
      </c>
      <c r="Z489" t="s">
        <v>107</v>
      </c>
      <c r="AA489" t="s">
        <v>108</v>
      </c>
      <c r="AB489" s="1">
        <v>45731</v>
      </c>
      <c r="AC489" t="s">
        <v>66</v>
      </c>
      <c r="AD489" t="s">
        <v>40</v>
      </c>
      <c r="AE489" t="s">
        <v>60</v>
      </c>
      <c r="AF489" t="s">
        <v>40</v>
      </c>
      <c r="AG489">
        <v>0</v>
      </c>
      <c r="AH489" t="s">
        <v>70</v>
      </c>
    </row>
    <row r="490" spans="1:34" x14ac:dyDescent="0.3">
      <c r="A490" t="s">
        <v>945</v>
      </c>
      <c r="B490" t="s">
        <v>330</v>
      </c>
      <c r="C490" t="s">
        <v>89</v>
      </c>
      <c r="D490" t="s">
        <v>104</v>
      </c>
      <c r="E490" s="1">
        <v>45868</v>
      </c>
      <c r="F490" s="1">
        <v>45882</v>
      </c>
      <c r="G490" t="s">
        <v>64</v>
      </c>
      <c r="H490">
        <v>2220</v>
      </c>
      <c r="I490" t="s">
        <v>39</v>
      </c>
      <c r="J490" t="b">
        <v>0</v>
      </c>
      <c r="K490">
        <v>14</v>
      </c>
      <c r="L490">
        <v>8</v>
      </c>
      <c r="M490">
        <v>2025</v>
      </c>
      <c r="N490">
        <v>2</v>
      </c>
      <c r="O490">
        <v>7</v>
      </c>
      <c r="P490">
        <v>2025</v>
      </c>
      <c r="Q490">
        <v>2</v>
      </c>
      <c r="R490" t="s">
        <v>40</v>
      </c>
      <c r="S490" t="s">
        <v>45</v>
      </c>
      <c r="T490" t="s">
        <v>42</v>
      </c>
      <c r="U490" t="s">
        <v>40</v>
      </c>
      <c r="V490" t="s">
        <v>91</v>
      </c>
      <c r="W490" t="s">
        <v>92</v>
      </c>
      <c r="X490" t="s">
        <v>76</v>
      </c>
      <c r="Y490">
        <v>65</v>
      </c>
      <c r="Z490" t="s">
        <v>107</v>
      </c>
      <c r="AA490" t="s">
        <v>108</v>
      </c>
      <c r="AB490" s="1">
        <v>45882</v>
      </c>
      <c r="AC490" t="s">
        <v>40</v>
      </c>
      <c r="AD490" t="s">
        <v>40</v>
      </c>
      <c r="AE490" t="s">
        <v>86</v>
      </c>
      <c r="AF490" t="s">
        <v>40</v>
      </c>
      <c r="AG490">
        <v>0</v>
      </c>
      <c r="AH490" t="s">
        <v>70</v>
      </c>
    </row>
    <row r="491" spans="1:34" x14ac:dyDescent="0.3">
      <c r="A491" t="s">
        <v>946</v>
      </c>
      <c r="B491" t="s">
        <v>809</v>
      </c>
      <c r="C491" t="s">
        <v>155</v>
      </c>
      <c r="D491" t="s">
        <v>53</v>
      </c>
      <c r="E491" s="1">
        <v>45702</v>
      </c>
      <c r="F491" s="1">
        <v>45922</v>
      </c>
      <c r="G491" t="s">
        <v>38</v>
      </c>
      <c r="H491">
        <v>4213</v>
      </c>
      <c r="I491" t="s">
        <v>54</v>
      </c>
      <c r="J491" t="b">
        <v>0</v>
      </c>
      <c r="K491">
        <v>220</v>
      </c>
      <c r="L491">
        <v>9</v>
      </c>
      <c r="M491">
        <v>2025</v>
      </c>
      <c r="N491">
        <v>0</v>
      </c>
      <c r="O491">
        <v>2</v>
      </c>
      <c r="P491">
        <v>2025</v>
      </c>
      <c r="Q491">
        <v>4</v>
      </c>
      <c r="R491" t="s">
        <v>40</v>
      </c>
      <c r="S491" t="s">
        <v>67</v>
      </c>
      <c r="T491" t="s">
        <v>42</v>
      </c>
      <c r="U491" t="s">
        <v>40</v>
      </c>
      <c r="V491" t="s">
        <v>156</v>
      </c>
      <c r="W491" t="s">
        <v>157</v>
      </c>
      <c r="X491" t="s">
        <v>158</v>
      </c>
      <c r="Y491">
        <v>70</v>
      </c>
      <c r="Z491" t="s">
        <v>58</v>
      </c>
      <c r="AA491" t="s">
        <v>59</v>
      </c>
      <c r="AB491" s="1">
        <v>45922</v>
      </c>
      <c r="AC491" t="s">
        <v>40</v>
      </c>
      <c r="AD491" t="s">
        <v>40</v>
      </c>
      <c r="AE491" t="s">
        <v>60</v>
      </c>
      <c r="AF491" t="s">
        <v>40</v>
      </c>
      <c r="AG491">
        <v>1</v>
      </c>
      <c r="AH491" t="s">
        <v>142</v>
      </c>
    </row>
    <row r="492" spans="1:34" x14ac:dyDescent="0.3">
      <c r="A492" t="s">
        <v>947</v>
      </c>
      <c r="B492" t="s">
        <v>312</v>
      </c>
      <c r="C492" t="s">
        <v>73</v>
      </c>
      <c r="D492" t="s">
        <v>90</v>
      </c>
      <c r="E492" s="1">
        <v>45858</v>
      </c>
      <c r="F492" s="1">
        <v>45859</v>
      </c>
      <c r="G492" t="s">
        <v>81</v>
      </c>
      <c r="H492">
        <v>9604</v>
      </c>
      <c r="I492" t="s">
        <v>54</v>
      </c>
      <c r="J492" t="b">
        <v>0</v>
      </c>
      <c r="K492">
        <v>1</v>
      </c>
      <c r="L492">
        <v>7</v>
      </c>
      <c r="M492">
        <v>2025</v>
      </c>
      <c r="N492">
        <v>0</v>
      </c>
      <c r="O492">
        <v>7</v>
      </c>
      <c r="P492">
        <v>2025</v>
      </c>
      <c r="Q492">
        <v>6</v>
      </c>
      <c r="R492" t="s">
        <v>40</v>
      </c>
      <c r="S492" t="s">
        <v>45</v>
      </c>
      <c r="T492" t="s">
        <v>42</v>
      </c>
      <c r="U492" t="s">
        <v>40</v>
      </c>
      <c r="V492" t="s">
        <v>74</v>
      </c>
      <c r="W492" t="s">
        <v>75</v>
      </c>
      <c r="X492" t="s">
        <v>76</v>
      </c>
      <c r="Y492">
        <v>75</v>
      </c>
      <c r="Z492" t="s">
        <v>93</v>
      </c>
      <c r="AA492" t="s">
        <v>94</v>
      </c>
      <c r="AB492" s="1">
        <v>45859</v>
      </c>
      <c r="AC492" t="s">
        <v>40</v>
      </c>
      <c r="AD492" t="s">
        <v>40</v>
      </c>
      <c r="AE492" t="s">
        <v>86</v>
      </c>
      <c r="AF492" t="s">
        <v>40</v>
      </c>
      <c r="AG492">
        <v>1</v>
      </c>
      <c r="AH492" t="s">
        <v>100</v>
      </c>
    </row>
    <row r="493" spans="1:34" x14ac:dyDescent="0.3">
      <c r="A493" t="s">
        <v>948</v>
      </c>
      <c r="B493" t="s">
        <v>491</v>
      </c>
      <c r="C493" t="s">
        <v>169</v>
      </c>
      <c r="D493" t="s">
        <v>104</v>
      </c>
      <c r="E493" s="1">
        <v>45903</v>
      </c>
      <c r="F493" s="1">
        <v>45917</v>
      </c>
      <c r="G493" t="s">
        <v>81</v>
      </c>
      <c r="H493">
        <v>11605</v>
      </c>
      <c r="I493" t="s">
        <v>39</v>
      </c>
      <c r="J493" t="b">
        <v>0</v>
      </c>
      <c r="K493">
        <v>14</v>
      </c>
      <c r="L493">
        <v>9</v>
      </c>
      <c r="M493">
        <v>2025</v>
      </c>
      <c r="N493">
        <v>2</v>
      </c>
      <c r="O493">
        <v>9</v>
      </c>
      <c r="P493">
        <v>2025</v>
      </c>
      <c r="Q493">
        <v>2</v>
      </c>
      <c r="R493" t="s">
        <v>40</v>
      </c>
      <c r="S493" t="s">
        <v>45</v>
      </c>
      <c r="T493" t="s">
        <v>286</v>
      </c>
      <c r="U493" t="s">
        <v>40</v>
      </c>
      <c r="V493" t="s">
        <v>170</v>
      </c>
      <c r="W493" t="s">
        <v>171</v>
      </c>
      <c r="X493" t="s">
        <v>126</v>
      </c>
      <c r="Y493">
        <v>90</v>
      </c>
      <c r="Z493" t="s">
        <v>107</v>
      </c>
      <c r="AA493" t="s">
        <v>108</v>
      </c>
      <c r="AB493" s="1">
        <v>45917</v>
      </c>
      <c r="AC493" t="s">
        <v>40</v>
      </c>
      <c r="AD493" t="s">
        <v>40</v>
      </c>
      <c r="AE493" t="s">
        <v>60</v>
      </c>
      <c r="AF493" t="s">
        <v>40</v>
      </c>
      <c r="AG493">
        <v>0</v>
      </c>
      <c r="AH493" t="s">
        <v>70</v>
      </c>
    </row>
    <row r="494" spans="1:34" x14ac:dyDescent="0.3">
      <c r="A494" t="s">
        <v>949</v>
      </c>
      <c r="B494" t="s">
        <v>560</v>
      </c>
      <c r="C494" t="s">
        <v>73</v>
      </c>
      <c r="D494" t="s">
        <v>90</v>
      </c>
      <c r="E494" s="1">
        <v>46203</v>
      </c>
      <c r="F494" s="1">
        <v>46217</v>
      </c>
      <c r="G494" t="s">
        <v>81</v>
      </c>
      <c r="H494">
        <v>11711</v>
      </c>
      <c r="I494" t="s">
        <v>39</v>
      </c>
      <c r="J494" t="b">
        <v>0</v>
      </c>
      <c r="K494">
        <v>14</v>
      </c>
      <c r="L494">
        <v>7</v>
      </c>
      <c r="M494">
        <v>2026</v>
      </c>
      <c r="N494">
        <v>1</v>
      </c>
      <c r="O494">
        <v>6</v>
      </c>
      <c r="P494">
        <v>2026</v>
      </c>
      <c r="Q494">
        <v>1</v>
      </c>
      <c r="R494" t="s">
        <v>40</v>
      </c>
      <c r="S494" t="s">
        <v>45</v>
      </c>
      <c r="T494" t="s">
        <v>42</v>
      </c>
      <c r="U494" t="s">
        <v>66</v>
      </c>
      <c r="V494" t="s">
        <v>74</v>
      </c>
      <c r="W494" t="s">
        <v>75</v>
      </c>
      <c r="X494" t="s">
        <v>76</v>
      </c>
      <c r="Y494">
        <v>75</v>
      </c>
      <c r="Z494" t="s">
        <v>93</v>
      </c>
      <c r="AA494" t="s">
        <v>94</v>
      </c>
      <c r="AB494" s="1">
        <v>46217</v>
      </c>
      <c r="AC494" t="s">
        <v>40</v>
      </c>
      <c r="AD494" t="s">
        <v>40</v>
      </c>
      <c r="AE494" t="s">
        <v>86</v>
      </c>
      <c r="AF494" t="s">
        <v>40</v>
      </c>
      <c r="AG494">
        <v>0</v>
      </c>
      <c r="AH494" t="s">
        <v>70</v>
      </c>
    </row>
    <row r="495" spans="1:34" x14ac:dyDescent="0.3">
      <c r="A495" t="s">
        <v>950</v>
      </c>
      <c r="B495" t="s">
        <v>110</v>
      </c>
      <c r="C495" t="s">
        <v>169</v>
      </c>
      <c r="D495" t="s">
        <v>90</v>
      </c>
      <c r="E495" s="1">
        <v>45993</v>
      </c>
      <c r="F495" s="1">
        <v>46000</v>
      </c>
      <c r="G495" t="s">
        <v>81</v>
      </c>
      <c r="H495">
        <v>11284</v>
      </c>
      <c r="I495" t="s">
        <v>65</v>
      </c>
      <c r="J495" t="b">
        <v>0</v>
      </c>
      <c r="K495">
        <v>7</v>
      </c>
      <c r="L495">
        <v>12</v>
      </c>
      <c r="M495">
        <v>2025</v>
      </c>
      <c r="N495">
        <v>1</v>
      </c>
      <c r="O495">
        <v>12</v>
      </c>
      <c r="P495">
        <v>2025</v>
      </c>
      <c r="Q495">
        <v>1</v>
      </c>
      <c r="R495" t="s">
        <v>40</v>
      </c>
      <c r="S495" t="s">
        <v>45</v>
      </c>
      <c r="T495" t="s">
        <v>42</v>
      </c>
      <c r="U495" t="s">
        <v>66</v>
      </c>
      <c r="V495" t="s">
        <v>170</v>
      </c>
      <c r="W495" t="s">
        <v>171</v>
      </c>
      <c r="X495" t="s">
        <v>126</v>
      </c>
      <c r="Y495">
        <v>90</v>
      </c>
      <c r="Z495" t="s">
        <v>93</v>
      </c>
      <c r="AA495" t="s">
        <v>94</v>
      </c>
      <c r="AB495" s="1">
        <v>46000</v>
      </c>
      <c r="AC495" t="s">
        <v>40</v>
      </c>
      <c r="AD495" t="s">
        <v>40</v>
      </c>
      <c r="AE495" t="s">
        <v>69</v>
      </c>
      <c r="AF495" t="s">
        <v>40</v>
      </c>
      <c r="AG495">
        <v>0</v>
      </c>
      <c r="AH495" t="s">
        <v>100</v>
      </c>
    </row>
    <row r="496" spans="1:34" x14ac:dyDescent="0.3">
      <c r="A496" t="s">
        <v>951</v>
      </c>
      <c r="B496" t="s">
        <v>201</v>
      </c>
      <c r="C496" t="s">
        <v>36</v>
      </c>
      <c r="D496" t="s">
        <v>90</v>
      </c>
      <c r="E496" s="1">
        <v>46178</v>
      </c>
      <c r="F496" s="1">
        <v>46192</v>
      </c>
      <c r="G496" t="s">
        <v>81</v>
      </c>
      <c r="H496">
        <v>7966</v>
      </c>
      <c r="I496" t="s">
        <v>39</v>
      </c>
      <c r="J496" t="b">
        <v>0</v>
      </c>
      <c r="K496">
        <v>14</v>
      </c>
      <c r="L496">
        <v>6</v>
      </c>
      <c r="M496">
        <v>2026</v>
      </c>
      <c r="N496">
        <v>4</v>
      </c>
      <c r="O496">
        <v>6</v>
      </c>
      <c r="P496">
        <v>2026</v>
      </c>
      <c r="Q496">
        <v>4</v>
      </c>
      <c r="R496" t="s">
        <v>40</v>
      </c>
      <c r="S496" t="s">
        <v>55</v>
      </c>
      <c r="T496" t="s">
        <v>42</v>
      </c>
      <c r="U496" t="s">
        <v>66</v>
      </c>
      <c r="V496" t="s">
        <v>43</v>
      </c>
      <c r="W496" t="s">
        <v>44</v>
      </c>
      <c r="X496" t="s">
        <v>45</v>
      </c>
      <c r="Y496">
        <v>150</v>
      </c>
      <c r="Z496" t="s">
        <v>93</v>
      </c>
      <c r="AA496" t="s">
        <v>94</v>
      </c>
      <c r="AB496" s="1">
        <v>46192</v>
      </c>
      <c r="AC496" t="s">
        <v>40</v>
      </c>
      <c r="AD496" t="s">
        <v>40</v>
      </c>
      <c r="AE496" t="s">
        <v>60</v>
      </c>
      <c r="AF496" t="s">
        <v>40</v>
      </c>
      <c r="AG496">
        <v>0</v>
      </c>
      <c r="AH496" t="s">
        <v>70</v>
      </c>
    </row>
    <row r="497" spans="1:34" x14ac:dyDescent="0.3">
      <c r="A497" t="s">
        <v>952</v>
      </c>
      <c r="B497" t="s">
        <v>820</v>
      </c>
      <c r="C497" t="s">
        <v>122</v>
      </c>
      <c r="D497" t="s">
        <v>53</v>
      </c>
      <c r="E497" s="1">
        <v>46253</v>
      </c>
      <c r="F497" s="1">
        <v>46267</v>
      </c>
      <c r="G497" t="s">
        <v>64</v>
      </c>
      <c r="H497">
        <v>2649</v>
      </c>
      <c r="I497" t="s">
        <v>54</v>
      </c>
      <c r="J497" t="b">
        <v>0</v>
      </c>
      <c r="K497">
        <v>14</v>
      </c>
      <c r="L497">
        <v>9</v>
      </c>
      <c r="M497">
        <v>2026</v>
      </c>
      <c r="N497">
        <v>2</v>
      </c>
      <c r="O497">
        <v>8</v>
      </c>
      <c r="P497">
        <v>2026</v>
      </c>
      <c r="Q497">
        <v>2</v>
      </c>
      <c r="R497" t="s">
        <v>40</v>
      </c>
      <c r="S497" t="s">
        <v>45</v>
      </c>
      <c r="T497" t="s">
        <v>42</v>
      </c>
      <c r="U497" t="s">
        <v>66</v>
      </c>
      <c r="V497" t="s">
        <v>124</v>
      </c>
      <c r="W497" t="s">
        <v>125</v>
      </c>
      <c r="X497" t="s">
        <v>126</v>
      </c>
      <c r="Y497">
        <v>85</v>
      </c>
      <c r="Z497" t="s">
        <v>58</v>
      </c>
      <c r="AA497" t="s">
        <v>59</v>
      </c>
      <c r="AB497" s="1">
        <v>46267</v>
      </c>
      <c r="AC497" t="s">
        <v>40</v>
      </c>
      <c r="AD497" t="s">
        <v>40</v>
      </c>
      <c r="AE497" t="s">
        <v>60</v>
      </c>
      <c r="AF497" t="s">
        <v>40</v>
      </c>
      <c r="AG497">
        <v>1</v>
      </c>
      <c r="AH497" t="s">
        <v>70</v>
      </c>
    </row>
    <row r="498" spans="1:34" x14ac:dyDescent="0.3">
      <c r="A498" t="s">
        <v>953</v>
      </c>
      <c r="B498" t="s">
        <v>892</v>
      </c>
      <c r="C498" t="s">
        <v>103</v>
      </c>
      <c r="D498" t="s">
        <v>80</v>
      </c>
      <c r="E498" s="1">
        <v>45818</v>
      </c>
      <c r="F498" s="1">
        <v>45968</v>
      </c>
      <c r="G498" t="s">
        <v>81</v>
      </c>
      <c r="H498">
        <v>7600</v>
      </c>
      <c r="I498" t="s">
        <v>39</v>
      </c>
      <c r="J498" t="b">
        <v>0</v>
      </c>
      <c r="K498">
        <v>150</v>
      </c>
      <c r="L498">
        <v>11</v>
      </c>
      <c r="M498">
        <v>2025</v>
      </c>
      <c r="N498">
        <v>4</v>
      </c>
      <c r="O498">
        <v>6</v>
      </c>
      <c r="P498">
        <v>2025</v>
      </c>
      <c r="Q498">
        <v>1</v>
      </c>
      <c r="R498" t="s">
        <v>40</v>
      </c>
      <c r="S498" t="s">
        <v>45</v>
      </c>
      <c r="T498" t="s">
        <v>42</v>
      </c>
      <c r="U498" t="s">
        <v>40</v>
      </c>
      <c r="V498" t="s">
        <v>105</v>
      </c>
      <c r="W498" t="s">
        <v>106</v>
      </c>
      <c r="X498" t="s">
        <v>45</v>
      </c>
      <c r="Y498">
        <v>140</v>
      </c>
      <c r="Z498" t="s">
        <v>84</v>
      </c>
      <c r="AA498" t="s">
        <v>85</v>
      </c>
      <c r="AB498" s="1">
        <v>45968</v>
      </c>
      <c r="AC498" t="s">
        <v>40</v>
      </c>
      <c r="AD498" t="s">
        <v>40</v>
      </c>
      <c r="AE498" t="s">
        <v>86</v>
      </c>
      <c r="AF498" t="s">
        <v>40</v>
      </c>
      <c r="AG498">
        <v>0</v>
      </c>
      <c r="AH498" t="s">
        <v>49</v>
      </c>
    </row>
    <row r="499" spans="1:34" x14ac:dyDescent="0.3">
      <c r="A499" t="s">
        <v>954</v>
      </c>
      <c r="B499" t="s">
        <v>955</v>
      </c>
      <c r="C499" t="s">
        <v>52</v>
      </c>
      <c r="D499" t="s">
        <v>104</v>
      </c>
      <c r="E499" s="1">
        <v>46182</v>
      </c>
      <c r="F499" s="1">
        <v>46212</v>
      </c>
      <c r="G499" t="s">
        <v>41</v>
      </c>
      <c r="H499">
        <v>6505</v>
      </c>
      <c r="I499" t="s">
        <v>39</v>
      </c>
      <c r="J499" t="b">
        <v>0</v>
      </c>
      <c r="K499">
        <v>30</v>
      </c>
      <c r="L499">
        <v>7</v>
      </c>
      <c r="M499">
        <v>2026</v>
      </c>
      <c r="N499">
        <v>3</v>
      </c>
      <c r="O499">
        <v>6</v>
      </c>
      <c r="P499">
        <v>2026</v>
      </c>
      <c r="Q499">
        <v>1</v>
      </c>
      <c r="R499" t="s">
        <v>40</v>
      </c>
      <c r="S499" t="s">
        <v>55</v>
      </c>
      <c r="T499" t="s">
        <v>42</v>
      </c>
      <c r="U499" t="s">
        <v>40</v>
      </c>
      <c r="V499" t="s">
        <v>56</v>
      </c>
      <c r="W499" t="s">
        <v>57</v>
      </c>
      <c r="X499" t="s">
        <v>45</v>
      </c>
      <c r="Y499">
        <v>120</v>
      </c>
      <c r="Z499" t="s">
        <v>107</v>
      </c>
      <c r="AA499" t="s">
        <v>108</v>
      </c>
      <c r="AB499" s="1">
        <v>46212</v>
      </c>
      <c r="AC499" t="s">
        <v>40</v>
      </c>
      <c r="AD499" t="s">
        <v>40</v>
      </c>
      <c r="AE499" t="s">
        <v>86</v>
      </c>
      <c r="AF499" t="s">
        <v>40</v>
      </c>
      <c r="AG499">
        <v>0</v>
      </c>
      <c r="AH499" t="s">
        <v>70</v>
      </c>
    </row>
    <row r="500" spans="1:34" x14ac:dyDescent="0.3">
      <c r="A500" t="s">
        <v>956</v>
      </c>
      <c r="B500" t="s">
        <v>957</v>
      </c>
      <c r="C500" t="s">
        <v>122</v>
      </c>
      <c r="D500" t="s">
        <v>90</v>
      </c>
      <c r="E500" s="1">
        <v>45929</v>
      </c>
      <c r="F500" s="1">
        <v>45959</v>
      </c>
      <c r="G500" t="s">
        <v>81</v>
      </c>
      <c r="H500">
        <v>10700</v>
      </c>
      <c r="I500" t="s">
        <v>65</v>
      </c>
      <c r="J500" t="b">
        <v>0</v>
      </c>
      <c r="K500">
        <v>30</v>
      </c>
      <c r="L500">
        <v>10</v>
      </c>
      <c r="M500">
        <v>2025</v>
      </c>
      <c r="N500">
        <v>2</v>
      </c>
      <c r="O500">
        <v>9</v>
      </c>
      <c r="P500">
        <v>2025</v>
      </c>
      <c r="Q500">
        <v>0</v>
      </c>
      <c r="R500" t="s">
        <v>40</v>
      </c>
      <c r="S500" t="s">
        <v>55</v>
      </c>
      <c r="T500" t="s">
        <v>113</v>
      </c>
      <c r="U500" t="s">
        <v>40</v>
      </c>
      <c r="V500" t="s">
        <v>124</v>
      </c>
      <c r="W500" t="s">
        <v>125</v>
      </c>
      <c r="X500" t="s">
        <v>126</v>
      </c>
      <c r="Y500">
        <v>85</v>
      </c>
      <c r="Z500" t="s">
        <v>93</v>
      </c>
      <c r="AA500" t="s">
        <v>94</v>
      </c>
      <c r="AB500" s="1">
        <v>45959</v>
      </c>
      <c r="AC500" t="s">
        <v>40</v>
      </c>
      <c r="AD500" t="s">
        <v>40</v>
      </c>
      <c r="AE500" t="s">
        <v>60</v>
      </c>
      <c r="AF500" t="s">
        <v>40</v>
      </c>
      <c r="AG500">
        <v>0</v>
      </c>
      <c r="AH500" t="s">
        <v>70</v>
      </c>
    </row>
    <row r="501" spans="1:34" x14ac:dyDescent="0.3">
      <c r="A501" t="s">
        <v>958</v>
      </c>
      <c r="B501" t="s">
        <v>332</v>
      </c>
      <c r="C501" t="s">
        <v>36</v>
      </c>
      <c r="D501" t="s">
        <v>130</v>
      </c>
      <c r="E501" s="1">
        <v>46026</v>
      </c>
      <c r="F501" s="1">
        <v>46027</v>
      </c>
      <c r="G501" t="s">
        <v>38</v>
      </c>
      <c r="H501">
        <v>4848</v>
      </c>
      <c r="I501" t="s">
        <v>65</v>
      </c>
      <c r="J501" t="b">
        <v>0</v>
      </c>
      <c r="K501">
        <v>1</v>
      </c>
      <c r="L501">
        <v>1</v>
      </c>
      <c r="M501">
        <v>2026</v>
      </c>
      <c r="N501">
        <v>0</v>
      </c>
      <c r="O501">
        <v>1</v>
      </c>
      <c r="P501">
        <v>2026</v>
      </c>
      <c r="Q501">
        <v>6</v>
      </c>
      <c r="R501" t="s">
        <v>40</v>
      </c>
      <c r="S501" t="s">
        <v>67</v>
      </c>
      <c r="T501" t="s">
        <v>42</v>
      </c>
      <c r="U501" t="s">
        <v>40</v>
      </c>
      <c r="V501" t="s">
        <v>43</v>
      </c>
      <c r="W501" t="s">
        <v>44</v>
      </c>
      <c r="X501" t="s">
        <v>45</v>
      </c>
      <c r="Y501">
        <v>150</v>
      </c>
      <c r="Z501" t="s">
        <v>133</v>
      </c>
      <c r="AA501" t="s">
        <v>134</v>
      </c>
      <c r="AB501" s="1">
        <v>46027</v>
      </c>
      <c r="AC501" t="s">
        <v>40</v>
      </c>
      <c r="AD501" t="s">
        <v>40</v>
      </c>
      <c r="AE501" t="s">
        <v>86</v>
      </c>
      <c r="AF501" t="s">
        <v>40</v>
      </c>
      <c r="AG501">
        <v>0</v>
      </c>
      <c r="AH501" t="s">
        <v>100</v>
      </c>
    </row>
    <row r="502" spans="1:34" x14ac:dyDescent="0.3">
      <c r="A502" t="s">
        <v>959</v>
      </c>
      <c r="B502" t="s">
        <v>960</v>
      </c>
      <c r="C502" t="s">
        <v>89</v>
      </c>
      <c r="D502" t="s">
        <v>80</v>
      </c>
      <c r="E502" s="1">
        <v>45799</v>
      </c>
      <c r="F502" s="1">
        <v>46019</v>
      </c>
      <c r="G502" t="s">
        <v>81</v>
      </c>
      <c r="H502">
        <v>8808</v>
      </c>
      <c r="I502" t="s">
        <v>212</v>
      </c>
      <c r="J502" t="b">
        <v>0</v>
      </c>
      <c r="K502">
        <v>220</v>
      </c>
      <c r="L502">
        <v>12</v>
      </c>
      <c r="M502">
        <v>2025</v>
      </c>
      <c r="N502">
        <v>6</v>
      </c>
      <c r="O502">
        <v>5</v>
      </c>
      <c r="P502">
        <v>2025</v>
      </c>
      <c r="Q502">
        <v>3</v>
      </c>
      <c r="R502" t="s">
        <v>66</v>
      </c>
      <c r="S502" t="s">
        <v>55</v>
      </c>
      <c r="T502" t="s">
        <v>42</v>
      </c>
      <c r="U502" t="s">
        <v>40</v>
      </c>
      <c r="V502" t="s">
        <v>91</v>
      </c>
      <c r="W502" t="s">
        <v>92</v>
      </c>
      <c r="X502" t="s">
        <v>76</v>
      </c>
      <c r="Y502">
        <v>65</v>
      </c>
      <c r="Z502" t="s">
        <v>84</v>
      </c>
      <c r="AA502" t="s">
        <v>85</v>
      </c>
      <c r="AB502" s="1">
        <v>46019</v>
      </c>
      <c r="AC502" t="s">
        <v>66</v>
      </c>
      <c r="AD502" t="s">
        <v>40</v>
      </c>
      <c r="AE502" t="s">
        <v>69</v>
      </c>
      <c r="AF502" t="s">
        <v>40</v>
      </c>
      <c r="AG502">
        <v>0</v>
      </c>
      <c r="AH502" t="s">
        <v>142</v>
      </c>
    </row>
    <row r="503" spans="1:34" x14ac:dyDescent="0.3">
      <c r="A503" t="s">
        <v>961</v>
      </c>
      <c r="B503" t="s">
        <v>904</v>
      </c>
      <c r="C503" t="s">
        <v>129</v>
      </c>
      <c r="D503" t="s">
        <v>130</v>
      </c>
      <c r="E503" s="1">
        <v>46141</v>
      </c>
      <c r="F503" s="1">
        <v>46171</v>
      </c>
      <c r="G503" t="s">
        <v>38</v>
      </c>
      <c r="H503">
        <v>4429</v>
      </c>
      <c r="I503" t="s">
        <v>39</v>
      </c>
      <c r="J503" t="b">
        <v>0</v>
      </c>
      <c r="K503">
        <v>30</v>
      </c>
      <c r="L503">
        <v>5</v>
      </c>
      <c r="M503">
        <v>2026</v>
      </c>
      <c r="N503">
        <v>4</v>
      </c>
      <c r="O503">
        <v>4</v>
      </c>
      <c r="P503">
        <v>2026</v>
      </c>
      <c r="Q503">
        <v>2</v>
      </c>
      <c r="R503" t="s">
        <v>40</v>
      </c>
      <c r="S503" t="s">
        <v>55</v>
      </c>
      <c r="T503" t="s">
        <v>48</v>
      </c>
      <c r="U503" t="s">
        <v>40</v>
      </c>
      <c r="V503" t="s">
        <v>131</v>
      </c>
      <c r="W503" t="s">
        <v>132</v>
      </c>
      <c r="X503" t="s">
        <v>45</v>
      </c>
      <c r="Y503">
        <v>110</v>
      </c>
      <c r="Z503" t="s">
        <v>133</v>
      </c>
      <c r="AA503" t="s">
        <v>134</v>
      </c>
      <c r="AB503" s="1">
        <v>46171</v>
      </c>
      <c r="AC503" t="s">
        <v>40</v>
      </c>
      <c r="AD503" t="s">
        <v>40</v>
      </c>
      <c r="AE503" t="s">
        <v>69</v>
      </c>
      <c r="AF503" t="s">
        <v>40</v>
      </c>
      <c r="AG503">
        <v>0</v>
      </c>
      <c r="AH503" t="s">
        <v>70</v>
      </c>
    </row>
    <row r="504" spans="1:34" x14ac:dyDescent="0.3">
      <c r="A504" t="s">
        <v>962</v>
      </c>
      <c r="B504" t="s">
        <v>963</v>
      </c>
      <c r="C504" t="s">
        <v>89</v>
      </c>
      <c r="D504" t="s">
        <v>104</v>
      </c>
      <c r="E504" s="1">
        <v>46006</v>
      </c>
      <c r="F504" s="1">
        <v>46066</v>
      </c>
      <c r="G504" t="s">
        <v>81</v>
      </c>
      <c r="H504">
        <v>8216</v>
      </c>
      <c r="I504" t="s">
        <v>39</v>
      </c>
      <c r="J504" t="b">
        <v>0</v>
      </c>
      <c r="K504">
        <v>60</v>
      </c>
      <c r="L504">
        <v>2</v>
      </c>
      <c r="M504">
        <v>2026</v>
      </c>
      <c r="N504">
        <v>4</v>
      </c>
      <c r="O504">
        <v>12</v>
      </c>
      <c r="P504">
        <v>2025</v>
      </c>
      <c r="Q504">
        <v>0</v>
      </c>
      <c r="R504" t="s">
        <v>40</v>
      </c>
      <c r="S504" t="s">
        <v>55</v>
      </c>
      <c r="T504" t="s">
        <v>42</v>
      </c>
      <c r="U504" t="s">
        <v>40</v>
      </c>
      <c r="V504" t="s">
        <v>91</v>
      </c>
      <c r="W504" t="s">
        <v>92</v>
      </c>
      <c r="X504" t="s">
        <v>76</v>
      </c>
      <c r="Y504">
        <v>65</v>
      </c>
      <c r="Z504" t="s">
        <v>107</v>
      </c>
      <c r="AA504" t="s">
        <v>108</v>
      </c>
      <c r="AB504" s="1">
        <v>46066</v>
      </c>
      <c r="AC504" t="s">
        <v>40</v>
      </c>
      <c r="AD504" t="s">
        <v>40</v>
      </c>
      <c r="AE504" t="s">
        <v>60</v>
      </c>
      <c r="AF504" t="s">
        <v>40</v>
      </c>
      <c r="AG504">
        <v>0</v>
      </c>
      <c r="AH504" t="s">
        <v>61</v>
      </c>
    </row>
    <row r="505" spans="1:34" x14ac:dyDescent="0.3">
      <c r="A505" t="s">
        <v>964</v>
      </c>
      <c r="B505" t="s">
        <v>965</v>
      </c>
      <c r="C505" t="s">
        <v>97</v>
      </c>
      <c r="D505" t="s">
        <v>53</v>
      </c>
      <c r="E505" s="1">
        <v>45667</v>
      </c>
      <c r="F505" s="1">
        <v>45697</v>
      </c>
      <c r="G505" t="s">
        <v>81</v>
      </c>
      <c r="H505">
        <v>9987</v>
      </c>
      <c r="I505" t="s">
        <v>65</v>
      </c>
      <c r="J505" t="b">
        <v>0</v>
      </c>
      <c r="K505">
        <v>30</v>
      </c>
      <c r="L505">
        <v>2</v>
      </c>
      <c r="M505">
        <v>2025</v>
      </c>
      <c r="N505">
        <v>6</v>
      </c>
      <c r="O505">
        <v>1</v>
      </c>
      <c r="P505">
        <v>2025</v>
      </c>
      <c r="Q505">
        <v>4</v>
      </c>
      <c r="R505" t="s">
        <v>66</v>
      </c>
      <c r="S505" t="s">
        <v>55</v>
      </c>
      <c r="T505" t="s">
        <v>68</v>
      </c>
      <c r="U505" t="s">
        <v>40</v>
      </c>
      <c r="V505" t="s">
        <v>98</v>
      </c>
      <c r="W505" t="s">
        <v>99</v>
      </c>
      <c r="X505" t="s">
        <v>76</v>
      </c>
      <c r="Y505">
        <v>80</v>
      </c>
      <c r="Z505" t="s">
        <v>58</v>
      </c>
      <c r="AA505" t="s">
        <v>59</v>
      </c>
      <c r="AB505" s="1">
        <v>45697</v>
      </c>
      <c r="AC505" t="s">
        <v>66</v>
      </c>
      <c r="AD505" t="s">
        <v>40</v>
      </c>
      <c r="AE505" t="s">
        <v>60</v>
      </c>
      <c r="AF505" t="s">
        <v>40</v>
      </c>
      <c r="AG505">
        <v>0</v>
      </c>
      <c r="AH505" t="s">
        <v>70</v>
      </c>
    </row>
    <row r="506" spans="1:34" x14ac:dyDescent="0.3">
      <c r="A506" t="s">
        <v>966</v>
      </c>
      <c r="B506" t="s">
        <v>245</v>
      </c>
      <c r="C506" t="s">
        <v>103</v>
      </c>
      <c r="D506" t="s">
        <v>90</v>
      </c>
      <c r="E506" s="1">
        <v>46058</v>
      </c>
      <c r="F506" s="1">
        <v>46059</v>
      </c>
      <c r="G506" t="s">
        <v>41</v>
      </c>
      <c r="H506">
        <v>7332</v>
      </c>
      <c r="I506" t="s">
        <v>39</v>
      </c>
      <c r="J506" t="b">
        <v>0</v>
      </c>
      <c r="K506">
        <v>1</v>
      </c>
      <c r="L506">
        <v>2</v>
      </c>
      <c r="M506">
        <v>2026</v>
      </c>
      <c r="N506">
        <v>4</v>
      </c>
      <c r="O506">
        <v>2</v>
      </c>
      <c r="P506">
        <v>2026</v>
      </c>
      <c r="Q506">
        <v>3</v>
      </c>
      <c r="R506" t="s">
        <v>40</v>
      </c>
      <c r="S506" t="s">
        <v>41</v>
      </c>
      <c r="T506" t="s">
        <v>42</v>
      </c>
      <c r="U506" t="s">
        <v>40</v>
      </c>
      <c r="V506" t="s">
        <v>105</v>
      </c>
      <c r="W506" t="s">
        <v>106</v>
      </c>
      <c r="X506" t="s">
        <v>45</v>
      </c>
      <c r="Y506">
        <v>140</v>
      </c>
      <c r="Z506" t="s">
        <v>93</v>
      </c>
      <c r="AA506" t="s">
        <v>94</v>
      </c>
      <c r="AB506" s="1">
        <v>46059</v>
      </c>
      <c r="AC506" t="s">
        <v>40</v>
      </c>
      <c r="AD506" t="s">
        <v>40</v>
      </c>
      <c r="AE506" t="s">
        <v>60</v>
      </c>
      <c r="AF506" t="s">
        <v>40</v>
      </c>
      <c r="AG506">
        <v>0</v>
      </c>
      <c r="AH506" t="s">
        <v>100</v>
      </c>
    </row>
    <row r="507" spans="1:34" x14ac:dyDescent="0.3">
      <c r="A507" t="s">
        <v>967</v>
      </c>
      <c r="B507" t="s">
        <v>968</v>
      </c>
      <c r="C507" t="s">
        <v>36</v>
      </c>
      <c r="D507" t="s">
        <v>37</v>
      </c>
      <c r="E507" s="1">
        <v>46224</v>
      </c>
      <c r="F507" s="1">
        <v>46227</v>
      </c>
      <c r="G507" t="s">
        <v>41</v>
      </c>
      <c r="H507">
        <v>8732</v>
      </c>
      <c r="I507" t="s">
        <v>39</v>
      </c>
      <c r="J507" t="b">
        <v>0</v>
      </c>
      <c r="K507">
        <v>3</v>
      </c>
      <c r="L507">
        <v>7</v>
      </c>
      <c r="M507">
        <v>2026</v>
      </c>
      <c r="N507">
        <v>4</v>
      </c>
      <c r="O507">
        <v>7</v>
      </c>
      <c r="P507">
        <v>2026</v>
      </c>
      <c r="Q507">
        <v>1</v>
      </c>
      <c r="R507" t="s">
        <v>40</v>
      </c>
      <c r="S507" t="s">
        <v>41</v>
      </c>
      <c r="T507" t="s">
        <v>68</v>
      </c>
      <c r="U507" t="s">
        <v>66</v>
      </c>
      <c r="V507" t="s">
        <v>43</v>
      </c>
      <c r="W507" t="s">
        <v>44</v>
      </c>
      <c r="X507" t="s">
        <v>45</v>
      </c>
      <c r="Y507">
        <v>150</v>
      </c>
      <c r="Z507" t="s">
        <v>46</v>
      </c>
      <c r="AA507" t="s">
        <v>47</v>
      </c>
      <c r="AB507" s="1">
        <v>46227</v>
      </c>
      <c r="AC507" t="s">
        <v>40</v>
      </c>
      <c r="AD507" t="s">
        <v>40</v>
      </c>
      <c r="AE507" t="s">
        <v>86</v>
      </c>
      <c r="AF507" t="s">
        <v>40</v>
      </c>
      <c r="AG507">
        <v>0</v>
      </c>
      <c r="AH507" t="s">
        <v>100</v>
      </c>
    </row>
    <row r="508" spans="1:34" x14ac:dyDescent="0.3">
      <c r="A508" t="s">
        <v>969</v>
      </c>
      <c r="B508" t="s">
        <v>336</v>
      </c>
      <c r="C508" t="s">
        <v>36</v>
      </c>
      <c r="D508" t="s">
        <v>104</v>
      </c>
      <c r="E508" s="1">
        <v>45716</v>
      </c>
      <c r="F508" s="1">
        <v>45730</v>
      </c>
      <c r="G508" t="s">
        <v>64</v>
      </c>
      <c r="H508">
        <v>2869</v>
      </c>
      <c r="I508" t="s">
        <v>39</v>
      </c>
      <c r="J508" t="b">
        <v>0</v>
      </c>
      <c r="K508">
        <v>14</v>
      </c>
      <c r="L508">
        <v>3</v>
      </c>
      <c r="M508">
        <v>2025</v>
      </c>
      <c r="N508">
        <v>4</v>
      </c>
      <c r="O508">
        <v>2</v>
      </c>
      <c r="P508">
        <v>2025</v>
      </c>
      <c r="Q508">
        <v>4</v>
      </c>
      <c r="R508" t="s">
        <v>40</v>
      </c>
      <c r="S508" t="s">
        <v>55</v>
      </c>
      <c r="T508" t="s">
        <v>42</v>
      </c>
      <c r="U508" t="s">
        <v>40</v>
      </c>
      <c r="V508" t="s">
        <v>43</v>
      </c>
      <c r="W508" t="s">
        <v>44</v>
      </c>
      <c r="X508" t="s">
        <v>45</v>
      </c>
      <c r="Y508">
        <v>150</v>
      </c>
      <c r="Z508" t="s">
        <v>107</v>
      </c>
      <c r="AA508" t="s">
        <v>108</v>
      </c>
      <c r="AB508" s="1">
        <v>45730</v>
      </c>
      <c r="AC508" t="s">
        <v>40</v>
      </c>
      <c r="AD508" t="s">
        <v>40</v>
      </c>
      <c r="AE508" t="s">
        <v>60</v>
      </c>
      <c r="AF508" t="s">
        <v>40</v>
      </c>
      <c r="AG508">
        <v>0</v>
      </c>
      <c r="AH508" t="s">
        <v>70</v>
      </c>
    </row>
    <row r="509" spans="1:34" x14ac:dyDescent="0.3">
      <c r="A509" t="s">
        <v>970</v>
      </c>
      <c r="B509" t="s">
        <v>475</v>
      </c>
      <c r="C509" t="s">
        <v>103</v>
      </c>
      <c r="D509" t="s">
        <v>90</v>
      </c>
      <c r="E509" s="1">
        <v>45791</v>
      </c>
      <c r="F509" s="1">
        <v>45891</v>
      </c>
      <c r="G509" t="s">
        <v>81</v>
      </c>
      <c r="H509">
        <v>7800</v>
      </c>
      <c r="I509" t="s">
        <v>39</v>
      </c>
      <c r="J509" t="b">
        <v>0</v>
      </c>
      <c r="K509">
        <v>100</v>
      </c>
      <c r="L509">
        <v>8</v>
      </c>
      <c r="M509">
        <v>2025</v>
      </c>
      <c r="N509">
        <v>4</v>
      </c>
      <c r="O509">
        <v>5</v>
      </c>
      <c r="P509">
        <v>2025</v>
      </c>
      <c r="Q509">
        <v>2</v>
      </c>
      <c r="R509" t="s">
        <v>40</v>
      </c>
      <c r="S509" t="s">
        <v>55</v>
      </c>
      <c r="T509" t="s">
        <v>123</v>
      </c>
      <c r="U509" t="s">
        <v>40</v>
      </c>
      <c r="V509" t="s">
        <v>105</v>
      </c>
      <c r="W509" t="s">
        <v>106</v>
      </c>
      <c r="X509" t="s">
        <v>45</v>
      </c>
      <c r="Y509">
        <v>140</v>
      </c>
      <c r="Z509" t="s">
        <v>93</v>
      </c>
      <c r="AA509" t="s">
        <v>94</v>
      </c>
      <c r="AB509" s="1">
        <v>45891</v>
      </c>
      <c r="AC509" t="s">
        <v>40</v>
      </c>
      <c r="AD509" t="s">
        <v>40</v>
      </c>
      <c r="AE509" t="s">
        <v>86</v>
      </c>
      <c r="AF509" t="s">
        <v>40</v>
      </c>
      <c r="AG509">
        <v>0</v>
      </c>
      <c r="AH509" t="s">
        <v>49</v>
      </c>
    </row>
    <row r="510" spans="1:34" x14ac:dyDescent="0.3">
      <c r="A510" t="s">
        <v>971</v>
      </c>
      <c r="B510" t="s">
        <v>972</v>
      </c>
      <c r="C510" t="s">
        <v>169</v>
      </c>
      <c r="D510" t="s">
        <v>90</v>
      </c>
      <c r="E510" s="1">
        <v>45665</v>
      </c>
      <c r="F510" s="1">
        <v>45885</v>
      </c>
      <c r="G510" t="s">
        <v>41</v>
      </c>
      <c r="H510">
        <v>8307</v>
      </c>
      <c r="I510" t="s">
        <v>39</v>
      </c>
      <c r="J510" t="b">
        <v>0</v>
      </c>
      <c r="K510">
        <v>220</v>
      </c>
      <c r="L510">
        <v>8</v>
      </c>
      <c r="M510">
        <v>2025</v>
      </c>
      <c r="N510">
        <v>5</v>
      </c>
      <c r="O510">
        <v>1</v>
      </c>
      <c r="P510">
        <v>2025</v>
      </c>
      <c r="Q510">
        <v>2</v>
      </c>
      <c r="R510" t="s">
        <v>66</v>
      </c>
      <c r="S510" t="s">
        <v>45</v>
      </c>
      <c r="T510" t="s">
        <v>42</v>
      </c>
      <c r="U510" t="s">
        <v>40</v>
      </c>
      <c r="V510" t="s">
        <v>170</v>
      </c>
      <c r="W510" t="s">
        <v>171</v>
      </c>
      <c r="X510" t="s">
        <v>126</v>
      </c>
      <c r="Y510">
        <v>90</v>
      </c>
      <c r="Z510" t="s">
        <v>93</v>
      </c>
      <c r="AA510" t="s">
        <v>94</v>
      </c>
      <c r="AB510" s="1">
        <v>45885</v>
      </c>
      <c r="AC510" t="s">
        <v>66</v>
      </c>
      <c r="AD510" t="s">
        <v>40</v>
      </c>
      <c r="AE510" t="s">
        <v>86</v>
      </c>
      <c r="AF510" t="s">
        <v>40</v>
      </c>
      <c r="AG510">
        <v>0</v>
      </c>
      <c r="AH510" t="s">
        <v>142</v>
      </c>
    </row>
    <row r="511" spans="1:34" x14ac:dyDescent="0.3">
      <c r="A511" t="s">
        <v>973</v>
      </c>
      <c r="B511" t="s">
        <v>121</v>
      </c>
      <c r="C511" t="s">
        <v>122</v>
      </c>
      <c r="D511" t="s">
        <v>104</v>
      </c>
      <c r="E511" s="1">
        <v>46247</v>
      </c>
      <c r="F511" s="1">
        <v>46248</v>
      </c>
      <c r="G511" t="s">
        <v>64</v>
      </c>
      <c r="H511">
        <v>3523</v>
      </c>
      <c r="I511" t="s">
        <v>39</v>
      </c>
      <c r="J511" t="b">
        <v>0</v>
      </c>
      <c r="K511">
        <v>1</v>
      </c>
      <c r="L511">
        <v>8</v>
      </c>
      <c r="M511">
        <v>2026</v>
      </c>
      <c r="N511">
        <v>4</v>
      </c>
      <c r="O511">
        <v>8</v>
      </c>
      <c r="P511">
        <v>2026</v>
      </c>
      <c r="Q511">
        <v>3</v>
      </c>
      <c r="R511" t="s">
        <v>40</v>
      </c>
      <c r="S511" t="s">
        <v>55</v>
      </c>
      <c r="T511" t="s">
        <v>123</v>
      </c>
      <c r="U511" t="s">
        <v>40</v>
      </c>
      <c r="V511" t="s">
        <v>124</v>
      </c>
      <c r="W511" t="s">
        <v>125</v>
      </c>
      <c r="X511" t="s">
        <v>126</v>
      </c>
      <c r="Y511">
        <v>85</v>
      </c>
      <c r="Z511" t="s">
        <v>107</v>
      </c>
      <c r="AA511" t="s">
        <v>108</v>
      </c>
      <c r="AB511" s="1">
        <v>46248</v>
      </c>
      <c r="AC511" t="s">
        <v>40</v>
      </c>
      <c r="AD511" t="s">
        <v>40</v>
      </c>
      <c r="AE511" t="s">
        <v>86</v>
      </c>
      <c r="AF511" t="s">
        <v>40</v>
      </c>
      <c r="AG511">
        <v>0</v>
      </c>
      <c r="AH511" t="s">
        <v>100</v>
      </c>
    </row>
    <row r="512" spans="1:34" x14ac:dyDescent="0.3">
      <c r="A512" t="s">
        <v>974</v>
      </c>
      <c r="B512" t="s">
        <v>471</v>
      </c>
      <c r="C512" t="s">
        <v>103</v>
      </c>
      <c r="D512" t="s">
        <v>90</v>
      </c>
      <c r="E512" s="1">
        <v>45841</v>
      </c>
      <c r="F512" s="1">
        <v>45941</v>
      </c>
      <c r="G512" t="s">
        <v>41</v>
      </c>
      <c r="H512">
        <v>5391</v>
      </c>
      <c r="I512" t="s">
        <v>39</v>
      </c>
      <c r="J512" t="b">
        <v>0</v>
      </c>
      <c r="K512">
        <v>100</v>
      </c>
      <c r="L512">
        <v>10</v>
      </c>
      <c r="M512">
        <v>2025</v>
      </c>
      <c r="N512">
        <v>5</v>
      </c>
      <c r="O512">
        <v>7</v>
      </c>
      <c r="P512">
        <v>2025</v>
      </c>
      <c r="Q512">
        <v>3</v>
      </c>
      <c r="R512" t="s">
        <v>66</v>
      </c>
      <c r="S512" t="s">
        <v>45</v>
      </c>
      <c r="T512" t="s">
        <v>113</v>
      </c>
      <c r="U512" t="s">
        <v>66</v>
      </c>
      <c r="V512" t="s">
        <v>105</v>
      </c>
      <c r="W512" t="s">
        <v>106</v>
      </c>
      <c r="X512" t="s">
        <v>45</v>
      </c>
      <c r="Y512">
        <v>140</v>
      </c>
      <c r="Z512" t="s">
        <v>93</v>
      </c>
      <c r="AA512" t="s">
        <v>94</v>
      </c>
      <c r="AB512" s="1">
        <v>45941</v>
      </c>
      <c r="AC512" t="s">
        <v>66</v>
      </c>
      <c r="AD512" t="s">
        <v>40</v>
      </c>
      <c r="AE512" t="s">
        <v>60</v>
      </c>
      <c r="AF512" t="s">
        <v>40</v>
      </c>
      <c r="AG512">
        <v>0</v>
      </c>
      <c r="AH512" t="s">
        <v>49</v>
      </c>
    </row>
    <row r="513" spans="1:34" x14ac:dyDescent="0.3">
      <c r="A513" t="s">
        <v>975</v>
      </c>
      <c r="B513" t="s">
        <v>697</v>
      </c>
      <c r="C513" t="s">
        <v>169</v>
      </c>
      <c r="D513" t="s">
        <v>37</v>
      </c>
      <c r="E513" s="1">
        <v>46208</v>
      </c>
      <c r="F513" s="1">
        <v>46215</v>
      </c>
      <c r="G513" t="s">
        <v>64</v>
      </c>
      <c r="H513">
        <v>4061</v>
      </c>
      <c r="I513" t="s">
        <v>39</v>
      </c>
      <c r="J513" t="b">
        <v>0</v>
      </c>
      <c r="K513">
        <v>7</v>
      </c>
      <c r="L513">
        <v>7</v>
      </c>
      <c r="M513">
        <v>2026</v>
      </c>
      <c r="N513">
        <v>6</v>
      </c>
      <c r="O513">
        <v>7</v>
      </c>
      <c r="P513">
        <v>2026</v>
      </c>
      <c r="Q513">
        <v>6</v>
      </c>
      <c r="R513" t="s">
        <v>66</v>
      </c>
      <c r="S513" t="s">
        <v>41</v>
      </c>
      <c r="T513" t="s">
        <v>286</v>
      </c>
      <c r="U513" t="s">
        <v>40</v>
      </c>
      <c r="V513" t="s">
        <v>170</v>
      </c>
      <c r="W513" t="s">
        <v>171</v>
      </c>
      <c r="X513" t="s">
        <v>126</v>
      </c>
      <c r="Y513">
        <v>90</v>
      </c>
      <c r="Z513" t="s">
        <v>46</v>
      </c>
      <c r="AA513" t="s">
        <v>47</v>
      </c>
      <c r="AB513" s="1">
        <v>46215</v>
      </c>
      <c r="AC513" t="s">
        <v>66</v>
      </c>
      <c r="AD513" t="s">
        <v>40</v>
      </c>
      <c r="AE513" t="s">
        <v>86</v>
      </c>
      <c r="AF513" t="s">
        <v>40</v>
      </c>
      <c r="AG513">
        <v>0</v>
      </c>
      <c r="AH513" t="s">
        <v>100</v>
      </c>
    </row>
    <row r="514" spans="1:34" x14ac:dyDescent="0.3">
      <c r="A514" t="s">
        <v>976</v>
      </c>
      <c r="B514" t="s">
        <v>189</v>
      </c>
      <c r="C514" t="s">
        <v>146</v>
      </c>
      <c r="D514" t="s">
        <v>53</v>
      </c>
      <c r="E514" s="1">
        <v>46077</v>
      </c>
      <c r="F514" s="1">
        <v>46091</v>
      </c>
      <c r="G514" t="s">
        <v>81</v>
      </c>
      <c r="H514">
        <v>10286</v>
      </c>
      <c r="I514" t="s">
        <v>65</v>
      </c>
      <c r="J514" t="b">
        <v>0</v>
      </c>
      <c r="K514">
        <v>14</v>
      </c>
      <c r="L514">
        <v>3</v>
      </c>
      <c r="M514">
        <v>2026</v>
      </c>
      <c r="N514">
        <v>1</v>
      </c>
      <c r="O514">
        <v>2</v>
      </c>
      <c r="P514">
        <v>2026</v>
      </c>
      <c r="Q514">
        <v>1</v>
      </c>
      <c r="R514" t="s">
        <v>40</v>
      </c>
      <c r="S514" t="s">
        <v>67</v>
      </c>
      <c r="T514" t="s">
        <v>123</v>
      </c>
      <c r="U514" t="s">
        <v>40</v>
      </c>
      <c r="V514" t="s">
        <v>147</v>
      </c>
      <c r="W514" t="s">
        <v>148</v>
      </c>
      <c r="X514" t="s">
        <v>45</v>
      </c>
      <c r="Y514">
        <v>160</v>
      </c>
      <c r="Z514" t="s">
        <v>58</v>
      </c>
      <c r="AA514" t="s">
        <v>59</v>
      </c>
      <c r="AB514" s="1">
        <v>46091</v>
      </c>
      <c r="AC514" t="s">
        <v>40</v>
      </c>
      <c r="AD514" t="s">
        <v>40</v>
      </c>
      <c r="AE514" t="s">
        <v>60</v>
      </c>
      <c r="AF514" t="s">
        <v>40</v>
      </c>
      <c r="AG514">
        <v>0</v>
      </c>
      <c r="AH514" t="s">
        <v>70</v>
      </c>
    </row>
    <row r="515" spans="1:34" x14ac:dyDescent="0.3">
      <c r="A515" t="s">
        <v>977</v>
      </c>
      <c r="B515" t="s">
        <v>936</v>
      </c>
      <c r="C515" t="s">
        <v>79</v>
      </c>
      <c r="D515" t="s">
        <v>37</v>
      </c>
      <c r="E515" s="1">
        <v>46066</v>
      </c>
      <c r="F515" s="1">
        <v>46166</v>
      </c>
      <c r="G515" t="s">
        <v>41</v>
      </c>
      <c r="H515">
        <v>7904</v>
      </c>
      <c r="I515" t="s">
        <v>65</v>
      </c>
      <c r="J515" t="b">
        <v>0</v>
      </c>
      <c r="K515">
        <v>100</v>
      </c>
      <c r="L515">
        <v>5</v>
      </c>
      <c r="M515">
        <v>2026</v>
      </c>
      <c r="N515">
        <v>6</v>
      </c>
      <c r="O515">
        <v>2</v>
      </c>
      <c r="P515">
        <v>2026</v>
      </c>
      <c r="Q515">
        <v>4</v>
      </c>
      <c r="R515" t="s">
        <v>66</v>
      </c>
      <c r="S515" t="s">
        <v>55</v>
      </c>
      <c r="T515" t="s">
        <v>42</v>
      </c>
      <c r="U515" t="s">
        <v>66</v>
      </c>
      <c r="V515" t="s">
        <v>82</v>
      </c>
      <c r="W515" t="s">
        <v>83</v>
      </c>
      <c r="X515" t="s">
        <v>76</v>
      </c>
      <c r="Y515">
        <v>100</v>
      </c>
      <c r="Z515" t="s">
        <v>46</v>
      </c>
      <c r="AA515" t="s">
        <v>47</v>
      </c>
      <c r="AB515" s="1">
        <v>46166</v>
      </c>
      <c r="AC515" t="s">
        <v>66</v>
      </c>
      <c r="AD515" t="s">
        <v>40</v>
      </c>
      <c r="AE515" t="s">
        <v>69</v>
      </c>
      <c r="AF515" t="s">
        <v>40</v>
      </c>
      <c r="AG515">
        <v>0</v>
      </c>
      <c r="AH515" t="s">
        <v>49</v>
      </c>
    </row>
    <row r="516" spans="1:34" x14ac:dyDescent="0.3">
      <c r="A516" t="s">
        <v>978</v>
      </c>
      <c r="B516" t="s">
        <v>858</v>
      </c>
      <c r="C516" t="s">
        <v>122</v>
      </c>
      <c r="D516" t="s">
        <v>130</v>
      </c>
      <c r="E516" s="1">
        <v>45742</v>
      </c>
      <c r="F516" s="1">
        <v>45772</v>
      </c>
      <c r="G516" t="s">
        <v>38</v>
      </c>
      <c r="H516">
        <v>5428</v>
      </c>
      <c r="I516" t="s">
        <v>39</v>
      </c>
      <c r="J516" t="b">
        <v>0</v>
      </c>
      <c r="K516">
        <v>30</v>
      </c>
      <c r="L516">
        <v>4</v>
      </c>
      <c r="M516">
        <v>2025</v>
      </c>
      <c r="N516">
        <v>4</v>
      </c>
      <c r="O516">
        <v>3</v>
      </c>
      <c r="P516">
        <v>2025</v>
      </c>
      <c r="Q516">
        <v>2</v>
      </c>
      <c r="R516" t="s">
        <v>40</v>
      </c>
      <c r="S516" t="s">
        <v>55</v>
      </c>
      <c r="T516" t="s">
        <v>42</v>
      </c>
      <c r="U516" t="s">
        <v>40</v>
      </c>
      <c r="V516" t="s">
        <v>124</v>
      </c>
      <c r="W516" t="s">
        <v>125</v>
      </c>
      <c r="X516" t="s">
        <v>126</v>
      </c>
      <c r="Y516">
        <v>85</v>
      </c>
      <c r="Z516" t="s">
        <v>133</v>
      </c>
      <c r="AA516" t="s">
        <v>134</v>
      </c>
      <c r="AB516" s="1">
        <v>45772</v>
      </c>
      <c r="AC516" t="s">
        <v>40</v>
      </c>
      <c r="AD516" t="s">
        <v>40</v>
      </c>
      <c r="AE516" t="s">
        <v>69</v>
      </c>
      <c r="AF516" t="s">
        <v>40</v>
      </c>
      <c r="AG516">
        <v>0</v>
      </c>
      <c r="AH516" t="s">
        <v>70</v>
      </c>
    </row>
    <row r="517" spans="1:34" x14ac:dyDescent="0.3">
      <c r="A517" t="s">
        <v>979</v>
      </c>
      <c r="B517" t="s">
        <v>511</v>
      </c>
      <c r="C517" t="s">
        <v>169</v>
      </c>
      <c r="D517" t="s">
        <v>130</v>
      </c>
      <c r="E517" s="1">
        <v>46205</v>
      </c>
      <c r="F517" s="1">
        <v>46265</v>
      </c>
      <c r="G517" t="s">
        <v>38</v>
      </c>
      <c r="H517">
        <v>3545</v>
      </c>
      <c r="I517" t="s">
        <v>65</v>
      </c>
      <c r="J517" t="b">
        <v>0</v>
      </c>
      <c r="K517">
        <v>60</v>
      </c>
      <c r="L517">
        <v>8</v>
      </c>
      <c r="M517">
        <v>2026</v>
      </c>
      <c r="N517">
        <v>0</v>
      </c>
      <c r="O517">
        <v>7</v>
      </c>
      <c r="P517">
        <v>2026</v>
      </c>
      <c r="Q517">
        <v>3</v>
      </c>
      <c r="R517" t="s">
        <v>40</v>
      </c>
      <c r="S517" t="s">
        <v>55</v>
      </c>
      <c r="T517" t="s">
        <v>42</v>
      </c>
      <c r="U517" t="s">
        <v>40</v>
      </c>
      <c r="V517" t="s">
        <v>170</v>
      </c>
      <c r="W517" t="s">
        <v>171</v>
      </c>
      <c r="X517" t="s">
        <v>126</v>
      </c>
      <c r="Y517">
        <v>90</v>
      </c>
      <c r="Z517" t="s">
        <v>133</v>
      </c>
      <c r="AA517" t="s">
        <v>134</v>
      </c>
      <c r="AB517" s="1">
        <v>46265</v>
      </c>
      <c r="AC517" t="s">
        <v>40</v>
      </c>
      <c r="AD517" t="s">
        <v>40</v>
      </c>
      <c r="AE517" t="s">
        <v>86</v>
      </c>
      <c r="AF517" t="s">
        <v>40</v>
      </c>
      <c r="AG517">
        <v>0</v>
      </c>
      <c r="AH517" t="s">
        <v>61</v>
      </c>
    </row>
    <row r="518" spans="1:34" x14ac:dyDescent="0.3">
      <c r="A518" t="s">
        <v>980</v>
      </c>
      <c r="B518" t="s">
        <v>981</v>
      </c>
      <c r="C518" t="s">
        <v>73</v>
      </c>
      <c r="D518" t="s">
        <v>104</v>
      </c>
      <c r="E518" s="1">
        <v>45706</v>
      </c>
      <c r="F518" s="1">
        <v>45806</v>
      </c>
      <c r="G518" t="s">
        <v>64</v>
      </c>
      <c r="H518">
        <v>3613</v>
      </c>
      <c r="I518" t="s">
        <v>54</v>
      </c>
      <c r="J518" t="b">
        <v>0</v>
      </c>
      <c r="K518">
        <v>100</v>
      </c>
      <c r="L518">
        <v>5</v>
      </c>
      <c r="M518">
        <v>2025</v>
      </c>
      <c r="N518">
        <v>3</v>
      </c>
      <c r="O518">
        <v>2</v>
      </c>
      <c r="P518">
        <v>2025</v>
      </c>
      <c r="Q518">
        <v>1</v>
      </c>
      <c r="R518" t="s">
        <v>40</v>
      </c>
      <c r="S518" t="s">
        <v>55</v>
      </c>
      <c r="T518" t="s">
        <v>42</v>
      </c>
      <c r="U518" t="s">
        <v>40</v>
      </c>
      <c r="V518" t="s">
        <v>74</v>
      </c>
      <c r="W518" t="s">
        <v>75</v>
      </c>
      <c r="X518" t="s">
        <v>76</v>
      </c>
      <c r="Y518">
        <v>75</v>
      </c>
      <c r="Z518" t="s">
        <v>107</v>
      </c>
      <c r="AA518" t="s">
        <v>108</v>
      </c>
      <c r="AB518" s="1">
        <v>45806</v>
      </c>
      <c r="AC518" t="s">
        <v>40</v>
      </c>
      <c r="AD518" t="s">
        <v>40</v>
      </c>
      <c r="AE518" t="s">
        <v>69</v>
      </c>
      <c r="AF518" t="s">
        <v>40</v>
      </c>
      <c r="AG518">
        <v>1</v>
      </c>
      <c r="AH518" t="s">
        <v>49</v>
      </c>
    </row>
    <row r="519" spans="1:34" x14ac:dyDescent="0.3">
      <c r="A519" t="s">
        <v>982</v>
      </c>
      <c r="B519" t="s">
        <v>983</v>
      </c>
      <c r="C519" t="s">
        <v>73</v>
      </c>
      <c r="D519" t="s">
        <v>90</v>
      </c>
      <c r="E519" s="1">
        <v>46041</v>
      </c>
      <c r="F519" s="1">
        <v>46141</v>
      </c>
      <c r="G519" t="s">
        <v>38</v>
      </c>
      <c r="H519">
        <v>5227</v>
      </c>
      <c r="I519" t="s">
        <v>54</v>
      </c>
      <c r="J519" t="b">
        <v>0</v>
      </c>
      <c r="K519">
        <v>100</v>
      </c>
      <c r="L519">
        <v>4</v>
      </c>
      <c r="M519">
        <v>2026</v>
      </c>
      <c r="N519">
        <v>2</v>
      </c>
      <c r="O519">
        <v>1</v>
      </c>
      <c r="P519">
        <v>2026</v>
      </c>
      <c r="Q519">
        <v>0</v>
      </c>
      <c r="R519" t="s">
        <v>40</v>
      </c>
      <c r="S519" t="s">
        <v>41</v>
      </c>
      <c r="T519" t="s">
        <v>42</v>
      </c>
      <c r="U519" t="s">
        <v>40</v>
      </c>
      <c r="V519" t="s">
        <v>74</v>
      </c>
      <c r="W519" t="s">
        <v>75</v>
      </c>
      <c r="X519" t="s">
        <v>76</v>
      </c>
      <c r="Y519">
        <v>75</v>
      </c>
      <c r="Z519" t="s">
        <v>93</v>
      </c>
      <c r="AA519" t="s">
        <v>94</v>
      </c>
      <c r="AB519" s="1">
        <v>46141</v>
      </c>
      <c r="AC519" t="s">
        <v>40</v>
      </c>
      <c r="AD519" t="s">
        <v>40</v>
      </c>
      <c r="AE519" t="s">
        <v>69</v>
      </c>
      <c r="AF519" t="s">
        <v>40</v>
      </c>
      <c r="AG519">
        <v>1</v>
      </c>
      <c r="AH519" t="s">
        <v>49</v>
      </c>
    </row>
    <row r="520" spans="1:34" x14ac:dyDescent="0.3">
      <c r="A520" t="s">
        <v>984</v>
      </c>
      <c r="B520" t="s">
        <v>197</v>
      </c>
      <c r="C520" t="s">
        <v>73</v>
      </c>
      <c r="D520" t="s">
        <v>130</v>
      </c>
      <c r="E520" s="1">
        <v>46338</v>
      </c>
      <c r="F520" s="1">
        <v>46341</v>
      </c>
      <c r="G520" t="s">
        <v>38</v>
      </c>
      <c r="H520">
        <v>5599</v>
      </c>
      <c r="I520" t="s">
        <v>39</v>
      </c>
      <c r="J520" t="b">
        <v>0</v>
      </c>
      <c r="K520">
        <v>3</v>
      </c>
      <c r="L520">
        <v>11</v>
      </c>
      <c r="M520">
        <v>2026</v>
      </c>
      <c r="N520">
        <v>6</v>
      </c>
      <c r="O520">
        <v>11</v>
      </c>
      <c r="P520">
        <v>2026</v>
      </c>
      <c r="Q520">
        <v>3</v>
      </c>
      <c r="R520" t="s">
        <v>66</v>
      </c>
      <c r="S520" t="s">
        <v>55</v>
      </c>
      <c r="T520" t="s">
        <v>139</v>
      </c>
      <c r="U520" t="s">
        <v>40</v>
      </c>
      <c r="V520" t="s">
        <v>74</v>
      </c>
      <c r="W520" t="s">
        <v>75</v>
      </c>
      <c r="X520" t="s">
        <v>76</v>
      </c>
      <c r="Y520">
        <v>75</v>
      </c>
      <c r="Z520" t="s">
        <v>133</v>
      </c>
      <c r="AA520" t="s">
        <v>134</v>
      </c>
      <c r="AB520" s="1">
        <v>46341</v>
      </c>
      <c r="AC520" t="s">
        <v>66</v>
      </c>
      <c r="AD520" t="s">
        <v>40</v>
      </c>
      <c r="AE520" t="s">
        <v>86</v>
      </c>
      <c r="AF520" t="s">
        <v>40</v>
      </c>
      <c r="AG520">
        <v>0</v>
      </c>
      <c r="AH520" t="s">
        <v>100</v>
      </c>
    </row>
    <row r="521" spans="1:34" x14ac:dyDescent="0.3">
      <c r="A521" t="s">
        <v>985</v>
      </c>
      <c r="B521" t="s">
        <v>986</v>
      </c>
      <c r="C521" t="s">
        <v>146</v>
      </c>
      <c r="D521" t="s">
        <v>104</v>
      </c>
      <c r="E521" s="1">
        <v>46096</v>
      </c>
      <c r="F521" s="1">
        <v>46099</v>
      </c>
      <c r="G521" t="s">
        <v>38</v>
      </c>
      <c r="H521">
        <v>4824</v>
      </c>
      <c r="I521" t="s">
        <v>39</v>
      </c>
      <c r="J521" t="b">
        <v>0</v>
      </c>
      <c r="K521">
        <v>3</v>
      </c>
      <c r="L521">
        <v>3</v>
      </c>
      <c r="M521">
        <v>2026</v>
      </c>
      <c r="N521">
        <v>2</v>
      </c>
      <c r="O521">
        <v>3</v>
      </c>
      <c r="P521">
        <v>2026</v>
      </c>
      <c r="Q521">
        <v>6</v>
      </c>
      <c r="R521" t="s">
        <v>40</v>
      </c>
      <c r="S521" t="s">
        <v>55</v>
      </c>
      <c r="T521" t="s">
        <v>42</v>
      </c>
      <c r="U521" t="s">
        <v>40</v>
      </c>
      <c r="V521" t="s">
        <v>147</v>
      </c>
      <c r="W521" t="s">
        <v>148</v>
      </c>
      <c r="X521" t="s">
        <v>45</v>
      </c>
      <c r="Y521">
        <v>160</v>
      </c>
      <c r="Z521" t="s">
        <v>107</v>
      </c>
      <c r="AA521" t="s">
        <v>108</v>
      </c>
      <c r="AB521" s="1">
        <v>46099</v>
      </c>
      <c r="AC521" t="s">
        <v>40</v>
      </c>
      <c r="AD521" t="s">
        <v>40</v>
      </c>
      <c r="AE521" t="s">
        <v>60</v>
      </c>
      <c r="AF521" t="s">
        <v>40</v>
      </c>
      <c r="AG521">
        <v>0</v>
      </c>
      <c r="AH521" t="s">
        <v>100</v>
      </c>
    </row>
    <row r="522" spans="1:34" x14ac:dyDescent="0.3">
      <c r="A522" t="s">
        <v>987</v>
      </c>
      <c r="B522" t="s">
        <v>972</v>
      </c>
      <c r="C522" t="s">
        <v>73</v>
      </c>
      <c r="D522" t="s">
        <v>130</v>
      </c>
      <c r="E522" s="1">
        <v>46331</v>
      </c>
      <c r="F522" s="1">
        <v>46431</v>
      </c>
      <c r="G522" t="s">
        <v>81</v>
      </c>
      <c r="H522">
        <v>9867</v>
      </c>
      <c r="I522" t="s">
        <v>212</v>
      </c>
      <c r="J522" t="b">
        <v>0</v>
      </c>
      <c r="K522">
        <v>100</v>
      </c>
      <c r="L522">
        <v>2</v>
      </c>
      <c r="M522">
        <v>2027</v>
      </c>
      <c r="N522">
        <v>5</v>
      </c>
      <c r="O522">
        <v>11</v>
      </c>
      <c r="P522">
        <v>2026</v>
      </c>
      <c r="Q522">
        <v>3</v>
      </c>
      <c r="R522" t="s">
        <v>66</v>
      </c>
      <c r="S522" t="s">
        <v>45</v>
      </c>
      <c r="T522" t="s">
        <v>42</v>
      </c>
      <c r="U522" t="s">
        <v>40</v>
      </c>
      <c r="V522" t="s">
        <v>74</v>
      </c>
      <c r="W522" t="s">
        <v>75</v>
      </c>
      <c r="X522" t="s">
        <v>76</v>
      </c>
      <c r="Y522">
        <v>75</v>
      </c>
      <c r="Z522" t="s">
        <v>133</v>
      </c>
      <c r="AA522" t="s">
        <v>134</v>
      </c>
      <c r="AB522" s="1"/>
      <c r="AC522" t="s">
        <v>48</v>
      </c>
      <c r="AD522" t="s">
        <v>48</v>
      </c>
      <c r="AE522" t="s">
        <v>48</v>
      </c>
      <c r="AF522" t="s">
        <v>48</v>
      </c>
      <c r="AG522">
        <v>0</v>
      </c>
      <c r="AH522" t="s">
        <v>49</v>
      </c>
    </row>
    <row r="523" spans="1:34" x14ac:dyDescent="0.3">
      <c r="A523" t="s">
        <v>988</v>
      </c>
      <c r="B523" t="s">
        <v>614</v>
      </c>
      <c r="C523" t="s">
        <v>155</v>
      </c>
      <c r="D523" t="s">
        <v>90</v>
      </c>
      <c r="E523" s="1">
        <v>45915</v>
      </c>
      <c r="F523" s="1">
        <v>46065</v>
      </c>
      <c r="G523" t="s">
        <v>81</v>
      </c>
      <c r="H523">
        <v>9220</v>
      </c>
      <c r="I523" t="s">
        <v>39</v>
      </c>
      <c r="J523" t="b">
        <v>0</v>
      </c>
      <c r="K523">
        <v>150</v>
      </c>
      <c r="L523">
        <v>2</v>
      </c>
      <c r="M523">
        <v>2026</v>
      </c>
      <c r="N523">
        <v>3</v>
      </c>
      <c r="O523">
        <v>9</v>
      </c>
      <c r="P523">
        <v>2025</v>
      </c>
      <c r="Q523">
        <v>0</v>
      </c>
      <c r="R523" t="s">
        <v>40</v>
      </c>
      <c r="S523" t="s">
        <v>67</v>
      </c>
      <c r="T523" t="s">
        <v>42</v>
      </c>
      <c r="U523" t="s">
        <v>40</v>
      </c>
      <c r="V523" t="s">
        <v>156</v>
      </c>
      <c r="W523" t="s">
        <v>157</v>
      </c>
      <c r="X523" t="s">
        <v>158</v>
      </c>
      <c r="Y523">
        <v>70</v>
      </c>
      <c r="Z523" t="s">
        <v>93</v>
      </c>
      <c r="AA523" t="s">
        <v>94</v>
      </c>
      <c r="AB523" s="1">
        <v>46065</v>
      </c>
      <c r="AC523" t="s">
        <v>40</v>
      </c>
      <c r="AD523" t="s">
        <v>40</v>
      </c>
      <c r="AE523" t="s">
        <v>60</v>
      </c>
      <c r="AF523" t="s">
        <v>40</v>
      </c>
      <c r="AG523">
        <v>0</v>
      </c>
      <c r="AH523" t="s">
        <v>49</v>
      </c>
    </row>
    <row r="524" spans="1:34" x14ac:dyDescent="0.3">
      <c r="A524" t="s">
        <v>989</v>
      </c>
      <c r="B524" t="s">
        <v>914</v>
      </c>
      <c r="C524" t="s">
        <v>36</v>
      </c>
      <c r="D524" t="s">
        <v>53</v>
      </c>
      <c r="E524" s="1">
        <v>45676</v>
      </c>
      <c r="F524" s="1">
        <v>45706</v>
      </c>
      <c r="G524" t="s">
        <v>41</v>
      </c>
      <c r="H524">
        <v>7406</v>
      </c>
      <c r="I524" t="s">
        <v>54</v>
      </c>
      <c r="J524" t="b">
        <v>0</v>
      </c>
      <c r="K524">
        <v>30</v>
      </c>
      <c r="L524">
        <v>2</v>
      </c>
      <c r="M524">
        <v>2025</v>
      </c>
      <c r="N524">
        <v>1</v>
      </c>
      <c r="O524">
        <v>1</v>
      </c>
      <c r="P524">
        <v>2025</v>
      </c>
      <c r="Q524">
        <v>6</v>
      </c>
      <c r="R524" t="s">
        <v>40</v>
      </c>
      <c r="S524" t="s">
        <v>41</v>
      </c>
      <c r="T524" t="s">
        <v>42</v>
      </c>
      <c r="U524" t="s">
        <v>40</v>
      </c>
      <c r="V524" t="s">
        <v>43</v>
      </c>
      <c r="W524" t="s">
        <v>44</v>
      </c>
      <c r="X524" t="s">
        <v>45</v>
      </c>
      <c r="Y524">
        <v>150</v>
      </c>
      <c r="Z524" t="s">
        <v>58</v>
      </c>
      <c r="AA524" t="s">
        <v>59</v>
      </c>
      <c r="AB524" s="1">
        <v>45706</v>
      </c>
      <c r="AC524" t="s">
        <v>40</v>
      </c>
      <c r="AD524" t="s">
        <v>40</v>
      </c>
      <c r="AE524" t="s">
        <v>60</v>
      </c>
      <c r="AF524" t="s">
        <v>40</v>
      </c>
      <c r="AG524">
        <v>1</v>
      </c>
      <c r="AH524" t="s">
        <v>70</v>
      </c>
    </row>
    <row r="525" spans="1:34" x14ac:dyDescent="0.3">
      <c r="A525" t="s">
        <v>990</v>
      </c>
      <c r="B525" t="s">
        <v>991</v>
      </c>
      <c r="C525" t="s">
        <v>155</v>
      </c>
      <c r="D525" t="s">
        <v>130</v>
      </c>
      <c r="E525" s="1">
        <v>45974</v>
      </c>
      <c r="F525" s="1">
        <v>45981</v>
      </c>
      <c r="G525" t="s">
        <v>41</v>
      </c>
      <c r="H525">
        <v>5563</v>
      </c>
      <c r="I525" t="s">
        <v>39</v>
      </c>
      <c r="J525" t="b">
        <v>0</v>
      </c>
      <c r="K525">
        <v>7</v>
      </c>
      <c r="L525">
        <v>11</v>
      </c>
      <c r="M525">
        <v>2025</v>
      </c>
      <c r="N525">
        <v>3</v>
      </c>
      <c r="O525">
        <v>11</v>
      </c>
      <c r="P525">
        <v>2025</v>
      </c>
      <c r="Q525">
        <v>3</v>
      </c>
      <c r="R525" t="s">
        <v>40</v>
      </c>
      <c r="S525" t="s">
        <v>41</v>
      </c>
      <c r="T525" t="s">
        <v>286</v>
      </c>
      <c r="U525" t="s">
        <v>40</v>
      </c>
      <c r="V525" t="s">
        <v>156</v>
      </c>
      <c r="W525" t="s">
        <v>157</v>
      </c>
      <c r="X525" t="s">
        <v>158</v>
      </c>
      <c r="Y525">
        <v>70</v>
      </c>
      <c r="Z525" t="s">
        <v>133</v>
      </c>
      <c r="AA525" t="s">
        <v>134</v>
      </c>
      <c r="AB525" s="1">
        <v>45981</v>
      </c>
      <c r="AC525" t="s">
        <v>40</v>
      </c>
      <c r="AD525" t="s">
        <v>40</v>
      </c>
      <c r="AE525" t="s">
        <v>86</v>
      </c>
      <c r="AF525" t="s">
        <v>40</v>
      </c>
      <c r="AG525">
        <v>0</v>
      </c>
      <c r="AH525" t="s">
        <v>100</v>
      </c>
    </row>
    <row r="526" spans="1:34" x14ac:dyDescent="0.3">
      <c r="A526" t="s">
        <v>992</v>
      </c>
      <c r="B526" t="s">
        <v>725</v>
      </c>
      <c r="C526" t="s">
        <v>129</v>
      </c>
      <c r="D526" t="s">
        <v>130</v>
      </c>
      <c r="E526" s="1">
        <v>45901</v>
      </c>
      <c r="F526" s="1">
        <v>46051</v>
      </c>
      <c r="G526" t="s">
        <v>41</v>
      </c>
      <c r="H526">
        <v>7636</v>
      </c>
      <c r="I526" t="s">
        <v>54</v>
      </c>
      <c r="J526" t="b">
        <v>0</v>
      </c>
      <c r="K526">
        <v>150</v>
      </c>
      <c r="L526">
        <v>1</v>
      </c>
      <c r="M526">
        <v>2026</v>
      </c>
      <c r="N526">
        <v>3</v>
      </c>
      <c r="O526">
        <v>9</v>
      </c>
      <c r="P526">
        <v>2025</v>
      </c>
      <c r="Q526">
        <v>0</v>
      </c>
      <c r="R526" t="s">
        <v>40</v>
      </c>
      <c r="S526" t="s">
        <v>55</v>
      </c>
      <c r="T526" t="s">
        <v>42</v>
      </c>
      <c r="U526" t="s">
        <v>40</v>
      </c>
      <c r="V526" t="s">
        <v>131</v>
      </c>
      <c r="W526" t="s">
        <v>132</v>
      </c>
      <c r="X526" t="s">
        <v>45</v>
      </c>
      <c r="Y526">
        <v>110</v>
      </c>
      <c r="Z526" t="s">
        <v>133</v>
      </c>
      <c r="AA526" t="s">
        <v>134</v>
      </c>
      <c r="AB526" s="1">
        <v>46051</v>
      </c>
      <c r="AC526" t="s">
        <v>40</v>
      </c>
      <c r="AD526" t="s">
        <v>40</v>
      </c>
      <c r="AE526" t="s">
        <v>86</v>
      </c>
      <c r="AF526" t="s">
        <v>40</v>
      </c>
      <c r="AG526">
        <v>1</v>
      </c>
      <c r="AH526" t="s">
        <v>49</v>
      </c>
    </row>
    <row r="527" spans="1:34" x14ac:dyDescent="0.3">
      <c r="A527" t="s">
        <v>993</v>
      </c>
      <c r="B527" t="s">
        <v>742</v>
      </c>
      <c r="C527" t="s">
        <v>129</v>
      </c>
      <c r="D527" t="s">
        <v>53</v>
      </c>
      <c r="E527" s="1">
        <v>45682</v>
      </c>
      <c r="F527" s="1">
        <v>45689</v>
      </c>
      <c r="G527" t="s">
        <v>81</v>
      </c>
      <c r="H527">
        <v>10918</v>
      </c>
      <c r="I527" t="s">
        <v>39</v>
      </c>
      <c r="J527" t="b">
        <v>0</v>
      </c>
      <c r="K527">
        <v>7</v>
      </c>
      <c r="L527">
        <v>2</v>
      </c>
      <c r="M527">
        <v>2025</v>
      </c>
      <c r="N527">
        <v>5</v>
      </c>
      <c r="O527">
        <v>1</v>
      </c>
      <c r="P527">
        <v>2025</v>
      </c>
      <c r="Q527">
        <v>5</v>
      </c>
      <c r="R527" t="s">
        <v>66</v>
      </c>
      <c r="S527" t="s">
        <v>55</v>
      </c>
      <c r="T527" t="s">
        <v>42</v>
      </c>
      <c r="U527" t="s">
        <v>40</v>
      </c>
      <c r="V527" t="s">
        <v>131</v>
      </c>
      <c r="W527" t="s">
        <v>132</v>
      </c>
      <c r="X527" t="s">
        <v>45</v>
      </c>
      <c r="Y527">
        <v>110</v>
      </c>
      <c r="Z527" t="s">
        <v>58</v>
      </c>
      <c r="AA527" t="s">
        <v>59</v>
      </c>
      <c r="AB527" s="1">
        <v>45689</v>
      </c>
      <c r="AC527" t="s">
        <v>66</v>
      </c>
      <c r="AD527" t="s">
        <v>40</v>
      </c>
      <c r="AE527" t="s">
        <v>60</v>
      </c>
      <c r="AF527" t="s">
        <v>40</v>
      </c>
      <c r="AG527">
        <v>0</v>
      </c>
      <c r="AH527" t="s">
        <v>100</v>
      </c>
    </row>
    <row r="528" spans="1:34" x14ac:dyDescent="0.3">
      <c r="A528" t="s">
        <v>994</v>
      </c>
      <c r="B528" t="s">
        <v>548</v>
      </c>
      <c r="C528" t="s">
        <v>155</v>
      </c>
      <c r="D528" t="s">
        <v>104</v>
      </c>
      <c r="E528" s="1">
        <v>46191</v>
      </c>
      <c r="F528" s="1">
        <v>46205</v>
      </c>
      <c r="G528" t="s">
        <v>41</v>
      </c>
      <c r="H528">
        <v>8906</v>
      </c>
      <c r="I528" t="s">
        <v>39</v>
      </c>
      <c r="J528" t="b">
        <v>0</v>
      </c>
      <c r="K528">
        <v>14</v>
      </c>
      <c r="L528">
        <v>7</v>
      </c>
      <c r="M528">
        <v>2026</v>
      </c>
      <c r="N528">
        <v>3</v>
      </c>
      <c r="O528">
        <v>6</v>
      </c>
      <c r="P528">
        <v>2026</v>
      </c>
      <c r="Q528">
        <v>3</v>
      </c>
      <c r="R528" t="s">
        <v>40</v>
      </c>
      <c r="S528" t="s">
        <v>55</v>
      </c>
      <c r="T528" t="s">
        <v>42</v>
      </c>
      <c r="U528" t="s">
        <v>66</v>
      </c>
      <c r="V528" t="s">
        <v>156</v>
      </c>
      <c r="W528" t="s">
        <v>157</v>
      </c>
      <c r="X528" t="s">
        <v>158</v>
      </c>
      <c r="Y528">
        <v>70</v>
      </c>
      <c r="Z528" t="s">
        <v>107</v>
      </c>
      <c r="AA528" t="s">
        <v>108</v>
      </c>
      <c r="AB528" s="1">
        <v>46205</v>
      </c>
      <c r="AC528" t="s">
        <v>40</v>
      </c>
      <c r="AD528" t="s">
        <v>40</v>
      </c>
      <c r="AE528" t="s">
        <v>86</v>
      </c>
      <c r="AF528" t="s">
        <v>40</v>
      </c>
      <c r="AG528">
        <v>0</v>
      </c>
      <c r="AH528" t="s">
        <v>70</v>
      </c>
    </row>
    <row r="529" spans="1:34" x14ac:dyDescent="0.3">
      <c r="A529" t="s">
        <v>995</v>
      </c>
      <c r="B529" t="s">
        <v>725</v>
      </c>
      <c r="C529" t="s">
        <v>97</v>
      </c>
      <c r="D529" t="s">
        <v>130</v>
      </c>
      <c r="E529" s="1">
        <v>45835</v>
      </c>
      <c r="F529" s="1">
        <v>45865</v>
      </c>
      <c r="G529" t="s">
        <v>38</v>
      </c>
      <c r="H529">
        <v>3820</v>
      </c>
      <c r="I529" t="s">
        <v>39</v>
      </c>
      <c r="J529" t="b">
        <v>0</v>
      </c>
      <c r="K529">
        <v>30</v>
      </c>
      <c r="L529">
        <v>7</v>
      </c>
      <c r="M529">
        <v>2025</v>
      </c>
      <c r="N529">
        <v>6</v>
      </c>
      <c r="O529">
        <v>6</v>
      </c>
      <c r="P529">
        <v>2025</v>
      </c>
      <c r="Q529">
        <v>4</v>
      </c>
      <c r="R529" t="s">
        <v>66</v>
      </c>
      <c r="S529" t="s">
        <v>55</v>
      </c>
      <c r="T529" t="s">
        <v>42</v>
      </c>
      <c r="U529" t="s">
        <v>40</v>
      </c>
      <c r="V529" t="s">
        <v>98</v>
      </c>
      <c r="W529" t="s">
        <v>99</v>
      </c>
      <c r="X529" t="s">
        <v>76</v>
      </c>
      <c r="Y529">
        <v>80</v>
      </c>
      <c r="Z529" t="s">
        <v>133</v>
      </c>
      <c r="AA529" t="s">
        <v>134</v>
      </c>
      <c r="AB529" s="1">
        <v>45865</v>
      </c>
      <c r="AC529" t="s">
        <v>66</v>
      </c>
      <c r="AD529" t="s">
        <v>40</v>
      </c>
      <c r="AE529" t="s">
        <v>86</v>
      </c>
      <c r="AF529" t="s">
        <v>40</v>
      </c>
      <c r="AG529">
        <v>0</v>
      </c>
      <c r="AH529" t="s">
        <v>70</v>
      </c>
    </row>
    <row r="530" spans="1:34" x14ac:dyDescent="0.3">
      <c r="A530" t="s">
        <v>996</v>
      </c>
      <c r="B530" t="s">
        <v>773</v>
      </c>
      <c r="C530" t="s">
        <v>97</v>
      </c>
      <c r="D530" t="s">
        <v>80</v>
      </c>
      <c r="E530" s="1">
        <v>45912</v>
      </c>
      <c r="F530" s="1">
        <v>45919</v>
      </c>
      <c r="G530" t="s">
        <v>41</v>
      </c>
      <c r="H530">
        <v>8895</v>
      </c>
      <c r="I530" t="s">
        <v>39</v>
      </c>
      <c r="J530" t="b">
        <v>0</v>
      </c>
      <c r="K530">
        <v>7</v>
      </c>
      <c r="L530">
        <v>9</v>
      </c>
      <c r="M530">
        <v>2025</v>
      </c>
      <c r="N530">
        <v>4</v>
      </c>
      <c r="O530">
        <v>9</v>
      </c>
      <c r="P530">
        <v>2025</v>
      </c>
      <c r="Q530">
        <v>4</v>
      </c>
      <c r="R530" t="s">
        <v>40</v>
      </c>
      <c r="S530" t="s">
        <v>41</v>
      </c>
      <c r="T530" t="s">
        <v>113</v>
      </c>
      <c r="U530" t="s">
        <v>40</v>
      </c>
      <c r="V530" t="s">
        <v>98</v>
      </c>
      <c r="W530" t="s">
        <v>99</v>
      </c>
      <c r="X530" t="s">
        <v>76</v>
      </c>
      <c r="Y530">
        <v>80</v>
      </c>
      <c r="Z530" t="s">
        <v>84</v>
      </c>
      <c r="AA530" t="s">
        <v>85</v>
      </c>
      <c r="AB530" s="1">
        <v>45919</v>
      </c>
      <c r="AC530" t="s">
        <v>40</v>
      </c>
      <c r="AD530" t="s">
        <v>40</v>
      </c>
      <c r="AE530" t="s">
        <v>60</v>
      </c>
      <c r="AF530" t="s">
        <v>40</v>
      </c>
      <c r="AG530">
        <v>0</v>
      </c>
      <c r="AH530" t="s">
        <v>100</v>
      </c>
    </row>
    <row r="531" spans="1:34" x14ac:dyDescent="0.3">
      <c r="A531" t="s">
        <v>997</v>
      </c>
      <c r="B531" t="s">
        <v>998</v>
      </c>
      <c r="C531" t="s">
        <v>103</v>
      </c>
      <c r="D531" t="s">
        <v>80</v>
      </c>
      <c r="E531" s="1">
        <v>46282</v>
      </c>
      <c r="F531" s="1">
        <v>46342</v>
      </c>
      <c r="G531" t="s">
        <v>38</v>
      </c>
      <c r="H531">
        <v>5062</v>
      </c>
      <c r="I531" t="s">
        <v>39</v>
      </c>
      <c r="J531" t="b">
        <v>0</v>
      </c>
      <c r="K531">
        <v>60</v>
      </c>
      <c r="L531">
        <v>11</v>
      </c>
      <c r="M531">
        <v>2026</v>
      </c>
      <c r="N531">
        <v>0</v>
      </c>
      <c r="O531">
        <v>9</v>
      </c>
      <c r="P531">
        <v>2026</v>
      </c>
      <c r="Q531">
        <v>3</v>
      </c>
      <c r="R531" t="s">
        <v>40</v>
      </c>
      <c r="S531" t="s">
        <v>41</v>
      </c>
      <c r="T531" t="s">
        <v>123</v>
      </c>
      <c r="U531" t="s">
        <v>66</v>
      </c>
      <c r="V531" t="s">
        <v>105</v>
      </c>
      <c r="W531" t="s">
        <v>106</v>
      </c>
      <c r="X531" t="s">
        <v>45</v>
      </c>
      <c r="Y531">
        <v>140</v>
      </c>
      <c r="Z531" t="s">
        <v>84</v>
      </c>
      <c r="AA531" t="s">
        <v>85</v>
      </c>
      <c r="AB531" s="1">
        <v>46342</v>
      </c>
      <c r="AC531" t="s">
        <v>40</v>
      </c>
      <c r="AD531" t="s">
        <v>40</v>
      </c>
      <c r="AE531" t="s">
        <v>86</v>
      </c>
      <c r="AF531" t="s">
        <v>40</v>
      </c>
      <c r="AG531">
        <v>0</v>
      </c>
      <c r="AH531" t="s">
        <v>61</v>
      </c>
    </row>
    <row r="532" spans="1:34" x14ac:dyDescent="0.3">
      <c r="A532" t="s">
        <v>999</v>
      </c>
      <c r="B532" t="s">
        <v>1000</v>
      </c>
      <c r="C532" t="s">
        <v>97</v>
      </c>
      <c r="D532" t="s">
        <v>80</v>
      </c>
      <c r="E532" s="1">
        <v>45837</v>
      </c>
      <c r="F532" s="1">
        <v>45844</v>
      </c>
      <c r="G532" t="s">
        <v>41</v>
      </c>
      <c r="H532">
        <v>7302</v>
      </c>
      <c r="I532" t="s">
        <v>54</v>
      </c>
      <c r="J532" t="b">
        <v>0</v>
      </c>
      <c r="K532">
        <v>7</v>
      </c>
      <c r="L532">
        <v>7</v>
      </c>
      <c r="M532">
        <v>2025</v>
      </c>
      <c r="N532">
        <v>6</v>
      </c>
      <c r="O532">
        <v>6</v>
      </c>
      <c r="P532">
        <v>2025</v>
      </c>
      <c r="Q532">
        <v>6</v>
      </c>
      <c r="R532" t="s">
        <v>66</v>
      </c>
      <c r="S532" t="s">
        <v>45</v>
      </c>
      <c r="T532" t="s">
        <v>42</v>
      </c>
      <c r="U532" t="s">
        <v>40</v>
      </c>
      <c r="V532" t="s">
        <v>98</v>
      </c>
      <c r="W532" t="s">
        <v>99</v>
      </c>
      <c r="X532" t="s">
        <v>76</v>
      </c>
      <c r="Y532">
        <v>80</v>
      </c>
      <c r="Z532" t="s">
        <v>84</v>
      </c>
      <c r="AA532" t="s">
        <v>85</v>
      </c>
      <c r="AB532" s="1">
        <v>45844</v>
      </c>
      <c r="AC532" t="s">
        <v>66</v>
      </c>
      <c r="AD532" t="s">
        <v>40</v>
      </c>
      <c r="AE532" t="s">
        <v>86</v>
      </c>
      <c r="AF532" t="s">
        <v>40</v>
      </c>
      <c r="AG532">
        <v>1</v>
      </c>
      <c r="AH532" t="s">
        <v>100</v>
      </c>
    </row>
    <row r="533" spans="1:34" x14ac:dyDescent="0.3">
      <c r="A533" t="s">
        <v>1001</v>
      </c>
      <c r="B533" t="s">
        <v>651</v>
      </c>
      <c r="C533" t="s">
        <v>89</v>
      </c>
      <c r="D533" t="s">
        <v>104</v>
      </c>
      <c r="E533" s="1">
        <v>45858</v>
      </c>
      <c r="F533" s="1">
        <v>45861</v>
      </c>
      <c r="G533" t="s">
        <v>38</v>
      </c>
      <c r="H533">
        <v>5550</v>
      </c>
      <c r="I533" t="s">
        <v>39</v>
      </c>
      <c r="J533" t="b">
        <v>0</v>
      </c>
      <c r="K533">
        <v>3</v>
      </c>
      <c r="L533">
        <v>7</v>
      </c>
      <c r="M533">
        <v>2025</v>
      </c>
      <c r="N533">
        <v>2</v>
      </c>
      <c r="O533">
        <v>7</v>
      </c>
      <c r="P533">
        <v>2025</v>
      </c>
      <c r="Q533">
        <v>6</v>
      </c>
      <c r="R533" t="s">
        <v>40</v>
      </c>
      <c r="S533" t="s">
        <v>45</v>
      </c>
      <c r="T533" t="s">
        <v>286</v>
      </c>
      <c r="U533" t="s">
        <v>66</v>
      </c>
      <c r="V533" t="s">
        <v>91</v>
      </c>
      <c r="W533" t="s">
        <v>92</v>
      </c>
      <c r="X533" t="s">
        <v>76</v>
      </c>
      <c r="Y533">
        <v>65</v>
      </c>
      <c r="Z533" t="s">
        <v>107</v>
      </c>
      <c r="AA533" t="s">
        <v>108</v>
      </c>
      <c r="AB533" s="1">
        <v>45861</v>
      </c>
      <c r="AC533" t="s">
        <v>40</v>
      </c>
      <c r="AD533" t="s">
        <v>40</v>
      </c>
      <c r="AE533" t="s">
        <v>86</v>
      </c>
      <c r="AF533" t="s">
        <v>40</v>
      </c>
      <c r="AG533">
        <v>0</v>
      </c>
      <c r="AH533" t="s">
        <v>100</v>
      </c>
    </row>
    <row r="534" spans="1:34" x14ac:dyDescent="0.3">
      <c r="A534" t="s">
        <v>1002</v>
      </c>
      <c r="B534" t="s">
        <v>1003</v>
      </c>
      <c r="C534" t="s">
        <v>103</v>
      </c>
      <c r="D534" t="s">
        <v>104</v>
      </c>
      <c r="E534" s="1">
        <v>45973</v>
      </c>
      <c r="F534" s="1">
        <v>46003</v>
      </c>
      <c r="G534" t="s">
        <v>64</v>
      </c>
      <c r="H534">
        <v>4012</v>
      </c>
      <c r="I534" t="s">
        <v>65</v>
      </c>
      <c r="J534" t="b">
        <v>0</v>
      </c>
      <c r="K534">
        <v>30</v>
      </c>
      <c r="L534">
        <v>12</v>
      </c>
      <c r="M534">
        <v>2025</v>
      </c>
      <c r="N534">
        <v>4</v>
      </c>
      <c r="O534">
        <v>11</v>
      </c>
      <c r="P534">
        <v>2025</v>
      </c>
      <c r="Q534">
        <v>2</v>
      </c>
      <c r="R534" t="s">
        <v>40</v>
      </c>
      <c r="S534" t="s">
        <v>41</v>
      </c>
      <c r="T534" t="s">
        <v>42</v>
      </c>
      <c r="U534" t="s">
        <v>66</v>
      </c>
      <c r="V534" t="s">
        <v>105</v>
      </c>
      <c r="W534" t="s">
        <v>106</v>
      </c>
      <c r="X534" t="s">
        <v>45</v>
      </c>
      <c r="Y534">
        <v>140</v>
      </c>
      <c r="Z534" t="s">
        <v>107</v>
      </c>
      <c r="AA534" t="s">
        <v>108</v>
      </c>
      <c r="AB534" s="1">
        <v>46003</v>
      </c>
      <c r="AC534" t="s">
        <v>40</v>
      </c>
      <c r="AD534" t="s">
        <v>40</v>
      </c>
      <c r="AE534" t="s">
        <v>69</v>
      </c>
      <c r="AF534" t="s">
        <v>40</v>
      </c>
      <c r="AG534">
        <v>0</v>
      </c>
      <c r="AH534" t="s">
        <v>70</v>
      </c>
    </row>
    <row r="535" spans="1:34" x14ac:dyDescent="0.3">
      <c r="A535" t="s">
        <v>1004</v>
      </c>
      <c r="B535" t="s">
        <v>567</v>
      </c>
      <c r="C535" t="s">
        <v>89</v>
      </c>
      <c r="D535" t="s">
        <v>53</v>
      </c>
      <c r="E535" s="1">
        <v>46179</v>
      </c>
      <c r="F535" s="1">
        <v>46239</v>
      </c>
      <c r="G535" t="s">
        <v>81</v>
      </c>
      <c r="H535">
        <v>9973</v>
      </c>
      <c r="I535" t="s">
        <v>65</v>
      </c>
      <c r="J535" t="b">
        <v>0</v>
      </c>
      <c r="K535">
        <v>60</v>
      </c>
      <c r="L535">
        <v>8</v>
      </c>
      <c r="M535">
        <v>2026</v>
      </c>
      <c r="N535">
        <v>2</v>
      </c>
      <c r="O535">
        <v>6</v>
      </c>
      <c r="P535">
        <v>2026</v>
      </c>
      <c r="Q535">
        <v>5</v>
      </c>
      <c r="R535" t="s">
        <v>40</v>
      </c>
      <c r="S535" t="s">
        <v>45</v>
      </c>
      <c r="T535" t="s">
        <v>42</v>
      </c>
      <c r="U535" t="s">
        <v>40</v>
      </c>
      <c r="V535" t="s">
        <v>91</v>
      </c>
      <c r="W535" t="s">
        <v>92</v>
      </c>
      <c r="X535" t="s">
        <v>76</v>
      </c>
      <c r="Y535">
        <v>65</v>
      </c>
      <c r="Z535" t="s">
        <v>58</v>
      </c>
      <c r="AA535" t="s">
        <v>59</v>
      </c>
      <c r="AB535" s="1">
        <v>46239</v>
      </c>
      <c r="AC535" t="s">
        <v>40</v>
      </c>
      <c r="AD535" t="s">
        <v>40</v>
      </c>
      <c r="AE535" t="s">
        <v>86</v>
      </c>
      <c r="AF535" t="s">
        <v>40</v>
      </c>
      <c r="AG535">
        <v>0</v>
      </c>
      <c r="AH535" t="s">
        <v>61</v>
      </c>
    </row>
    <row r="536" spans="1:34" x14ac:dyDescent="0.3">
      <c r="A536" t="s">
        <v>1005</v>
      </c>
      <c r="B536" t="s">
        <v>749</v>
      </c>
      <c r="C536" t="s">
        <v>129</v>
      </c>
      <c r="D536" t="s">
        <v>37</v>
      </c>
      <c r="E536" s="1">
        <v>46350</v>
      </c>
      <c r="F536" s="1">
        <v>46351</v>
      </c>
      <c r="G536" t="s">
        <v>38</v>
      </c>
      <c r="H536">
        <v>5365</v>
      </c>
      <c r="I536" t="s">
        <v>65</v>
      </c>
      <c r="J536" t="b">
        <v>0</v>
      </c>
      <c r="K536">
        <v>1</v>
      </c>
      <c r="L536">
        <v>11</v>
      </c>
      <c r="M536">
        <v>2026</v>
      </c>
      <c r="N536">
        <v>2</v>
      </c>
      <c r="O536">
        <v>11</v>
      </c>
      <c r="P536">
        <v>2026</v>
      </c>
      <c r="Q536">
        <v>1</v>
      </c>
      <c r="R536" t="s">
        <v>40</v>
      </c>
      <c r="S536" t="s">
        <v>45</v>
      </c>
      <c r="T536" t="s">
        <v>42</v>
      </c>
      <c r="U536" t="s">
        <v>40</v>
      </c>
      <c r="V536" t="s">
        <v>131</v>
      </c>
      <c r="W536" t="s">
        <v>132</v>
      </c>
      <c r="X536" t="s">
        <v>45</v>
      </c>
      <c r="Y536">
        <v>110</v>
      </c>
      <c r="Z536" t="s">
        <v>46</v>
      </c>
      <c r="AA536" t="s">
        <v>47</v>
      </c>
      <c r="AB536" s="1">
        <v>46351</v>
      </c>
      <c r="AC536" t="s">
        <v>40</v>
      </c>
      <c r="AD536" t="s">
        <v>40</v>
      </c>
      <c r="AE536" t="s">
        <v>86</v>
      </c>
      <c r="AF536" t="s">
        <v>40</v>
      </c>
      <c r="AG536">
        <v>0</v>
      </c>
      <c r="AH536" t="s">
        <v>100</v>
      </c>
    </row>
    <row r="537" spans="1:34" x14ac:dyDescent="0.3">
      <c r="A537" t="s">
        <v>1006</v>
      </c>
      <c r="B537" t="s">
        <v>866</v>
      </c>
      <c r="C537" t="s">
        <v>52</v>
      </c>
      <c r="D537" t="s">
        <v>130</v>
      </c>
      <c r="E537" s="1">
        <v>45752</v>
      </c>
      <c r="F537" s="1">
        <v>45782</v>
      </c>
      <c r="G537" t="s">
        <v>41</v>
      </c>
      <c r="H537">
        <v>7123</v>
      </c>
      <c r="I537" t="s">
        <v>39</v>
      </c>
      <c r="J537" t="b">
        <v>0</v>
      </c>
      <c r="K537">
        <v>30</v>
      </c>
      <c r="L537">
        <v>5</v>
      </c>
      <c r="M537">
        <v>2025</v>
      </c>
      <c r="N537">
        <v>0</v>
      </c>
      <c r="O537">
        <v>4</v>
      </c>
      <c r="P537">
        <v>2025</v>
      </c>
      <c r="Q537">
        <v>5</v>
      </c>
      <c r="R537" t="s">
        <v>40</v>
      </c>
      <c r="S537" t="s">
        <v>41</v>
      </c>
      <c r="T537" t="s">
        <v>42</v>
      </c>
      <c r="U537" t="s">
        <v>66</v>
      </c>
      <c r="V537" t="s">
        <v>56</v>
      </c>
      <c r="W537" t="s">
        <v>57</v>
      </c>
      <c r="X537" t="s">
        <v>45</v>
      </c>
      <c r="Y537">
        <v>120</v>
      </c>
      <c r="Z537" t="s">
        <v>133</v>
      </c>
      <c r="AA537" t="s">
        <v>134</v>
      </c>
      <c r="AB537" s="1">
        <v>45782</v>
      </c>
      <c r="AC537" t="s">
        <v>40</v>
      </c>
      <c r="AD537" t="s">
        <v>40</v>
      </c>
      <c r="AE537" t="s">
        <v>69</v>
      </c>
      <c r="AF537" t="s">
        <v>40</v>
      </c>
      <c r="AG537">
        <v>0</v>
      </c>
      <c r="AH537" t="s">
        <v>70</v>
      </c>
    </row>
    <row r="538" spans="1:34" x14ac:dyDescent="0.3">
      <c r="A538" t="s">
        <v>1007</v>
      </c>
      <c r="B538" t="s">
        <v>587</v>
      </c>
      <c r="C538" t="s">
        <v>169</v>
      </c>
      <c r="D538" t="s">
        <v>37</v>
      </c>
      <c r="E538" s="1">
        <v>45967</v>
      </c>
      <c r="F538" s="1">
        <v>45997</v>
      </c>
      <c r="G538" t="s">
        <v>41</v>
      </c>
      <c r="H538">
        <v>5447</v>
      </c>
      <c r="I538" t="s">
        <v>39</v>
      </c>
      <c r="J538" t="b">
        <v>0</v>
      </c>
      <c r="K538">
        <v>30</v>
      </c>
      <c r="L538">
        <v>12</v>
      </c>
      <c r="M538">
        <v>2025</v>
      </c>
      <c r="N538">
        <v>5</v>
      </c>
      <c r="O538">
        <v>11</v>
      </c>
      <c r="P538">
        <v>2025</v>
      </c>
      <c r="Q538">
        <v>3</v>
      </c>
      <c r="R538" t="s">
        <v>66</v>
      </c>
      <c r="S538" t="s">
        <v>55</v>
      </c>
      <c r="T538" t="s">
        <v>68</v>
      </c>
      <c r="U538" t="s">
        <v>40</v>
      </c>
      <c r="V538" t="s">
        <v>170</v>
      </c>
      <c r="W538" t="s">
        <v>171</v>
      </c>
      <c r="X538" t="s">
        <v>126</v>
      </c>
      <c r="Y538">
        <v>90</v>
      </c>
      <c r="Z538" t="s">
        <v>46</v>
      </c>
      <c r="AA538" t="s">
        <v>47</v>
      </c>
      <c r="AB538" s="1">
        <v>45997</v>
      </c>
      <c r="AC538" t="s">
        <v>66</v>
      </c>
      <c r="AD538" t="s">
        <v>40</v>
      </c>
      <c r="AE538" t="s">
        <v>69</v>
      </c>
      <c r="AF538" t="s">
        <v>40</v>
      </c>
      <c r="AG538">
        <v>0</v>
      </c>
      <c r="AH538" t="s">
        <v>70</v>
      </c>
    </row>
    <row r="539" spans="1:34" x14ac:dyDescent="0.3">
      <c r="A539" t="s">
        <v>1008</v>
      </c>
      <c r="B539" t="s">
        <v>357</v>
      </c>
      <c r="C539" t="s">
        <v>169</v>
      </c>
      <c r="D539" t="s">
        <v>37</v>
      </c>
      <c r="E539" s="1">
        <v>45872</v>
      </c>
      <c r="F539" s="1">
        <v>46022</v>
      </c>
      <c r="G539" t="s">
        <v>41</v>
      </c>
      <c r="H539">
        <v>5006</v>
      </c>
      <c r="I539" t="s">
        <v>39</v>
      </c>
      <c r="J539" t="b">
        <v>0</v>
      </c>
      <c r="K539">
        <v>150</v>
      </c>
      <c r="L539">
        <v>12</v>
      </c>
      <c r="M539">
        <v>2025</v>
      </c>
      <c r="N539">
        <v>2</v>
      </c>
      <c r="O539">
        <v>8</v>
      </c>
      <c r="P539">
        <v>2025</v>
      </c>
      <c r="Q539">
        <v>6</v>
      </c>
      <c r="R539" t="s">
        <v>40</v>
      </c>
      <c r="S539" t="s">
        <v>45</v>
      </c>
      <c r="T539" t="s">
        <v>123</v>
      </c>
      <c r="U539" t="s">
        <v>40</v>
      </c>
      <c r="V539" t="s">
        <v>170</v>
      </c>
      <c r="W539" t="s">
        <v>171</v>
      </c>
      <c r="X539" t="s">
        <v>126</v>
      </c>
      <c r="Y539">
        <v>90</v>
      </c>
      <c r="Z539" t="s">
        <v>46</v>
      </c>
      <c r="AA539" t="s">
        <v>47</v>
      </c>
      <c r="AB539" s="1">
        <v>46022</v>
      </c>
      <c r="AC539" t="s">
        <v>40</v>
      </c>
      <c r="AD539" t="s">
        <v>40</v>
      </c>
      <c r="AE539" t="s">
        <v>69</v>
      </c>
      <c r="AF539" t="s">
        <v>40</v>
      </c>
      <c r="AG539">
        <v>0</v>
      </c>
      <c r="AH539" t="s">
        <v>49</v>
      </c>
    </row>
    <row r="540" spans="1:34" x14ac:dyDescent="0.3">
      <c r="A540" t="s">
        <v>1009</v>
      </c>
      <c r="B540" t="s">
        <v>1010</v>
      </c>
      <c r="C540" t="s">
        <v>129</v>
      </c>
      <c r="D540" t="s">
        <v>53</v>
      </c>
      <c r="E540" s="1">
        <v>46099</v>
      </c>
      <c r="F540" s="1">
        <v>46102</v>
      </c>
      <c r="G540" t="s">
        <v>81</v>
      </c>
      <c r="H540">
        <v>8122</v>
      </c>
      <c r="I540" t="s">
        <v>39</v>
      </c>
      <c r="J540" t="b">
        <v>0</v>
      </c>
      <c r="K540">
        <v>3</v>
      </c>
      <c r="L540">
        <v>3</v>
      </c>
      <c r="M540">
        <v>2026</v>
      </c>
      <c r="N540">
        <v>5</v>
      </c>
      <c r="O540">
        <v>3</v>
      </c>
      <c r="P540">
        <v>2026</v>
      </c>
      <c r="Q540">
        <v>2</v>
      </c>
      <c r="R540" t="s">
        <v>66</v>
      </c>
      <c r="S540" t="s">
        <v>41</v>
      </c>
      <c r="T540" t="s">
        <v>42</v>
      </c>
      <c r="U540" t="s">
        <v>66</v>
      </c>
      <c r="V540" t="s">
        <v>131</v>
      </c>
      <c r="W540" t="s">
        <v>132</v>
      </c>
      <c r="X540" t="s">
        <v>45</v>
      </c>
      <c r="Y540">
        <v>110</v>
      </c>
      <c r="Z540" t="s">
        <v>58</v>
      </c>
      <c r="AA540" t="s">
        <v>59</v>
      </c>
      <c r="AB540" s="1">
        <v>46102</v>
      </c>
      <c r="AC540" t="s">
        <v>66</v>
      </c>
      <c r="AD540" t="s">
        <v>40</v>
      </c>
      <c r="AE540" t="s">
        <v>60</v>
      </c>
      <c r="AF540" t="s">
        <v>40</v>
      </c>
      <c r="AG540">
        <v>0</v>
      </c>
      <c r="AH540" t="s">
        <v>100</v>
      </c>
    </row>
    <row r="541" spans="1:34" x14ac:dyDescent="0.3">
      <c r="A541" t="s">
        <v>1011</v>
      </c>
      <c r="B541" t="s">
        <v>1012</v>
      </c>
      <c r="C541" t="s">
        <v>97</v>
      </c>
      <c r="D541" t="s">
        <v>90</v>
      </c>
      <c r="E541" s="1">
        <v>45718</v>
      </c>
      <c r="F541" s="1">
        <v>45778</v>
      </c>
      <c r="G541" t="s">
        <v>38</v>
      </c>
      <c r="H541">
        <v>5174</v>
      </c>
      <c r="I541" t="s">
        <v>54</v>
      </c>
      <c r="J541" t="b">
        <v>0</v>
      </c>
      <c r="K541">
        <v>60</v>
      </c>
      <c r="L541">
        <v>5</v>
      </c>
      <c r="M541">
        <v>2025</v>
      </c>
      <c r="N541">
        <v>3</v>
      </c>
      <c r="O541">
        <v>3</v>
      </c>
      <c r="P541">
        <v>2025</v>
      </c>
      <c r="Q541">
        <v>6</v>
      </c>
      <c r="R541" t="s">
        <v>40</v>
      </c>
      <c r="S541" t="s">
        <v>55</v>
      </c>
      <c r="T541" t="s">
        <v>68</v>
      </c>
      <c r="U541" t="s">
        <v>40</v>
      </c>
      <c r="V541" t="s">
        <v>98</v>
      </c>
      <c r="W541" t="s">
        <v>99</v>
      </c>
      <c r="X541" t="s">
        <v>76</v>
      </c>
      <c r="Y541">
        <v>80</v>
      </c>
      <c r="Z541" t="s">
        <v>93</v>
      </c>
      <c r="AA541" t="s">
        <v>94</v>
      </c>
      <c r="AB541" s="1">
        <v>45778</v>
      </c>
      <c r="AC541" t="s">
        <v>40</v>
      </c>
      <c r="AD541" t="s">
        <v>40</v>
      </c>
      <c r="AE541" t="s">
        <v>69</v>
      </c>
      <c r="AF541" t="s">
        <v>40</v>
      </c>
      <c r="AG541">
        <v>1</v>
      </c>
      <c r="AH541" t="s">
        <v>61</v>
      </c>
    </row>
    <row r="542" spans="1:34" x14ac:dyDescent="0.3">
      <c r="A542" t="s">
        <v>1013</v>
      </c>
      <c r="B542" t="s">
        <v>505</v>
      </c>
      <c r="C542" t="s">
        <v>36</v>
      </c>
      <c r="D542" t="s">
        <v>53</v>
      </c>
      <c r="E542" s="1">
        <v>45745</v>
      </c>
      <c r="F542" s="1">
        <v>45759</v>
      </c>
      <c r="G542" t="s">
        <v>81</v>
      </c>
      <c r="H542">
        <v>11297</v>
      </c>
      <c r="I542" t="s">
        <v>39</v>
      </c>
      <c r="J542" t="b">
        <v>0</v>
      </c>
      <c r="K542">
        <v>14</v>
      </c>
      <c r="L542">
        <v>4</v>
      </c>
      <c r="M542">
        <v>2025</v>
      </c>
      <c r="N542">
        <v>5</v>
      </c>
      <c r="O542">
        <v>3</v>
      </c>
      <c r="P542">
        <v>2025</v>
      </c>
      <c r="Q542">
        <v>5</v>
      </c>
      <c r="R542" t="s">
        <v>66</v>
      </c>
      <c r="S542" t="s">
        <v>55</v>
      </c>
      <c r="T542" t="s">
        <v>42</v>
      </c>
      <c r="U542" t="s">
        <v>40</v>
      </c>
      <c r="V542" t="s">
        <v>43</v>
      </c>
      <c r="W542" t="s">
        <v>44</v>
      </c>
      <c r="X542" t="s">
        <v>45</v>
      </c>
      <c r="Y542">
        <v>150</v>
      </c>
      <c r="Z542" t="s">
        <v>58</v>
      </c>
      <c r="AA542" t="s">
        <v>59</v>
      </c>
      <c r="AB542" s="1">
        <v>45759</v>
      </c>
      <c r="AC542" t="s">
        <v>66</v>
      </c>
      <c r="AD542" t="s">
        <v>40</v>
      </c>
      <c r="AE542" t="s">
        <v>69</v>
      </c>
      <c r="AF542" t="s">
        <v>40</v>
      </c>
      <c r="AG542">
        <v>0</v>
      </c>
      <c r="AH542" t="s">
        <v>70</v>
      </c>
    </row>
    <row r="543" spans="1:34" x14ac:dyDescent="0.3">
      <c r="A543" t="s">
        <v>1014</v>
      </c>
      <c r="B543" t="s">
        <v>782</v>
      </c>
      <c r="C543" t="s">
        <v>169</v>
      </c>
      <c r="D543" t="s">
        <v>130</v>
      </c>
      <c r="E543" s="1">
        <v>46339</v>
      </c>
      <c r="F543" s="1">
        <v>46369</v>
      </c>
      <c r="G543" t="s">
        <v>64</v>
      </c>
      <c r="H543">
        <v>2632</v>
      </c>
      <c r="I543" t="s">
        <v>65</v>
      </c>
      <c r="J543" t="b">
        <v>0</v>
      </c>
      <c r="K543">
        <v>30</v>
      </c>
      <c r="L543">
        <v>12</v>
      </c>
      <c r="M543">
        <v>2026</v>
      </c>
      <c r="N543">
        <v>6</v>
      </c>
      <c r="O543">
        <v>11</v>
      </c>
      <c r="P543">
        <v>2026</v>
      </c>
      <c r="Q543">
        <v>4</v>
      </c>
      <c r="R543" t="s">
        <v>66</v>
      </c>
      <c r="S543" t="s">
        <v>67</v>
      </c>
      <c r="T543" t="s">
        <v>42</v>
      </c>
      <c r="U543" t="s">
        <v>66</v>
      </c>
      <c r="V543" t="s">
        <v>170</v>
      </c>
      <c r="W543" t="s">
        <v>171</v>
      </c>
      <c r="X543" t="s">
        <v>126</v>
      </c>
      <c r="Y543">
        <v>90</v>
      </c>
      <c r="Z543" t="s">
        <v>133</v>
      </c>
      <c r="AA543" t="s">
        <v>134</v>
      </c>
      <c r="AB543" s="1">
        <v>46369</v>
      </c>
      <c r="AC543" t="s">
        <v>66</v>
      </c>
      <c r="AD543" t="s">
        <v>40</v>
      </c>
      <c r="AE543" t="s">
        <v>69</v>
      </c>
      <c r="AF543" t="s">
        <v>40</v>
      </c>
      <c r="AG543">
        <v>0</v>
      </c>
      <c r="AH543" t="s">
        <v>70</v>
      </c>
    </row>
    <row r="544" spans="1:34" x14ac:dyDescent="0.3">
      <c r="A544" t="s">
        <v>1015</v>
      </c>
      <c r="B544" t="s">
        <v>1016</v>
      </c>
      <c r="C544" t="s">
        <v>122</v>
      </c>
      <c r="D544" t="s">
        <v>53</v>
      </c>
      <c r="E544" s="1">
        <v>46276</v>
      </c>
      <c r="F544" s="1">
        <v>46290</v>
      </c>
      <c r="G544" t="s">
        <v>81</v>
      </c>
      <c r="H544">
        <v>9459</v>
      </c>
      <c r="I544" t="s">
        <v>212</v>
      </c>
      <c r="J544" t="b">
        <v>0</v>
      </c>
      <c r="K544">
        <v>14</v>
      </c>
      <c r="L544">
        <v>9</v>
      </c>
      <c r="M544">
        <v>2026</v>
      </c>
      <c r="N544">
        <v>4</v>
      </c>
      <c r="O544">
        <v>9</v>
      </c>
      <c r="P544">
        <v>2026</v>
      </c>
      <c r="Q544">
        <v>4</v>
      </c>
      <c r="R544" t="s">
        <v>40</v>
      </c>
      <c r="S544" t="s">
        <v>55</v>
      </c>
      <c r="T544" t="s">
        <v>48</v>
      </c>
      <c r="U544" t="s">
        <v>40</v>
      </c>
      <c r="V544" t="s">
        <v>124</v>
      </c>
      <c r="W544" t="s">
        <v>125</v>
      </c>
      <c r="X544" t="s">
        <v>126</v>
      </c>
      <c r="Y544">
        <v>85</v>
      </c>
      <c r="Z544" t="s">
        <v>58</v>
      </c>
      <c r="AA544" t="s">
        <v>59</v>
      </c>
      <c r="AB544" s="1">
        <v>46290</v>
      </c>
      <c r="AC544" t="s">
        <v>40</v>
      </c>
      <c r="AD544" t="s">
        <v>40</v>
      </c>
      <c r="AE544" t="s">
        <v>60</v>
      </c>
      <c r="AF544" t="s">
        <v>40</v>
      </c>
      <c r="AG544">
        <v>0</v>
      </c>
      <c r="AH544" t="s">
        <v>70</v>
      </c>
    </row>
    <row r="545" spans="1:34" x14ac:dyDescent="0.3">
      <c r="A545" t="s">
        <v>1017</v>
      </c>
      <c r="B545" t="s">
        <v>387</v>
      </c>
      <c r="C545" t="s">
        <v>36</v>
      </c>
      <c r="D545" t="s">
        <v>130</v>
      </c>
      <c r="E545" s="1">
        <v>46125</v>
      </c>
      <c r="F545" s="1">
        <v>46225</v>
      </c>
      <c r="G545" t="s">
        <v>41</v>
      </c>
      <c r="H545">
        <v>8559</v>
      </c>
      <c r="I545" t="s">
        <v>65</v>
      </c>
      <c r="J545" t="b">
        <v>0</v>
      </c>
      <c r="K545">
        <v>100</v>
      </c>
      <c r="L545">
        <v>7</v>
      </c>
      <c r="M545">
        <v>2026</v>
      </c>
      <c r="N545">
        <v>2</v>
      </c>
      <c r="O545">
        <v>4</v>
      </c>
      <c r="P545">
        <v>2026</v>
      </c>
      <c r="Q545">
        <v>0</v>
      </c>
      <c r="R545" t="s">
        <v>40</v>
      </c>
      <c r="S545" t="s">
        <v>41</v>
      </c>
      <c r="T545" t="s">
        <v>42</v>
      </c>
      <c r="U545" t="s">
        <v>66</v>
      </c>
      <c r="V545" t="s">
        <v>43</v>
      </c>
      <c r="W545" t="s">
        <v>44</v>
      </c>
      <c r="X545" t="s">
        <v>45</v>
      </c>
      <c r="Y545">
        <v>150</v>
      </c>
      <c r="Z545" t="s">
        <v>133</v>
      </c>
      <c r="AA545" t="s">
        <v>134</v>
      </c>
      <c r="AB545" s="1">
        <v>46225</v>
      </c>
      <c r="AC545" t="s">
        <v>40</v>
      </c>
      <c r="AD545" t="s">
        <v>40</v>
      </c>
      <c r="AE545" t="s">
        <v>86</v>
      </c>
      <c r="AF545" t="s">
        <v>40</v>
      </c>
      <c r="AG545">
        <v>0</v>
      </c>
      <c r="AH545" t="s">
        <v>49</v>
      </c>
    </row>
    <row r="546" spans="1:34" x14ac:dyDescent="0.3">
      <c r="A546" t="s">
        <v>1018</v>
      </c>
      <c r="B546" t="s">
        <v>1019</v>
      </c>
      <c r="C546" t="s">
        <v>79</v>
      </c>
      <c r="D546" t="s">
        <v>104</v>
      </c>
      <c r="E546" s="1">
        <v>46291</v>
      </c>
      <c r="F546" s="1">
        <v>46351</v>
      </c>
      <c r="G546" t="s">
        <v>41</v>
      </c>
      <c r="H546">
        <v>7613</v>
      </c>
      <c r="I546" t="s">
        <v>39</v>
      </c>
      <c r="J546" t="b">
        <v>0</v>
      </c>
      <c r="K546">
        <v>60</v>
      </c>
      <c r="L546">
        <v>11</v>
      </c>
      <c r="M546">
        <v>2026</v>
      </c>
      <c r="N546">
        <v>2</v>
      </c>
      <c r="O546">
        <v>9</v>
      </c>
      <c r="P546">
        <v>2026</v>
      </c>
      <c r="Q546">
        <v>5</v>
      </c>
      <c r="R546" t="s">
        <v>40</v>
      </c>
      <c r="S546" t="s">
        <v>41</v>
      </c>
      <c r="T546" t="s">
        <v>42</v>
      </c>
      <c r="U546" t="s">
        <v>40</v>
      </c>
      <c r="V546" t="s">
        <v>82</v>
      </c>
      <c r="W546" t="s">
        <v>83</v>
      </c>
      <c r="X546" t="s">
        <v>76</v>
      </c>
      <c r="Y546">
        <v>100</v>
      </c>
      <c r="Z546" t="s">
        <v>107</v>
      </c>
      <c r="AA546" t="s">
        <v>108</v>
      </c>
      <c r="AB546" s="1">
        <v>46351</v>
      </c>
      <c r="AC546" t="s">
        <v>40</v>
      </c>
      <c r="AD546" t="s">
        <v>40</v>
      </c>
      <c r="AE546" t="s">
        <v>86</v>
      </c>
      <c r="AF546" t="s">
        <v>40</v>
      </c>
      <c r="AG546">
        <v>0</v>
      </c>
      <c r="AH546" t="s">
        <v>61</v>
      </c>
    </row>
    <row r="547" spans="1:34" x14ac:dyDescent="0.3">
      <c r="A547" t="s">
        <v>1020</v>
      </c>
      <c r="B547" t="s">
        <v>473</v>
      </c>
      <c r="C547" t="s">
        <v>52</v>
      </c>
      <c r="D547" t="s">
        <v>37</v>
      </c>
      <c r="E547" s="1">
        <v>45991</v>
      </c>
      <c r="F547" s="1">
        <v>46051</v>
      </c>
      <c r="G547" t="s">
        <v>38</v>
      </c>
      <c r="H547">
        <v>5139</v>
      </c>
      <c r="I547" t="s">
        <v>65</v>
      </c>
      <c r="J547" t="b">
        <v>0</v>
      </c>
      <c r="K547">
        <v>60</v>
      </c>
      <c r="L547">
        <v>1</v>
      </c>
      <c r="M547">
        <v>2026</v>
      </c>
      <c r="N547">
        <v>3</v>
      </c>
      <c r="O547">
        <v>11</v>
      </c>
      <c r="P547">
        <v>2025</v>
      </c>
      <c r="Q547">
        <v>6</v>
      </c>
      <c r="R547" t="s">
        <v>40</v>
      </c>
      <c r="S547" t="s">
        <v>41</v>
      </c>
      <c r="T547" t="s">
        <v>286</v>
      </c>
      <c r="U547" t="s">
        <v>40</v>
      </c>
      <c r="V547" t="s">
        <v>56</v>
      </c>
      <c r="W547" t="s">
        <v>57</v>
      </c>
      <c r="X547" t="s">
        <v>45</v>
      </c>
      <c r="Y547">
        <v>120</v>
      </c>
      <c r="Z547" t="s">
        <v>46</v>
      </c>
      <c r="AA547" t="s">
        <v>47</v>
      </c>
      <c r="AB547" s="1">
        <v>46051</v>
      </c>
      <c r="AC547" t="s">
        <v>40</v>
      </c>
      <c r="AD547" t="s">
        <v>40</v>
      </c>
      <c r="AE547" t="s">
        <v>86</v>
      </c>
      <c r="AF547" t="s">
        <v>40</v>
      </c>
      <c r="AG547">
        <v>0</v>
      </c>
      <c r="AH547" t="s">
        <v>61</v>
      </c>
    </row>
    <row r="548" spans="1:34" x14ac:dyDescent="0.3">
      <c r="A548" t="s">
        <v>1021</v>
      </c>
      <c r="B548" t="s">
        <v>460</v>
      </c>
      <c r="C548" t="s">
        <v>129</v>
      </c>
      <c r="D548" t="s">
        <v>37</v>
      </c>
      <c r="E548" s="1">
        <v>45760</v>
      </c>
      <c r="F548" s="1">
        <v>45820</v>
      </c>
      <c r="G548" t="s">
        <v>81</v>
      </c>
      <c r="H548">
        <v>10760</v>
      </c>
      <c r="I548" t="s">
        <v>39</v>
      </c>
      <c r="J548" t="b">
        <v>0</v>
      </c>
      <c r="K548">
        <v>60</v>
      </c>
      <c r="L548">
        <v>6</v>
      </c>
      <c r="M548">
        <v>2025</v>
      </c>
      <c r="N548">
        <v>3</v>
      </c>
      <c r="O548">
        <v>4</v>
      </c>
      <c r="P548">
        <v>2025</v>
      </c>
      <c r="Q548">
        <v>6</v>
      </c>
      <c r="R548" t="s">
        <v>40</v>
      </c>
      <c r="S548" t="s">
        <v>41</v>
      </c>
      <c r="T548" t="s">
        <v>286</v>
      </c>
      <c r="U548" t="s">
        <v>40</v>
      </c>
      <c r="V548" t="s">
        <v>131</v>
      </c>
      <c r="W548" t="s">
        <v>132</v>
      </c>
      <c r="X548" t="s">
        <v>45</v>
      </c>
      <c r="Y548">
        <v>110</v>
      </c>
      <c r="Z548" t="s">
        <v>46</v>
      </c>
      <c r="AA548" t="s">
        <v>47</v>
      </c>
      <c r="AB548" s="1">
        <v>45820</v>
      </c>
      <c r="AC548" t="s">
        <v>40</v>
      </c>
      <c r="AD548" t="s">
        <v>40</v>
      </c>
      <c r="AE548" t="s">
        <v>60</v>
      </c>
      <c r="AF548" t="s">
        <v>40</v>
      </c>
      <c r="AG548">
        <v>0</v>
      </c>
      <c r="AH548" t="s">
        <v>61</v>
      </c>
    </row>
    <row r="549" spans="1:34" x14ac:dyDescent="0.3">
      <c r="A549" t="s">
        <v>1022</v>
      </c>
      <c r="B549" t="s">
        <v>926</v>
      </c>
      <c r="C549" t="s">
        <v>122</v>
      </c>
      <c r="D549" t="s">
        <v>130</v>
      </c>
      <c r="E549" s="1">
        <v>45966</v>
      </c>
      <c r="F549" s="1">
        <v>46066</v>
      </c>
      <c r="G549" t="s">
        <v>41</v>
      </c>
      <c r="H549">
        <v>6974</v>
      </c>
      <c r="I549" t="s">
        <v>54</v>
      </c>
      <c r="J549" t="b">
        <v>0</v>
      </c>
      <c r="K549">
        <v>100</v>
      </c>
      <c r="L549">
        <v>2</v>
      </c>
      <c r="M549">
        <v>2026</v>
      </c>
      <c r="N549">
        <v>4</v>
      </c>
      <c r="O549">
        <v>11</v>
      </c>
      <c r="P549">
        <v>2025</v>
      </c>
      <c r="Q549">
        <v>2</v>
      </c>
      <c r="R549" t="s">
        <v>40</v>
      </c>
      <c r="S549" t="s">
        <v>67</v>
      </c>
      <c r="T549" t="s">
        <v>42</v>
      </c>
      <c r="U549" t="s">
        <v>40</v>
      </c>
      <c r="V549" t="s">
        <v>124</v>
      </c>
      <c r="W549" t="s">
        <v>125</v>
      </c>
      <c r="X549" t="s">
        <v>126</v>
      </c>
      <c r="Y549">
        <v>85</v>
      </c>
      <c r="Z549" t="s">
        <v>133</v>
      </c>
      <c r="AA549" t="s">
        <v>134</v>
      </c>
      <c r="AB549" s="1">
        <v>46066</v>
      </c>
      <c r="AC549" t="s">
        <v>40</v>
      </c>
      <c r="AD549" t="s">
        <v>40</v>
      </c>
      <c r="AE549" t="s">
        <v>60</v>
      </c>
      <c r="AF549" t="s">
        <v>40</v>
      </c>
      <c r="AG549">
        <v>1</v>
      </c>
      <c r="AH549" t="s">
        <v>49</v>
      </c>
    </row>
    <row r="550" spans="1:34" x14ac:dyDescent="0.3">
      <c r="A550" t="s">
        <v>1023</v>
      </c>
      <c r="B550" t="s">
        <v>1024</v>
      </c>
      <c r="C550" t="s">
        <v>97</v>
      </c>
      <c r="D550" t="s">
        <v>37</v>
      </c>
      <c r="E550" s="1">
        <v>45749</v>
      </c>
      <c r="F550" s="1">
        <v>45752</v>
      </c>
      <c r="G550" t="s">
        <v>64</v>
      </c>
      <c r="H550">
        <v>4102</v>
      </c>
      <c r="I550" t="s">
        <v>65</v>
      </c>
      <c r="J550" t="b">
        <v>0</v>
      </c>
      <c r="K550">
        <v>3</v>
      </c>
      <c r="L550">
        <v>4</v>
      </c>
      <c r="M550">
        <v>2025</v>
      </c>
      <c r="N550">
        <v>5</v>
      </c>
      <c r="O550">
        <v>4</v>
      </c>
      <c r="P550">
        <v>2025</v>
      </c>
      <c r="Q550">
        <v>2</v>
      </c>
      <c r="R550" t="s">
        <v>66</v>
      </c>
      <c r="S550" t="s">
        <v>45</v>
      </c>
      <c r="T550" t="s">
        <v>42</v>
      </c>
      <c r="U550" t="s">
        <v>66</v>
      </c>
      <c r="V550" t="s">
        <v>98</v>
      </c>
      <c r="W550" t="s">
        <v>99</v>
      </c>
      <c r="X550" t="s">
        <v>76</v>
      </c>
      <c r="Y550">
        <v>80</v>
      </c>
      <c r="Z550" t="s">
        <v>46</v>
      </c>
      <c r="AA550" t="s">
        <v>47</v>
      </c>
      <c r="AB550" s="1">
        <v>45752</v>
      </c>
      <c r="AC550" t="s">
        <v>66</v>
      </c>
      <c r="AD550" t="s">
        <v>40</v>
      </c>
      <c r="AE550" t="s">
        <v>69</v>
      </c>
      <c r="AF550" t="s">
        <v>40</v>
      </c>
      <c r="AG550">
        <v>0</v>
      </c>
      <c r="AH550" t="s">
        <v>100</v>
      </c>
    </row>
    <row r="551" spans="1:34" x14ac:dyDescent="0.3">
      <c r="A551" t="s">
        <v>1025</v>
      </c>
      <c r="B551" t="s">
        <v>1026</v>
      </c>
      <c r="C551" t="s">
        <v>129</v>
      </c>
      <c r="D551" t="s">
        <v>90</v>
      </c>
      <c r="E551" s="1">
        <v>46205</v>
      </c>
      <c r="F551" s="1">
        <v>46235</v>
      </c>
      <c r="G551" t="s">
        <v>41</v>
      </c>
      <c r="H551">
        <v>8816</v>
      </c>
      <c r="I551" t="s">
        <v>39</v>
      </c>
      <c r="J551" t="b">
        <v>0</v>
      </c>
      <c r="K551">
        <v>30</v>
      </c>
      <c r="L551">
        <v>8</v>
      </c>
      <c r="M551">
        <v>2026</v>
      </c>
      <c r="N551">
        <v>5</v>
      </c>
      <c r="O551">
        <v>7</v>
      </c>
      <c r="P551">
        <v>2026</v>
      </c>
      <c r="Q551">
        <v>3</v>
      </c>
      <c r="R551" t="s">
        <v>66</v>
      </c>
      <c r="S551" t="s">
        <v>55</v>
      </c>
      <c r="T551" t="s">
        <v>286</v>
      </c>
      <c r="U551" t="s">
        <v>40</v>
      </c>
      <c r="V551" t="s">
        <v>131</v>
      </c>
      <c r="W551" t="s">
        <v>132</v>
      </c>
      <c r="X551" t="s">
        <v>45</v>
      </c>
      <c r="Y551">
        <v>110</v>
      </c>
      <c r="Z551" t="s">
        <v>93</v>
      </c>
      <c r="AA551" t="s">
        <v>94</v>
      </c>
      <c r="AB551" s="1">
        <v>46235</v>
      </c>
      <c r="AC551" t="s">
        <v>66</v>
      </c>
      <c r="AD551" t="s">
        <v>40</v>
      </c>
      <c r="AE551" t="s">
        <v>86</v>
      </c>
      <c r="AF551" t="s">
        <v>40</v>
      </c>
      <c r="AG551">
        <v>0</v>
      </c>
      <c r="AH551" t="s">
        <v>70</v>
      </c>
    </row>
    <row r="552" spans="1:34" x14ac:dyDescent="0.3">
      <c r="A552" t="s">
        <v>1027</v>
      </c>
      <c r="B552" t="s">
        <v>230</v>
      </c>
      <c r="C552" t="s">
        <v>103</v>
      </c>
      <c r="D552" t="s">
        <v>37</v>
      </c>
      <c r="E552" s="1">
        <v>46048</v>
      </c>
      <c r="F552" s="1">
        <v>46078</v>
      </c>
      <c r="G552" t="s">
        <v>41</v>
      </c>
      <c r="H552">
        <v>6191</v>
      </c>
      <c r="I552" t="s">
        <v>65</v>
      </c>
      <c r="J552" t="b">
        <v>0</v>
      </c>
      <c r="K552">
        <v>30</v>
      </c>
      <c r="L552">
        <v>2</v>
      </c>
      <c r="M552">
        <v>2026</v>
      </c>
      <c r="N552">
        <v>2</v>
      </c>
      <c r="O552">
        <v>1</v>
      </c>
      <c r="P552">
        <v>2026</v>
      </c>
      <c r="Q552">
        <v>0</v>
      </c>
      <c r="R552" t="s">
        <v>40</v>
      </c>
      <c r="S552" t="s">
        <v>45</v>
      </c>
      <c r="T552" t="s">
        <v>68</v>
      </c>
      <c r="U552" t="s">
        <v>66</v>
      </c>
      <c r="V552" t="s">
        <v>105</v>
      </c>
      <c r="W552" t="s">
        <v>106</v>
      </c>
      <c r="X552" t="s">
        <v>45</v>
      </c>
      <c r="Y552">
        <v>140</v>
      </c>
      <c r="Z552" t="s">
        <v>46</v>
      </c>
      <c r="AA552" t="s">
        <v>47</v>
      </c>
      <c r="AB552" s="1">
        <v>46078</v>
      </c>
      <c r="AC552" t="s">
        <v>40</v>
      </c>
      <c r="AD552" t="s">
        <v>40</v>
      </c>
      <c r="AE552" t="s">
        <v>60</v>
      </c>
      <c r="AF552" t="s">
        <v>40</v>
      </c>
      <c r="AG552">
        <v>0</v>
      </c>
      <c r="AH552" t="s">
        <v>70</v>
      </c>
    </row>
    <row r="553" spans="1:34" x14ac:dyDescent="0.3">
      <c r="A553" t="s">
        <v>1028</v>
      </c>
      <c r="B553" t="s">
        <v>1029</v>
      </c>
      <c r="C553" t="s">
        <v>89</v>
      </c>
      <c r="D553" t="s">
        <v>130</v>
      </c>
      <c r="E553" s="1">
        <v>46244</v>
      </c>
      <c r="F553" s="1">
        <v>46258</v>
      </c>
      <c r="G553" t="s">
        <v>81</v>
      </c>
      <c r="H553">
        <v>9046</v>
      </c>
      <c r="I553" t="s">
        <v>39</v>
      </c>
      <c r="J553" t="b">
        <v>0</v>
      </c>
      <c r="K553">
        <v>14</v>
      </c>
      <c r="L553">
        <v>8</v>
      </c>
      <c r="M553">
        <v>2026</v>
      </c>
      <c r="N553">
        <v>0</v>
      </c>
      <c r="O553">
        <v>8</v>
      </c>
      <c r="P553">
        <v>2026</v>
      </c>
      <c r="Q553">
        <v>0</v>
      </c>
      <c r="R553" t="s">
        <v>40</v>
      </c>
      <c r="S553" t="s">
        <v>45</v>
      </c>
      <c r="T553" t="s">
        <v>42</v>
      </c>
      <c r="U553" t="s">
        <v>40</v>
      </c>
      <c r="V553" t="s">
        <v>91</v>
      </c>
      <c r="W553" t="s">
        <v>92</v>
      </c>
      <c r="X553" t="s">
        <v>76</v>
      </c>
      <c r="Y553">
        <v>65</v>
      </c>
      <c r="Z553" t="s">
        <v>133</v>
      </c>
      <c r="AA553" t="s">
        <v>134</v>
      </c>
      <c r="AB553" s="1">
        <v>46258</v>
      </c>
      <c r="AC553" t="s">
        <v>40</v>
      </c>
      <c r="AD553" t="s">
        <v>40</v>
      </c>
      <c r="AE553" t="s">
        <v>86</v>
      </c>
      <c r="AF553" t="s">
        <v>40</v>
      </c>
      <c r="AG553">
        <v>0</v>
      </c>
      <c r="AH553" t="s">
        <v>70</v>
      </c>
    </row>
    <row r="554" spans="1:34" x14ac:dyDescent="0.3">
      <c r="A554" t="s">
        <v>1030</v>
      </c>
      <c r="B554" t="s">
        <v>1031</v>
      </c>
      <c r="C554" t="s">
        <v>79</v>
      </c>
      <c r="D554" t="s">
        <v>53</v>
      </c>
      <c r="E554" s="1">
        <v>46353</v>
      </c>
      <c r="F554" s="1">
        <v>46503</v>
      </c>
      <c r="G554" t="s">
        <v>38</v>
      </c>
      <c r="H554">
        <v>5964</v>
      </c>
      <c r="I554" t="s">
        <v>54</v>
      </c>
      <c r="J554" t="b">
        <v>0</v>
      </c>
      <c r="K554">
        <v>150</v>
      </c>
      <c r="L554">
        <v>4</v>
      </c>
      <c r="M554">
        <v>2027</v>
      </c>
      <c r="N554">
        <v>0</v>
      </c>
      <c r="O554">
        <v>11</v>
      </c>
      <c r="P554">
        <v>2026</v>
      </c>
      <c r="Q554">
        <v>4</v>
      </c>
      <c r="R554" t="s">
        <v>40</v>
      </c>
      <c r="S554" t="s">
        <v>41</v>
      </c>
      <c r="T554" t="s">
        <v>123</v>
      </c>
      <c r="U554" t="s">
        <v>40</v>
      </c>
      <c r="V554" t="s">
        <v>82</v>
      </c>
      <c r="W554" t="s">
        <v>83</v>
      </c>
      <c r="X554" t="s">
        <v>76</v>
      </c>
      <c r="Y554">
        <v>100</v>
      </c>
      <c r="Z554" t="s">
        <v>58</v>
      </c>
      <c r="AA554" t="s">
        <v>59</v>
      </c>
      <c r="AB554" s="1"/>
      <c r="AC554" t="s">
        <v>48</v>
      </c>
      <c r="AD554" t="s">
        <v>48</v>
      </c>
      <c r="AE554" t="s">
        <v>48</v>
      </c>
      <c r="AF554" t="s">
        <v>48</v>
      </c>
      <c r="AG554">
        <v>1</v>
      </c>
      <c r="AH554" t="s">
        <v>49</v>
      </c>
    </row>
    <row r="555" spans="1:34" x14ac:dyDescent="0.3">
      <c r="A555" t="s">
        <v>1032</v>
      </c>
      <c r="B555" t="s">
        <v>550</v>
      </c>
      <c r="C555" t="s">
        <v>79</v>
      </c>
      <c r="D555" t="s">
        <v>90</v>
      </c>
      <c r="E555" s="1">
        <v>45961</v>
      </c>
      <c r="F555" s="1">
        <v>46061</v>
      </c>
      <c r="G555" t="s">
        <v>41</v>
      </c>
      <c r="H555">
        <v>5597</v>
      </c>
      <c r="I555" t="s">
        <v>65</v>
      </c>
      <c r="J555" t="b">
        <v>0</v>
      </c>
      <c r="K555">
        <v>100</v>
      </c>
      <c r="L555">
        <v>2</v>
      </c>
      <c r="M555">
        <v>2026</v>
      </c>
      <c r="N555">
        <v>6</v>
      </c>
      <c r="O555">
        <v>10</v>
      </c>
      <c r="P555">
        <v>2025</v>
      </c>
      <c r="Q555">
        <v>4</v>
      </c>
      <c r="R555" t="s">
        <v>66</v>
      </c>
      <c r="S555" t="s">
        <v>45</v>
      </c>
      <c r="T555" t="s">
        <v>42</v>
      </c>
      <c r="U555" t="s">
        <v>40</v>
      </c>
      <c r="V555" t="s">
        <v>82</v>
      </c>
      <c r="W555" t="s">
        <v>83</v>
      </c>
      <c r="X555" t="s">
        <v>76</v>
      </c>
      <c r="Y555">
        <v>100</v>
      </c>
      <c r="Z555" t="s">
        <v>93</v>
      </c>
      <c r="AA555" t="s">
        <v>94</v>
      </c>
      <c r="AB555" s="1">
        <v>46061</v>
      </c>
      <c r="AC555" t="s">
        <v>66</v>
      </c>
      <c r="AD555" t="s">
        <v>40</v>
      </c>
      <c r="AE555" t="s">
        <v>60</v>
      </c>
      <c r="AF555" t="s">
        <v>40</v>
      </c>
      <c r="AG555">
        <v>0</v>
      </c>
      <c r="AH555" t="s">
        <v>49</v>
      </c>
    </row>
    <row r="556" spans="1:34" x14ac:dyDescent="0.3">
      <c r="A556" t="s">
        <v>1033</v>
      </c>
      <c r="B556" t="s">
        <v>1034</v>
      </c>
      <c r="C556" t="s">
        <v>155</v>
      </c>
      <c r="D556" t="s">
        <v>53</v>
      </c>
      <c r="E556" s="1">
        <v>45974</v>
      </c>
      <c r="F556" s="1">
        <v>46004</v>
      </c>
      <c r="G556" t="s">
        <v>64</v>
      </c>
      <c r="H556">
        <v>3936</v>
      </c>
      <c r="I556" t="s">
        <v>65</v>
      </c>
      <c r="J556" t="b">
        <v>0</v>
      </c>
      <c r="K556">
        <v>30</v>
      </c>
      <c r="L556">
        <v>12</v>
      </c>
      <c r="M556">
        <v>2025</v>
      </c>
      <c r="N556">
        <v>5</v>
      </c>
      <c r="O556">
        <v>11</v>
      </c>
      <c r="P556">
        <v>2025</v>
      </c>
      <c r="Q556">
        <v>3</v>
      </c>
      <c r="R556" t="s">
        <v>66</v>
      </c>
      <c r="S556" t="s">
        <v>41</v>
      </c>
      <c r="T556" t="s">
        <v>42</v>
      </c>
      <c r="U556" t="s">
        <v>40</v>
      </c>
      <c r="V556" t="s">
        <v>156</v>
      </c>
      <c r="W556" t="s">
        <v>157</v>
      </c>
      <c r="X556" t="s">
        <v>158</v>
      </c>
      <c r="Y556">
        <v>70</v>
      </c>
      <c r="Z556" t="s">
        <v>58</v>
      </c>
      <c r="AA556" t="s">
        <v>59</v>
      </c>
      <c r="AB556" s="1">
        <v>46004</v>
      </c>
      <c r="AC556" t="s">
        <v>66</v>
      </c>
      <c r="AD556" t="s">
        <v>40</v>
      </c>
      <c r="AE556" t="s">
        <v>69</v>
      </c>
      <c r="AF556" t="s">
        <v>40</v>
      </c>
      <c r="AG556">
        <v>0</v>
      </c>
      <c r="AH556" t="s">
        <v>70</v>
      </c>
    </row>
    <row r="557" spans="1:34" x14ac:dyDescent="0.3">
      <c r="A557" t="s">
        <v>1035</v>
      </c>
      <c r="B557" t="s">
        <v>1036</v>
      </c>
      <c r="C557" t="s">
        <v>52</v>
      </c>
      <c r="D557" t="s">
        <v>53</v>
      </c>
      <c r="E557" s="1">
        <v>45814</v>
      </c>
      <c r="F557" s="1">
        <v>45914</v>
      </c>
      <c r="G557" t="s">
        <v>38</v>
      </c>
      <c r="H557">
        <v>3715</v>
      </c>
      <c r="I557" t="s">
        <v>54</v>
      </c>
      <c r="J557" t="b">
        <v>0</v>
      </c>
      <c r="K557">
        <v>100</v>
      </c>
      <c r="L557">
        <v>9</v>
      </c>
      <c r="M557">
        <v>2025</v>
      </c>
      <c r="N557">
        <v>6</v>
      </c>
      <c r="O557">
        <v>6</v>
      </c>
      <c r="P557">
        <v>2025</v>
      </c>
      <c r="Q557">
        <v>4</v>
      </c>
      <c r="R557" t="s">
        <v>66</v>
      </c>
      <c r="S557" t="s">
        <v>45</v>
      </c>
      <c r="T557" t="s">
        <v>42</v>
      </c>
      <c r="U557" t="s">
        <v>40</v>
      </c>
      <c r="V557" t="s">
        <v>56</v>
      </c>
      <c r="W557" t="s">
        <v>57</v>
      </c>
      <c r="X557" t="s">
        <v>45</v>
      </c>
      <c r="Y557">
        <v>120</v>
      </c>
      <c r="Z557" t="s">
        <v>58</v>
      </c>
      <c r="AA557" t="s">
        <v>59</v>
      </c>
      <c r="AB557" s="1">
        <v>45914</v>
      </c>
      <c r="AC557" t="s">
        <v>66</v>
      </c>
      <c r="AD557" t="s">
        <v>40</v>
      </c>
      <c r="AE557" t="s">
        <v>60</v>
      </c>
      <c r="AF557" t="s">
        <v>40</v>
      </c>
      <c r="AG557">
        <v>1</v>
      </c>
      <c r="AH557" t="s">
        <v>49</v>
      </c>
    </row>
    <row r="558" spans="1:34" x14ac:dyDescent="0.3">
      <c r="A558" t="s">
        <v>1037</v>
      </c>
      <c r="B558" t="s">
        <v>797</v>
      </c>
      <c r="C558" t="s">
        <v>52</v>
      </c>
      <c r="D558" t="s">
        <v>80</v>
      </c>
      <c r="E558" s="1">
        <v>46059</v>
      </c>
      <c r="F558" s="1">
        <v>46073</v>
      </c>
      <c r="G558" t="s">
        <v>41</v>
      </c>
      <c r="H558">
        <v>5294</v>
      </c>
      <c r="I558" t="s">
        <v>65</v>
      </c>
      <c r="J558" t="b">
        <v>0</v>
      </c>
      <c r="K558">
        <v>14</v>
      </c>
      <c r="L558">
        <v>2</v>
      </c>
      <c r="M558">
        <v>2026</v>
      </c>
      <c r="N558">
        <v>4</v>
      </c>
      <c r="O558">
        <v>2</v>
      </c>
      <c r="P558">
        <v>2026</v>
      </c>
      <c r="Q558">
        <v>4</v>
      </c>
      <c r="R558" t="s">
        <v>40</v>
      </c>
      <c r="S558" t="s">
        <v>45</v>
      </c>
      <c r="T558" t="s">
        <v>42</v>
      </c>
      <c r="U558" t="s">
        <v>66</v>
      </c>
      <c r="V558" t="s">
        <v>56</v>
      </c>
      <c r="W558" t="s">
        <v>57</v>
      </c>
      <c r="X558" t="s">
        <v>45</v>
      </c>
      <c r="Y558">
        <v>120</v>
      </c>
      <c r="Z558" t="s">
        <v>84</v>
      </c>
      <c r="AA558" t="s">
        <v>85</v>
      </c>
      <c r="AB558" s="1">
        <v>46073</v>
      </c>
      <c r="AC558" t="s">
        <v>40</v>
      </c>
      <c r="AD558" t="s">
        <v>40</v>
      </c>
      <c r="AE558" t="s">
        <v>60</v>
      </c>
      <c r="AF558" t="s">
        <v>40</v>
      </c>
      <c r="AG558">
        <v>0</v>
      </c>
      <c r="AH558" t="s">
        <v>70</v>
      </c>
    </row>
    <row r="559" spans="1:34" x14ac:dyDescent="0.3">
      <c r="A559" t="s">
        <v>1038</v>
      </c>
      <c r="B559" t="s">
        <v>1039</v>
      </c>
      <c r="C559" t="s">
        <v>89</v>
      </c>
      <c r="D559" t="s">
        <v>80</v>
      </c>
      <c r="E559" s="1">
        <v>46061</v>
      </c>
      <c r="F559" s="1">
        <v>46064</v>
      </c>
      <c r="G559" t="s">
        <v>81</v>
      </c>
      <c r="H559">
        <v>8990</v>
      </c>
      <c r="I559" t="s">
        <v>39</v>
      </c>
      <c r="J559" t="b">
        <v>0</v>
      </c>
      <c r="K559">
        <v>3</v>
      </c>
      <c r="L559">
        <v>2</v>
      </c>
      <c r="M559">
        <v>2026</v>
      </c>
      <c r="N559">
        <v>2</v>
      </c>
      <c r="O559">
        <v>2</v>
      </c>
      <c r="P559">
        <v>2026</v>
      </c>
      <c r="Q559">
        <v>6</v>
      </c>
      <c r="R559" t="s">
        <v>40</v>
      </c>
      <c r="S559" t="s">
        <v>55</v>
      </c>
      <c r="T559" t="s">
        <v>42</v>
      </c>
      <c r="U559" t="s">
        <v>40</v>
      </c>
      <c r="V559" t="s">
        <v>91</v>
      </c>
      <c r="W559" t="s">
        <v>92</v>
      </c>
      <c r="X559" t="s">
        <v>76</v>
      </c>
      <c r="Y559">
        <v>65</v>
      </c>
      <c r="Z559" t="s">
        <v>84</v>
      </c>
      <c r="AA559" t="s">
        <v>85</v>
      </c>
      <c r="AB559" s="1">
        <v>46064</v>
      </c>
      <c r="AC559" t="s">
        <v>40</v>
      </c>
      <c r="AD559" t="s">
        <v>40</v>
      </c>
      <c r="AE559" t="s">
        <v>60</v>
      </c>
      <c r="AF559" t="s">
        <v>40</v>
      </c>
      <c r="AG559">
        <v>0</v>
      </c>
      <c r="AH559" t="s">
        <v>100</v>
      </c>
    </row>
    <row r="560" spans="1:34" x14ac:dyDescent="0.3">
      <c r="A560" t="s">
        <v>1040</v>
      </c>
      <c r="B560" t="s">
        <v>1041</v>
      </c>
      <c r="C560" t="s">
        <v>169</v>
      </c>
      <c r="D560" t="s">
        <v>90</v>
      </c>
      <c r="E560" s="1">
        <v>45872</v>
      </c>
      <c r="F560" s="1">
        <v>45879</v>
      </c>
      <c r="G560" t="s">
        <v>38</v>
      </c>
      <c r="H560">
        <v>5857</v>
      </c>
      <c r="I560" t="s">
        <v>39</v>
      </c>
      <c r="J560" t="b">
        <v>0</v>
      </c>
      <c r="K560">
        <v>7</v>
      </c>
      <c r="L560">
        <v>8</v>
      </c>
      <c r="M560">
        <v>2025</v>
      </c>
      <c r="N560">
        <v>6</v>
      </c>
      <c r="O560">
        <v>8</v>
      </c>
      <c r="P560">
        <v>2025</v>
      </c>
      <c r="Q560">
        <v>6</v>
      </c>
      <c r="R560" t="s">
        <v>66</v>
      </c>
      <c r="S560" t="s">
        <v>55</v>
      </c>
      <c r="T560" t="s">
        <v>42</v>
      </c>
      <c r="U560" t="s">
        <v>40</v>
      </c>
      <c r="V560" t="s">
        <v>170</v>
      </c>
      <c r="W560" t="s">
        <v>171</v>
      </c>
      <c r="X560" t="s">
        <v>126</v>
      </c>
      <c r="Y560">
        <v>90</v>
      </c>
      <c r="Z560" t="s">
        <v>93</v>
      </c>
      <c r="AA560" t="s">
        <v>94</v>
      </c>
      <c r="AB560" s="1">
        <v>45879</v>
      </c>
      <c r="AC560" t="s">
        <v>66</v>
      </c>
      <c r="AD560" t="s">
        <v>40</v>
      </c>
      <c r="AE560" t="s">
        <v>86</v>
      </c>
      <c r="AF560" t="s">
        <v>40</v>
      </c>
      <c r="AG560">
        <v>0</v>
      </c>
      <c r="AH560" t="s">
        <v>100</v>
      </c>
    </row>
    <row r="561" spans="1:34" x14ac:dyDescent="0.3">
      <c r="A561" t="s">
        <v>1042</v>
      </c>
      <c r="B561" t="s">
        <v>587</v>
      </c>
      <c r="C561" t="s">
        <v>129</v>
      </c>
      <c r="D561" t="s">
        <v>90</v>
      </c>
      <c r="E561" s="1">
        <v>45715</v>
      </c>
      <c r="F561" s="1">
        <v>45718</v>
      </c>
      <c r="G561" t="s">
        <v>41</v>
      </c>
      <c r="H561">
        <v>7111</v>
      </c>
      <c r="I561" t="s">
        <v>212</v>
      </c>
      <c r="J561" t="b">
        <v>0</v>
      </c>
      <c r="K561">
        <v>3</v>
      </c>
      <c r="L561">
        <v>3</v>
      </c>
      <c r="M561">
        <v>2025</v>
      </c>
      <c r="N561">
        <v>6</v>
      </c>
      <c r="O561">
        <v>2</v>
      </c>
      <c r="P561">
        <v>2025</v>
      </c>
      <c r="Q561">
        <v>3</v>
      </c>
      <c r="R561" t="s">
        <v>66</v>
      </c>
      <c r="S561" t="s">
        <v>55</v>
      </c>
      <c r="T561" t="s">
        <v>68</v>
      </c>
      <c r="U561" t="s">
        <v>40</v>
      </c>
      <c r="V561" t="s">
        <v>131</v>
      </c>
      <c r="W561" t="s">
        <v>132</v>
      </c>
      <c r="X561" t="s">
        <v>45</v>
      </c>
      <c r="Y561">
        <v>110</v>
      </c>
      <c r="Z561" t="s">
        <v>93</v>
      </c>
      <c r="AA561" t="s">
        <v>94</v>
      </c>
      <c r="AB561" s="1">
        <v>45718</v>
      </c>
      <c r="AC561" t="s">
        <v>66</v>
      </c>
      <c r="AD561" t="s">
        <v>40</v>
      </c>
      <c r="AE561" t="s">
        <v>60</v>
      </c>
      <c r="AF561" t="s">
        <v>40</v>
      </c>
      <c r="AG561">
        <v>0</v>
      </c>
      <c r="AH561" t="s">
        <v>100</v>
      </c>
    </row>
    <row r="562" spans="1:34" x14ac:dyDescent="0.3">
      <c r="A562" t="s">
        <v>1043</v>
      </c>
      <c r="B562" t="s">
        <v>1044</v>
      </c>
      <c r="C562" t="s">
        <v>89</v>
      </c>
      <c r="D562" t="s">
        <v>104</v>
      </c>
      <c r="E562" s="1">
        <v>45908</v>
      </c>
      <c r="F562" s="1">
        <v>45909</v>
      </c>
      <c r="G562" t="s">
        <v>38</v>
      </c>
      <c r="H562">
        <v>4739</v>
      </c>
      <c r="I562" t="s">
        <v>65</v>
      </c>
      <c r="J562" t="b">
        <v>0</v>
      </c>
      <c r="K562">
        <v>1</v>
      </c>
      <c r="L562">
        <v>9</v>
      </c>
      <c r="M562">
        <v>2025</v>
      </c>
      <c r="N562">
        <v>1</v>
      </c>
      <c r="O562">
        <v>9</v>
      </c>
      <c r="P562">
        <v>2025</v>
      </c>
      <c r="Q562">
        <v>0</v>
      </c>
      <c r="R562" t="s">
        <v>40</v>
      </c>
      <c r="S562" t="s">
        <v>41</v>
      </c>
      <c r="T562" t="s">
        <v>113</v>
      </c>
      <c r="U562" t="s">
        <v>40</v>
      </c>
      <c r="V562" t="s">
        <v>91</v>
      </c>
      <c r="W562" t="s">
        <v>92</v>
      </c>
      <c r="X562" t="s">
        <v>76</v>
      </c>
      <c r="Y562">
        <v>65</v>
      </c>
      <c r="Z562" t="s">
        <v>107</v>
      </c>
      <c r="AA562" t="s">
        <v>108</v>
      </c>
      <c r="AB562" s="1">
        <v>45909</v>
      </c>
      <c r="AC562" t="s">
        <v>40</v>
      </c>
      <c r="AD562" t="s">
        <v>40</v>
      </c>
      <c r="AE562" t="s">
        <v>60</v>
      </c>
      <c r="AF562" t="s">
        <v>40</v>
      </c>
      <c r="AG562">
        <v>0</v>
      </c>
      <c r="AH562" t="s">
        <v>100</v>
      </c>
    </row>
    <row r="563" spans="1:34" x14ac:dyDescent="0.3">
      <c r="A563" t="s">
        <v>1045</v>
      </c>
      <c r="B563" t="s">
        <v>817</v>
      </c>
      <c r="C563" t="s">
        <v>122</v>
      </c>
      <c r="D563" t="s">
        <v>37</v>
      </c>
      <c r="E563" s="1">
        <v>46049</v>
      </c>
      <c r="F563" s="1">
        <v>46056</v>
      </c>
      <c r="G563" t="s">
        <v>41</v>
      </c>
      <c r="H563">
        <v>5338</v>
      </c>
      <c r="I563" t="s">
        <v>65</v>
      </c>
      <c r="J563" t="b">
        <v>0</v>
      </c>
      <c r="K563">
        <v>7</v>
      </c>
      <c r="L563">
        <v>2</v>
      </c>
      <c r="M563">
        <v>2026</v>
      </c>
      <c r="N563">
        <v>1</v>
      </c>
      <c r="O563">
        <v>1</v>
      </c>
      <c r="P563">
        <v>2026</v>
      </c>
      <c r="Q563">
        <v>1</v>
      </c>
      <c r="R563" t="s">
        <v>40</v>
      </c>
      <c r="S563" t="s">
        <v>67</v>
      </c>
      <c r="T563" t="s">
        <v>42</v>
      </c>
      <c r="U563" t="s">
        <v>66</v>
      </c>
      <c r="V563" t="s">
        <v>124</v>
      </c>
      <c r="W563" t="s">
        <v>125</v>
      </c>
      <c r="X563" t="s">
        <v>126</v>
      </c>
      <c r="Y563">
        <v>85</v>
      </c>
      <c r="Z563" t="s">
        <v>46</v>
      </c>
      <c r="AA563" t="s">
        <v>47</v>
      </c>
      <c r="AB563" s="1">
        <v>46056</v>
      </c>
      <c r="AC563" t="s">
        <v>40</v>
      </c>
      <c r="AD563" t="s">
        <v>40</v>
      </c>
      <c r="AE563" t="s">
        <v>60</v>
      </c>
      <c r="AF563" t="s">
        <v>40</v>
      </c>
      <c r="AG563">
        <v>0</v>
      </c>
      <c r="AH563" t="s">
        <v>100</v>
      </c>
    </row>
    <row r="564" spans="1:34" x14ac:dyDescent="0.3">
      <c r="A564" t="s">
        <v>1046</v>
      </c>
      <c r="B564" t="s">
        <v>1047</v>
      </c>
      <c r="C564" t="s">
        <v>52</v>
      </c>
      <c r="D564" t="s">
        <v>80</v>
      </c>
      <c r="E564" s="1">
        <v>46244</v>
      </c>
      <c r="F564" s="1">
        <v>46464</v>
      </c>
      <c r="G564" t="s">
        <v>41</v>
      </c>
      <c r="H564">
        <v>5741</v>
      </c>
      <c r="I564" t="s">
        <v>65</v>
      </c>
      <c r="J564" t="b">
        <v>0</v>
      </c>
      <c r="K564">
        <v>220</v>
      </c>
      <c r="L564">
        <v>3</v>
      </c>
      <c r="M564">
        <v>2027</v>
      </c>
      <c r="N564">
        <v>3</v>
      </c>
      <c r="O564">
        <v>8</v>
      </c>
      <c r="P564">
        <v>2026</v>
      </c>
      <c r="Q564">
        <v>0</v>
      </c>
      <c r="R564" t="s">
        <v>40</v>
      </c>
      <c r="S564" t="s">
        <v>41</v>
      </c>
      <c r="T564" t="s">
        <v>42</v>
      </c>
      <c r="U564" t="s">
        <v>40</v>
      </c>
      <c r="V564" t="s">
        <v>56</v>
      </c>
      <c r="W564" t="s">
        <v>57</v>
      </c>
      <c r="X564" t="s">
        <v>45</v>
      </c>
      <c r="Y564">
        <v>120</v>
      </c>
      <c r="Z564" t="s">
        <v>84</v>
      </c>
      <c r="AA564" t="s">
        <v>85</v>
      </c>
      <c r="AB564" s="1"/>
      <c r="AC564" t="s">
        <v>48</v>
      </c>
      <c r="AD564" t="s">
        <v>48</v>
      </c>
      <c r="AE564" t="s">
        <v>48</v>
      </c>
      <c r="AF564" t="s">
        <v>48</v>
      </c>
      <c r="AG564">
        <v>0</v>
      </c>
      <c r="AH564" t="s">
        <v>142</v>
      </c>
    </row>
    <row r="565" spans="1:34" x14ac:dyDescent="0.3">
      <c r="A565" t="s">
        <v>1048</v>
      </c>
      <c r="B565" t="s">
        <v>888</v>
      </c>
      <c r="C565" t="s">
        <v>155</v>
      </c>
      <c r="D565" t="s">
        <v>90</v>
      </c>
      <c r="E565" s="1">
        <v>45759</v>
      </c>
      <c r="F565" s="1">
        <v>45773</v>
      </c>
      <c r="G565" t="s">
        <v>38</v>
      </c>
      <c r="H565">
        <v>3580</v>
      </c>
      <c r="I565" t="s">
        <v>39</v>
      </c>
      <c r="J565" t="b">
        <v>0</v>
      </c>
      <c r="K565">
        <v>14</v>
      </c>
      <c r="L565">
        <v>4</v>
      </c>
      <c r="M565">
        <v>2025</v>
      </c>
      <c r="N565">
        <v>5</v>
      </c>
      <c r="O565">
        <v>4</v>
      </c>
      <c r="P565">
        <v>2025</v>
      </c>
      <c r="Q565">
        <v>5</v>
      </c>
      <c r="R565" t="s">
        <v>66</v>
      </c>
      <c r="S565" t="s">
        <v>55</v>
      </c>
      <c r="T565" t="s">
        <v>42</v>
      </c>
      <c r="U565" t="s">
        <v>40</v>
      </c>
      <c r="V565" t="s">
        <v>156</v>
      </c>
      <c r="W565" t="s">
        <v>157</v>
      </c>
      <c r="X565" t="s">
        <v>158</v>
      </c>
      <c r="Y565">
        <v>70</v>
      </c>
      <c r="Z565" t="s">
        <v>93</v>
      </c>
      <c r="AA565" t="s">
        <v>94</v>
      </c>
      <c r="AB565" s="1">
        <v>45773</v>
      </c>
      <c r="AC565" t="s">
        <v>66</v>
      </c>
      <c r="AD565" t="s">
        <v>40</v>
      </c>
      <c r="AE565" t="s">
        <v>69</v>
      </c>
      <c r="AF565" t="s">
        <v>40</v>
      </c>
      <c r="AG565">
        <v>0</v>
      </c>
      <c r="AH565" t="s">
        <v>70</v>
      </c>
    </row>
    <row r="566" spans="1:34" x14ac:dyDescent="0.3">
      <c r="A566" t="s">
        <v>1049</v>
      </c>
      <c r="B566" t="s">
        <v>469</v>
      </c>
      <c r="C566" t="s">
        <v>146</v>
      </c>
      <c r="D566" t="s">
        <v>80</v>
      </c>
      <c r="E566" s="1">
        <v>46209</v>
      </c>
      <c r="F566" s="1">
        <v>46269</v>
      </c>
      <c r="G566" t="s">
        <v>64</v>
      </c>
      <c r="H566">
        <v>4177</v>
      </c>
      <c r="I566" t="s">
        <v>39</v>
      </c>
      <c r="J566" t="b">
        <v>0</v>
      </c>
      <c r="K566">
        <v>60</v>
      </c>
      <c r="L566">
        <v>9</v>
      </c>
      <c r="M566">
        <v>2026</v>
      </c>
      <c r="N566">
        <v>4</v>
      </c>
      <c r="O566">
        <v>7</v>
      </c>
      <c r="P566">
        <v>2026</v>
      </c>
      <c r="Q566">
        <v>0</v>
      </c>
      <c r="R566" t="s">
        <v>40</v>
      </c>
      <c r="S566" t="s">
        <v>67</v>
      </c>
      <c r="T566" t="s">
        <v>42</v>
      </c>
      <c r="U566" t="s">
        <v>66</v>
      </c>
      <c r="V566" t="s">
        <v>147</v>
      </c>
      <c r="W566" t="s">
        <v>148</v>
      </c>
      <c r="X566" t="s">
        <v>45</v>
      </c>
      <c r="Y566">
        <v>160</v>
      </c>
      <c r="Z566" t="s">
        <v>84</v>
      </c>
      <c r="AA566" t="s">
        <v>85</v>
      </c>
      <c r="AB566" s="1">
        <v>46269</v>
      </c>
      <c r="AC566" t="s">
        <v>40</v>
      </c>
      <c r="AD566" t="s">
        <v>40</v>
      </c>
      <c r="AE566" t="s">
        <v>60</v>
      </c>
      <c r="AF566" t="s">
        <v>40</v>
      </c>
      <c r="AG566">
        <v>0</v>
      </c>
      <c r="AH566" t="s">
        <v>61</v>
      </c>
    </row>
    <row r="567" spans="1:34" x14ac:dyDescent="0.3">
      <c r="A567" t="s">
        <v>1050</v>
      </c>
      <c r="B567" t="s">
        <v>1051</v>
      </c>
      <c r="C567" t="s">
        <v>36</v>
      </c>
      <c r="D567" t="s">
        <v>130</v>
      </c>
      <c r="E567" s="1">
        <v>45789</v>
      </c>
      <c r="F567" s="1">
        <v>45819</v>
      </c>
      <c r="G567" t="s">
        <v>38</v>
      </c>
      <c r="H567">
        <v>4551</v>
      </c>
      <c r="I567" t="s">
        <v>39</v>
      </c>
      <c r="J567" t="b">
        <v>0</v>
      </c>
      <c r="K567">
        <v>30</v>
      </c>
      <c r="L567">
        <v>6</v>
      </c>
      <c r="M567">
        <v>2025</v>
      </c>
      <c r="N567">
        <v>2</v>
      </c>
      <c r="O567">
        <v>5</v>
      </c>
      <c r="P567">
        <v>2025</v>
      </c>
      <c r="Q567">
        <v>0</v>
      </c>
      <c r="R567" t="s">
        <v>40</v>
      </c>
      <c r="S567" t="s">
        <v>67</v>
      </c>
      <c r="T567" t="s">
        <v>42</v>
      </c>
      <c r="U567" t="s">
        <v>66</v>
      </c>
      <c r="V567" t="s">
        <v>43</v>
      </c>
      <c r="W567" t="s">
        <v>44</v>
      </c>
      <c r="X567" t="s">
        <v>45</v>
      </c>
      <c r="Y567">
        <v>150</v>
      </c>
      <c r="Z567" t="s">
        <v>133</v>
      </c>
      <c r="AA567" t="s">
        <v>134</v>
      </c>
      <c r="AB567" s="1">
        <v>45819</v>
      </c>
      <c r="AC567" t="s">
        <v>40</v>
      </c>
      <c r="AD567" t="s">
        <v>40</v>
      </c>
      <c r="AE567" t="s">
        <v>60</v>
      </c>
      <c r="AF567" t="s">
        <v>40</v>
      </c>
      <c r="AG567">
        <v>0</v>
      </c>
      <c r="AH567" t="s">
        <v>70</v>
      </c>
    </row>
    <row r="568" spans="1:34" x14ac:dyDescent="0.3">
      <c r="A568" t="s">
        <v>1052</v>
      </c>
      <c r="B568" t="s">
        <v>1053</v>
      </c>
      <c r="C568" t="s">
        <v>97</v>
      </c>
      <c r="D568" t="s">
        <v>104</v>
      </c>
      <c r="E568" s="1">
        <v>46331</v>
      </c>
      <c r="F568" s="1">
        <v>46332</v>
      </c>
      <c r="G568" t="s">
        <v>81</v>
      </c>
      <c r="H568">
        <v>8903</v>
      </c>
      <c r="I568" t="s">
        <v>39</v>
      </c>
      <c r="J568" t="b">
        <v>0</v>
      </c>
      <c r="K568">
        <v>1</v>
      </c>
      <c r="L568">
        <v>11</v>
      </c>
      <c r="M568">
        <v>2026</v>
      </c>
      <c r="N568">
        <v>4</v>
      </c>
      <c r="O568">
        <v>11</v>
      </c>
      <c r="P568">
        <v>2026</v>
      </c>
      <c r="Q568">
        <v>3</v>
      </c>
      <c r="R568" t="s">
        <v>40</v>
      </c>
      <c r="S568" t="s">
        <v>67</v>
      </c>
      <c r="T568" t="s">
        <v>113</v>
      </c>
      <c r="U568" t="s">
        <v>40</v>
      </c>
      <c r="V568" t="s">
        <v>98</v>
      </c>
      <c r="W568" t="s">
        <v>99</v>
      </c>
      <c r="X568" t="s">
        <v>76</v>
      </c>
      <c r="Y568">
        <v>80</v>
      </c>
      <c r="Z568" t="s">
        <v>107</v>
      </c>
      <c r="AA568" t="s">
        <v>108</v>
      </c>
      <c r="AB568" s="1">
        <v>46332</v>
      </c>
      <c r="AC568" t="s">
        <v>40</v>
      </c>
      <c r="AD568" t="s">
        <v>40</v>
      </c>
      <c r="AE568" t="s">
        <v>86</v>
      </c>
      <c r="AF568" t="s">
        <v>40</v>
      </c>
      <c r="AG568">
        <v>0</v>
      </c>
      <c r="AH568" t="s">
        <v>100</v>
      </c>
    </row>
    <row r="569" spans="1:34" x14ac:dyDescent="0.3">
      <c r="A569" t="s">
        <v>1054</v>
      </c>
      <c r="B569" t="s">
        <v>411</v>
      </c>
      <c r="C569" t="s">
        <v>146</v>
      </c>
      <c r="D569" t="s">
        <v>53</v>
      </c>
      <c r="E569" s="1">
        <v>46278</v>
      </c>
      <c r="F569" s="1">
        <v>46308</v>
      </c>
      <c r="G569" t="s">
        <v>38</v>
      </c>
      <c r="H569">
        <v>3683</v>
      </c>
      <c r="I569" t="s">
        <v>54</v>
      </c>
      <c r="J569" t="b">
        <v>0</v>
      </c>
      <c r="K569">
        <v>30</v>
      </c>
      <c r="L569">
        <v>10</v>
      </c>
      <c r="M569">
        <v>2026</v>
      </c>
      <c r="N569">
        <v>1</v>
      </c>
      <c r="O569">
        <v>9</v>
      </c>
      <c r="P569">
        <v>2026</v>
      </c>
      <c r="Q569">
        <v>6</v>
      </c>
      <c r="R569" t="s">
        <v>40</v>
      </c>
      <c r="S569" t="s">
        <v>41</v>
      </c>
      <c r="T569" t="s">
        <v>42</v>
      </c>
      <c r="U569" t="s">
        <v>40</v>
      </c>
      <c r="V569" t="s">
        <v>147</v>
      </c>
      <c r="W569" t="s">
        <v>148</v>
      </c>
      <c r="X569" t="s">
        <v>45</v>
      </c>
      <c r="Y569">
        <v>160</v>
      </c>
      <c r="Z569" t="s">
        <v>58</v>
      </c>
      <c r="AA569" t="s">
        <v>59</v>
      </c>
      <c r="AB569" s="1">
        <v>46308</v>
      </c>
      <c r="AC569" t="s">
        <v>40</v>
      </c>
      <c r="AD569" t="s">
        <v>40</v>
      </c>
      <c r="AE569" t="s">
        <v>60</v>
      </c>
      <c r="AF569" t="s">
        <v>40</v>
      </c>
      <c r="AG569">
        <v>1</v>
      </c>
      <c r="AH569" t="s">
        <v>70</v>
      </c>
    </row>
    <row r="570" spans="1:34" x14ac:dyDescent="0.3">
      <c r="A570" t="s">
        <v>1055</v>
      </c>
      <c r="B570" t="s">
        <v>1056</v>
      </c>
      <c r="C570" t="s">
        <v>97</v>
      </c>
      <c r="D570" t="s">
        <v>80</v>
      </c>
      <c r="E570" s="1">
        <v>46223</v>
      </c>
      <c r="F570" s="1">
        <v>46230</v>
      </c>
      <c r="G570" t="s">
        <v>81</v>
      </c>
      <c r="H570">
        <v>7109</v>
      </c>
      <c r="I570" t="s">
        <v>65</v>
      </c>
      <c r="J570" t="b">
        <v>0</v>
      </c>
      <c r="K570">
        <v>7</v>
      </c>
      <c r="L570">
        <v>7</v>
      </c>
      <c r="M570">
        <v>2026</v>
      </c>
      <c r="N570">
        <v>0</v>
      </c>
      <c r="O570">
        <v>7</v>
      </c>
      <c r="P570">
        <v>2026</v>
      </c>
      <c r="Q570">
        <v>0</v>
      </c>
      <c r="R570" t="s">
        <v>40</v>
      </c>
      <c r="S570" t="s">
        <v>45</v>
      </c>
      <c r="T570" t="s">
        <v>42</v>
      </c>
      <c r="U570" t="s">
        <v>40</v>
      </c>
      <c r="V570" t="s">
        <v>98</v>
      </c>
      <c r="W570" t="s">
        <v>99</v>
      </c>
      <c r="X570" t="s">
        <v>76</v>
      </c>
      <c r="Y570">
        <v>80</v>
      </c>
      <c r="Z570" t="s">
        <v>84</v>
      </c>
      <c r="AA570" t="s">
        <v>85</v>
      </c>
      <c r="AB570" s="1">
        <v>46230</v>
      </c>
      <c r="AC570" t="s">
        <v>40</v>
      </c>
      <c r="AD570" t="s">
        <v>40</v>
      </c>
      <c r="AE570" t="s">
        <v>86</v>
      </c>
      <c r="AF570" t="s">
        <v>40</v>
      </c>
      <c r="AG570">
        <v>0</v>
      </c>
      <c r="AH570" t="s">
        <v>100</v>
      </c>
    </row>
    <row r="571" spans="1:34" x14ac:dyDescent="0.3">
      <c r="A571" t="s">
        <v>1057</v>
      </c>
      <c r="B571" t="s">
        <v>1058</v>
      </c>
      <c r="C571" t="s">
        <v>122</v>
      </c>
      <c r="D571" t="s">
        <v>130</v>
      </c>
      <c r="E571" s="1">
        <v>45918</v>
      </c>
      <c r="F571" s="1">
        <v>45978</v>
      </c>
      <c r="G571" t="s">
        <v>38</v>
      </c>
      <c r="H571">
        <v>3789</v>
      </c>
      <c r="I571" t="s">
        <v>39</v>
      </c>
      <c r="J571" t="b">
        <v>0</v>
      </c>
      <c r="K571">
        <v>60</v>
      </c>
      <c r="L571">
        <v>11</v>
      </c>
      <c r="M571">
        <v>2025</v>
      </c>
      <c r="N571">
        <v>0</v>
      </c>
      <c r="O571">
        <v>9</v>
      </c>
      <c r="P571">
        <v>2025</v>
      </c>
      <c r="Q571">
        <v>3</v>
      </c>
      <c r="R571" t="s">
        <v>40</v>
      </c>
      <c r="S571" t="s">
        <v>41</v>
      </c>
      <c r="T571" t="s">
        <v>42</v>
      </c>
      <c r="U571" t="s">
        <v>40</v>
      </c>
      <c r="V571" t="s">
        <v>124</v>
      </c>
      <c r="W571" t="s">
        <v>125</v>
      </c>
      <c r="X571" t="s">
        <v>126</v>
      </c>
      <c r="Y571">
        <v>85</v>
      </c>
      <c r="Z571" t="s">
        <v>133</v>
      </c>
      <c r="AA571" t="s">
        <v>134</v>
      </c>
      <c r="AB571" s="1">
        <v>45978</v>
      </c>
      <c r="AC571" t="s">
        <v>40</v>
      </c>
      <c r="AD571" t="s">
        <v>40</v>
      </c>
      <c r="AE571" t="s">
        <v>86</v>
      </c>
      <c r="AF571" t="s">
        <v>40</v>
      </c>
      <c r="AG571">
        <v>0</v>
      </c>
      <c r="AH571" t="s">
        <v>61</v>
      </c>
    </row>
    <row r="572" spans="1:34" x14ac:dyDescent="0.3">
      <c r="A572" t="s">
        <v>1059</v>
      </c>
      <c r="B572" t="s">
        <v>1060</v>
      </c>
      <c r="C572" t="s">
        <v>155</v>
      </c>
      <c r="D572" t="s">
        <v>37</v>
      </c>
      <c r="E572" s="1">
        <v>46321</v>
      </c>
      <c r="F572" s="1">
        <v>46421</v>
      </c>
      <c r="G572" t="s">
        <v>38</v>
      </c>
      <c r="H572">
        <v>4128</v>
      </c>
      <c r="I572" t="s">
        <v>54</v>
      </c>
      <c r="J572" t="b">
        <v>0</v>
      </c>
      <c r="K572">
        <v>100</v>
      </c>
      <c r="L572">
        <v>2</v>
      </c>
      <c r="M572">
        <v>2027</v>
      </c>
      <c r="N572">
        <v>2</v>
      </c>
      <c r="O572">
        <v>10</v>
      </c>
      <c r="P572">
        <v>2026</v>
      </c>
      <c r="Q572">
        <v>0</v>
      </c>
      <c r="R572" t="s">
        <v>40</v>
      </c>
      <c r="S572" t="s">
        <v>55</v>
      </c>
      <c r="T572" t="s">
        <v>48</v>
      </c>
      <c r="U572" t="s">
        <v>40</v>
      </c>
      <c r="V572" t="s">
        <v>156</v>
      </c>
      <c r="W572" t="s">
        <v>157</v>
      </c>
      <c r="X572" t="s">
        <v>158</v>
      </c>
      <c r="Y572">
        <v>70</v>
      </c>
      <c r="Z572" t="s">
        <v>46</v>
      </c>
      <c r="AA572" t="s">
        <v>47</v>
      </c>
      <c r="AB572" s="1"/>
      <c r="AC572" t="s">
        <v>48</v>
      </c>
      <c r="AD572" t="s">
        <v>48</v>
      </c>
      <c r="AE572" t="s">
        <v>48</v>
      </c>
      <c r="AF572" t="s">
        <v>48</v>
      </c>
      <c r="AG572">
        <v>1</v>
      </c>
      <c r="AH572" t="s">
        <v>49</v>
      </c>
    </row>
    <row r="573" spans="1:34" x14ac:dyDescent="0.3">
      <c r="A573" t="s">
        <v>1061</v>
      </c>
      <c r="B573" t="s">
        <v>1062</v>
      </c>
      <c r="C573" t="s">
        <v>73</v>
      </c>
      <c r="D573" t="s">
        <v>130</v>
      </c>
      <c r="E573" s="1">
        <v>45934</v>
      </c>
      <c r="F573" s="1">
        <v>45937</v>
      </c>
      <c r="G573" t="s">
        <v>64</v>
      </c>
      <c r="H573">
        <v>3033</v>
      </c>
      <c r="I573" t="s">
        <v>65</v>
      </c>
      <c r="J573" t="b">
        <v>0</v>
      </c>
      <c r="K573">
        <v>3</v>
      </c>
      <c r="L573">
        <v>10</v>
      </c>
      <c r="M573">
        <v>2025</v>
      </c>
      <c r="N573">
        <v>1</v>
      </c>
      <c r="O573">
        <v>10</v>
      </c>
      <c r="P573">
        <v>2025</v>
      </c>
      <c r="Q573">
        <v>5</v>
      </c>
      <c r="R573" t="s">
        <v>40</v>
      </c>
      <c r="S573" t="s">
        <v>41</v>
      </c>
      <c r="T573" t="s">
        <v>42</v>
      </c>
      <c r="U573" t="s">
        <v>40</v>
      </c>
      <c r="V573" t="s">
        <v>74</v>
      </c>
      <c r="W573" t="s">
        <v>75</v>
      </c>
      <c r="X573" t="s">
        <v>76</v>
      </c>
      <c r="Y573">
        <v>75</v>
      </c>
      <c r="Z573" t="s">
        <v>133</v>
      </c>
      <c r="AA573" t="s">
        <v>134</v>
      </c>
      <c r="AB573" s="1">
        <v>45937</v>
      </c>
      <c r="AC573" t="s">
        <v>40</v>
      </c>
      <c r="AD573" t="s">
        <v>40</v>
      </c>
      <c r="AE573" t="s">
        <v>60</v>
      </c>
      <c r="AF573" t="s">
        <v>40</v>
      </c>
      <c r="AG573">
        <v>0</v>
      </c>
      <c r="AH573" t="s">
        <v>100</v>
      </c>
    </row>
    <row r="574" spans="1:34" x14ac:dyDescent="0.3">
      <c r="A574" t="s">
        <v>1063</v>
      </c>
      <c r="B574" t="s">
        <v>444</v>
      </c>
      <c r="C574" t="s">
        <v>73</v>
      </c>
      <c r="D574" t="s">
        <v>53</v>
      </c>
      <c r="E574" s="1">
        <v>45668</v>
      </c>
      <c r="F574" s="1">
        <v>45671</v>
      </c>
      <c r="G574" t="s">
        <v>38</v>
      </c>
      <c r="H574">
        <v>3930</v>
      </c>
      <c r="I574" t="s">
        <v>39</v>
      </c>
      <c r="J574" t="b">
        <v>0</v>
      </c>
      <c r="K574">
        <v>3</v>
      </c>
      <c r="L574">
        <v>1</v>
      </c>
      <c r="M574">
        <v>2025</v>
      </c>
      <c r="N574">
        <v>1</v>
      </c>
      <c r="O574">
        <v>1</v>
      </c>
      <c r="P574">
        <v>2025</v>
      </c>
      <c r="Q574">
        <v>5</v>
      </c>
      <c r="R574" t="s">
        <v>40</v>
      </c>
      <c r="S574" t="s">
        <v>45</v>
      </c>
      <c r="T574" t="s">
        <v>286</v>
      </c>
      <c r="U574" t="s">
        <v>40</v>
      </c>
      <c r="V574" t="s">
        <v>74</v>
      </c>
      <c r="W574" t="s">
        <v>75</v>
      </c>
      <c r="X574" t="s">
        <v>76</v>
      </c>
      <c r="Y574">
        <v>75</v>
      </c>
      <c r="Z574" t="s">
        <v>58</v>
      </c>
      <c r="AA574" t="s">
        <v>59</v>
      </c>
      <c r="AB574" s="1">
        <v>45671</v>
      </c>
      <c r="AC574" t="s">
        <v>40</v>
      </c>
      <c r="AD574" t="s">
        <v>40</v>
      </c>
      <c r="AE574" t="s">
        <v>86</v>
      </c>
      <c r="AF574" t="s">
        <v>40</v>
      </c>
      <c r="AG574">
        <v>0</v>
      </c>
      <c r="AH574" t="s">
        <v>100</v>
      </c>
    </row>
    <row r="575" spans="1:34" x14ac:dyDescent="0.3">
      <c r="A575" t="s">
        <v>1064</v>
      </c>
      <c r="B575" t="s">
        <v>1065</v>
      </c>
      <c r="C575" t="s">
        <v>36</v>
      </c>
      <c r="D575" t="s">
        <v>80</v>
      </c>
      <c r="E575" s="1">
        <v>46015</v>
      </c>
      <c r="F575" s="1">
        <v>46075</v>
      </c>
      <c r="G575" t="s">
        <v>81</v>
      </c>
      <c r="H575">
        <v>7311</v>
      </c>
      <c r="I575" t="s">
        <v>65</v>
      </c>
      <c r="J575" t="b">
        <v>0</v>
      </c>
      <c r="K575">
        <v>60</v>
      </c>
      <c r="L575">
        <v>2</v>
      </c>
      <c r="M575">
        <v>2026</v>
      </c>
      <c r="N575">
        <v>6</v>
      </c>
      <c r="O575">
        <v>12</v>
      </c>
      <c r="P575">
        <v>2025</v>
      </c>
      <c r="Q575">
        <v>2</v>
      </c>
      <c r="R575" t="s">
        <v>66</v>
      </c>
      <c r="S575" t="s">
        <v>45</v>
      </c>
      <c r="T575" t="s">
        <v>123</v>
      </c>
      <c r="U575" t="s">
        <v>66</v>
      </c>
      <c r="V575" t="s">
        <v>43</v>
      </c>
      <c r="W575" t="s">
        <v>44</v>
      </c>
      <c r="X575" t="s">
        <v>45</v>
      </c>
      <c r="Y575">
        <v>150</v>
      </c>
      <c r="Z575" t="s">
        <v>84</v>
      </c>
      <c r="AA575" t="s">
        <v>85</v>
      </c>
      <c r="AB575" s="1">
        <v>46075</v>
      </c>
      <c r="AC575" t="s">
        <v>66</v>
      </c>
      <c r="AD575" t="s">
        <v>40</v>
      </c>
      <c r="AE575" t="s">
        <v>60</v>
      </c>
      <c r="AF575" t="s">
        <v>40</v>
      </c>
      <c r="AG575">
        <v>0</v>
      </c>
      <c r="AH575" t="s">
        <v>61</v>
      </c>
    </row>
    <row r="576" spans="1:34" x14ac:dyDescent="0.3">
      <c r="A576" t="s">
        <v>1066</v>
      </c>
      <c r="B576" t="s">
        <v>1067</v>
      </c>
      <c r="C576" t="s">
        <v>79</v>
      </c>
      <c r="D576" t="s">
        <v>37</v>
      </c>
      <c r="E576" s="1">
        <v>46352</v>
      </c>
      <c r="F576" s="1">
        <v>46502</v>
      </c>
      <c r="G576" t="s">
        <v>41</v>
      </c>
      <c r="H576">
        <v>5038</v>
      </c>
      <c r="I576" t="s">
        <v>65</v>
      </c>
      <c r="J576" t="b">
        <v>0</v>
      </c>
      <c r="K576">
        <v>150</v>
      </c>
      <c r="L576">
        <v>4</v>
      </c>
      <c r="M576">
        <v>2027</v>
      </c>
      <c r="N576">
        <v>6</v>
      </c>
      <c r="O576">
        <v>11</v>
      </c>
      <c r="P576">
        <v>2026</v>
      </c>
      <c r="Q576">
        <v>3</v>
      </c>
      <c r="R576" t="s">
        <v>66</v>
      </c>
      <c r="S576" t="s">
        <v>45</v>
      </c>
      <c r="T576" t="s">
        <v>48</v>
      </c>
      <c r="U576" t="s">
        <v>40</v>
      </c>
      <c r="V576" t="s">
        <v>82</v>
      </c>
      <c r="W576" t="s">
        <v>83</v>
      </c>
      <c r="X576" t="s">
        <v>76</v>
      </c>
      <c r="Y576">
        <v>100</v>
      </c>
      <c r="Z576" t="s">
        <v>46</v>
      </c>
      <c r="AA576" t="s">
        <v>47</v>
      </c>
      <c r="AB576" s="1"/>
      <c r="AC576" t="s">
        <v>48</v>
      </c>
      <c r="AD576" t="s">
        <v>48</v>
      </c>
      <c r="AE576" t="s">
        <v>48</v>
      </c>
      <c r="AF576" t="s">
        <v>48</v>
      </c>
      <c r="AG576">
        <v>0</v>
      </c>
      <c r="AH576" t="s">
        <v>49</v>
      </c>
    </row>
    <row r="577" spans="1:34" x14ac:dyDescent="0.3">
      <c r="A577" t="s">
        <v>1068</v>
      </c>
      <c r="B577" t="s">
        <v>357</v>
      </c>
      <c r="C577" t="s">
        <v>103</v>
      </c>
      <c r="D577" t="s">
        <v>80</v>
      </c>
      <c r="E577" s="1">
        <v>45931</v>
      </c>
      <c r="F577" s="1">
        <v>45932</v>
      </c>
      <c r="G577" t="s">
        <v>81</v>
      </c>
      <c r="H577">
        <v>9926</v>
      </c>
      <c r="I577" t="s">
        <v>39</v>
      </c>
      <c r="J577" t="b">
        <v>0</v>
      </c>
      <c r="K577">
        <v>1</v>
      </c>
      <c r="L577">
        <v>10</v>
      </c>
      <c r="M577">
        <v>2025</v>
      </c>
      <c r="N577">
        <v>3</v>
      </c>
      <c r="O577">
        <v>10</v>
      </c>
      <c r="P577">
        <v>2025</v>
      </c>
      <c r="Q577">
        <v>2</v>
      </c>
      <c r="R577" t="s">
        <v>40</v>
      </c>
      <c r="S577" t="s">
        <v>45</v>
      </c>
      <c r="T577" t="s">
        <v>123</v>
      </c>
      <c r="U577" t="s">
        <v>40</v>
      </c>
      <c r="V577" t="s">
        <v>105</v>
      </c>
      <c r="W577" t="s">
        <v>106</v>
      </c>
      <c r="X577" t="s">
        <v>45</v>
      </c>
      <c r="Y577">
        <v>140</v>
      </c>
      <c r="Z577" t="s">
        <v>84</v>
      </c>
      <c r="AA577" t="s">
        <v>85</v>
      </c>
      <c r="AB577" s="1">
        <v>45932</v>
      </c>
      <c r="AC577" t="s">
        <v>40</v>
      </c>
      <c r="AD577" t="s">
        <v>66</v>
      </c>
      <c r="AE577" t="s">
        <v>60</v>
      </c>
      <c r="AF577" t="s">
        <v>66</v>
      </c>
      <c r="AG577">
        <v>0</v>
      </c>
      <c r="AH577" t="s">
        <v>100</v>
      </c>
    </row>
    <row r="578" spans="1:34" x14ac:dyDescent="0.3">
      <c r="A578" t="s">
        <v>1069</v>
      </c>
      <c r="B578" t="s">
        <v>963</v>
      </c>
      <c r="C578" t="s">
        <v>146</v>
      </c>
      <c r="D578" t="s">
        <v>53</v>
      </c>
      <c r="E578" s="1">
        <v>45940</v>
      </c>
      <c r="F578" s="1">
        <v>46090</v>
      </c>
      <c r="G578" t="s">
        <v>38</v>
      </c>
      <c r="H578">
        <v>3856</v>
      </c>
      <c r="I578" t="s">
        <v>39</v>
      </c>
      <c r="J578" t="b">
        <v>0</v>
      </c>
      <c r="K578">
        <v>150</v>
      </c>
      <c r="L578">
        <v>3</v>
      </c>
      <c r="M578">
        <v>2026</v>
      </c>
      <c r="N578">
        <v>0</v>
      </c>
      <c r="O578">
        <v>10</v>
      </c>
      <c r="P578">
        <v>2025</v>
      </c>
      <c r="Q578">
        <v>4</v>
      </c>
      <c r="R578" t="s">
        <v>40</v>
      </c>
      <c r="S578" t="s">
        <v>55</v>
      </c>
      <c r="T578" t="s">
        <v>42</v>
      </c>
      <c r="U578" t="s">
        <v>40</v>
      </c>
      <c r="V578" t="s">
        <v>147</v>
      </c>
      <c r="W578" t="s">
        <v>148</v>
      </c>
      <c r="X578" t="s">
        <v>45</v>
      </c>
      <c r="Y578">
        <v>160</v>
      </c>
      <c r="Z578" t="s">
        <v>58</v>
      </c>
      <c r="AA578" t="s">
        <v>59</v>
      </c>
      <c r="AB578" s="1">
        <v>46090</v>
      </c>
      <c r="AC578" t="s">
        <v>40</v>
      </c>
      <c r="AD578" t="s">
        <v>40</v>
      </c>
      <c r="AE578" t="s">
        <v>60</v>
      </c>
      <c r="AF578" t="s">
        <v>40</v>
      </c>
      <c r="AG578">
        <v>0</v>
      </c>
      <c r="AH578" t="s">
        <v>49</v>
      </c>
    </row>
    <row r="579" spans="1:34" x14ac:dyDescent="0.3">
      <c r="A579" t="s">
        <v>1070</v>
      </c>
      <c r="B579" t="s">
        <v>1071</v>
      </c>
      <c r="C579" t="s">
        <v>89</v>
      </c>
      <c r="D579" t="s">
        <v>90</v>
      </c>
      <c r="E579" s="1">
        <v>45753</v>
      </c>
      <c r="F579" s="1">
        <v>45756</v>
      </c>
      <c r="G579" t="s">
        <v>64</v>
      </c>
      <c r="H579">
        <v>3722</v>
      </c>
      <c r="I579" t="s">
        <v>212</v>
      </c>
      <c r="J579" t="b">
        <v>0</v>
      </c>
      <c r="K579">
        <v>3</v>
      </c>
      <c r="L579">
        <v>4</v>
      </c>
      <c r="M579">
        <v>2025</v>
      </c>
      <c r="N579">
        <v>2</v>
      </c>
      <c r="O579">
        <v>4</v>
      </c>
      <c r="P579">
        <v>2025</v>
      </c>
      <c r="Q579">
        <v>6</v>
      </c>
      <c r="R579" t="s">
        <v>40</v>
      </c>
      <c r="S579" t="s">
        <v>55</v>
      </c>
      <c r="T579" t="s">
        <v>42</v>
      </c>
      <c r="U579" t="s">
        <v>40</v>
      </c>
      <c r="V579" t="s">
        <v>91</v>
      </c>
      <c r="W579" t="s">
        <v>92</v>
      </c>
      <c r="X579" t="s">
        <v>76</v>
      </c>
      <c r="Y579">
        <v>65</v>
      </c>
      <c r="Z579" t="s">
        <v>93</v>
      </c>
      <c r="AA579" t="s">
        <v>94</v>
      </c>
      <c r="AB579" s="1">
        <v>45756</v>
      </c>
      <c r="AC579" t="s">
        <v>40</v>
      </c>
      <c r="AD579" t="s">
        <v>40</v>
      </c>
      <c r="AE579" t="s">
        <v>69</v>
      </c>
      <c r="AF579" t="s">
        <v>40</v>
      </c>
      <c r="AG579">
        <v>0</v>
      </c>
      <c r="AH579" t="s">
        <v>100</v>
      </c>
    </row>
    <row r="580" spans="1:34" x14ac:dyDescent="0.3">
      <c r="A580" t="s">
        <v>1072</v>
      </c>
      <c r="B580" t="s">
        <v>773</v>
      </c>
      <c r="C580" t="s">
        <v>129</v>
      </c>
      <c r="D580" t="s">
        <v>80</v>
      </c>
      <c r="E580" s="1">
        <v>45797</v>
      </c>
      <c r="F580" s="1">
        <v>45811</v>
      </c>
      <c r="G580" t="s">
        <v>64</v>
      </c>
      <c r="H580">
        <v>2228</v>
      </c>
      <c r="I580" t="s">
        <v>39</v>
      </c>
      <c r="J580" t="b">
        <v>0</v>
      </c>
      <c r="K580">
        <v>14</v>
      </c>
      <c r="L580">
        <v>6</v>
      </c>
      <c r="M580">
        <v>2025</v>
      </c>
      <c r="N580">
        <v>1</v>
      </c>
      <c r="O580">
        <v>5</v>
      </c>
      <c r="P580">
        <v>2025</v>
      </c>
      <c r="Q580">
        <v>1</v>
      </c>
      <c r="R580" t="s">
        <v>40</v>
      </c>
      <c r="S580" t="s">
        <v>41</v>
      </c>
      <c r="T580" t="s">
        <v>113</v>
      </c>
      <c r="U580" t="s">
        <v>40</v>
      </c>
      <c r="V580" t="s">
        <v>131</v>
      </c>
      <c r="W580" t="s">
        <v>132</v>
      </c>
      <c r="X580" t="s">
        <v>45</v>
      </c>
      <c r="Y580">
        <v>110</v>
      </c>
      <c r="Z580" t="s">
        <v>84</v>
      </c>
      <c r="AA580" t="s">
        <v>85</v>
      </c>
      <c r="AB580" s="1">
        <v>45811</v>
      </c>
      <c r="AC580" t="s">
        <v>40</v>
      </c>
      <c r="AD580" t="s">
        <v>40</v>
      </c>
      <c r="AE580" t="s">
        <v>60</v>
      </c>
      <c r="AF580" t="s">
        <v>40</v>
      </c>
      <c r="AG580">
        <v>0</v>
      </c>
      <c r="AH580" t="s">
        <v>70</v>
      </c>
    </row>
    <row r="581" spans="1:34" x14ac:dyDescent="0.3">
      <c r="A581" t="s">
        <v>1073</v>
      </c>
      <c r="B581" t="s">
        <v>1074</v>
      </c>
      <c r="C581" t="s">
        <v>129</v>
      </c>
      <c r="D581" t="s">
        <v>80</v>
      </c>
      <c r="E581" s="1">
        <v>45701</v>
      </c>
      <c r="F581" s="1">
        <v>45731</v>
      </c>
      <c r="G581" t="s">
        <v>38</v>
      </c>
      <c r="H581">
        <v>4421</v>
      </c>
      <c r="I581" t="s">
        <v>39</v>
      </c>
      <c r="J581" t="b">
        <v>0</v>
      </c>
      <c r="K581">
        <v>30</v>
      </c>
      <c r="L581">
        <v>3</v>
      </c>
      <c r="M581">
        <v>2025</v>
      </c>
      <c r="N581">
        <v>5</v>
      </c>
      <c r="O581">
        <v>2</v>
      </c>
      <c r="P581">
        <v>2025</v>
      </c>
      <c r="Q581">
        <v>3</v>
      </c>
      <c r="R581" t="s">
        <v>66</v>
      </c>
      <c r="S581" t="s">
        <v>45</v>
      </c>
      <c r="T581" t="s">
        <v>123</v>
      </c>
      <c r="U581" t="s">
        <v>40</v>
      </c>
      <c r="V581" t="s">
        <v>131</v>
      </c>
      <c r="W581" t="s">
        <v>132</v>
      </c>
      <c r="X581" t="s">
        <v>45</v>
      </c>
      <c r="Y581">
        <v>110</v>
      </c>
      <c r="Z581" t="s">
        <v>84</v>
      </c>
      <c r="AA581" t="s">
        <v>85</v>
      </c>
      <c r="AB581" s="1">
        <v>45731</v>
      </c>
      <c r="AC581" t="s">
        <v>66</v>
      </c>
      <c r="AD581" t="s">
        <v>40</v>
      </c>
      <c r="AE581" t="s">
        <v>60</v>
      </c>
      <c r="AF581" t="s">
        <v>40</v>
      </c>
      <c r="AG581">
        <v>0</v>
      </c>
      <c r="AH581" t="s">
        <v>70</v>
      </c>
    </row>
    <row r="582" spans="1:34" x14ac:dyDescent="0.3">
      <c r="A582" t="s">
        <v>1075</v>
      </c>
      <c r="B582" t="s">
        <v>1076</v>
      </c>
      <c r="C582" t="s">
        <v>103</v>
      </c>
      <c r="D582" t="s">
        <v>104</v>
      </c>
      <c r="E582" s="1">
        <v>46046</v>
      </c>
      <c r="F582" s="1">
        <v>46049</v>
      </c>
      <c r="G582" t="s">
        <v>64</v>
      </c>
      <c r="H582">
        <v>4071</v>
      </c>
      <c r="I582" t="s">
        <v>39</v>
      </c>
      <c r="J582" t="b">
        <v>0</v>
      </c>
      <c r="K582">
        <v>3</v>
      </c>
      <c r="L582">
        <v>1</v>
      </c>
      <c r="M582">
        <v>2026</v>
      </c>
      <c r="N582">
        <v>1</v>
      </c>
      <c r="O582">
        <v>1</v>
      </c>
      <c r="P582">
        <v>2026</v>
      </c>
      <c r="Q582">
        <v>5</v>
      </c>
      <c r="R582" t="s">
        <v>40</v>
      </c>
      <c r="S582" t="s">
        <v>55</v>
      </c>
      <c r="T582" t="s">
        <v>42</v>
      </c>
      <c r="U582" t="s">
        <v>66</v>
      </c>
      <c r="V582" t="s">
        <v>105</v>
      </c>
      <c r="W582" t="s">
        <v>106</v>
      </c>
      <c r="X582" t="s">
        <v>45</v>
      </c>
      <c r="Y582">
        <v>140</v>
      </c>
      <c r="Z582" t="s">
        <v>107</v>
      </c>
      <c r="AA582" t="s">
        <v>108</v>
      </c>
      <c r="AB582" s="1">
        <v>46049</v>
      </c>
      <c r="AC582" t="s">
        <v>40</v>
      </c>
      <c r="AD582" t="s">
        <v>40</v>
      </c>
      <c r="AE582" t="s">
        <v>86</v>
      </c>
      <c r="AF582" t="s">
        <v>40</v>
      </c>
      <c r="AG582">
        <v>0</v>
      </c>
      <c r="AH582" t="s">
        <v>100</v>
      </c>
    </row>
    <row r="583" spans="1:34" x14ac:dyDescent="0.3">
      <c r="A583" t="s">
        <v>1077</v>
      </c>
      <c r="B583" t="s">
        <v>1078</v>
      </c>
      <c r="C583" t="s">
        <v>169</v>
      </c>
      <c r="D583" t="s">
        <v>90</v>
      </c>
      <c r="E583" s="1">
        <v>45660</v>
      </c>
      <c r="F583" s="1">
        <v>45720</v>
      </c>
      <c r="G583" t="s">
        <v>41</v>
      </c>
      <c r="H583">
        <v>7111</v>
      </c>
      <c r="I583" t="s">
        <v>54</v>
      </c>
      <c r="J583" t="b">
        <v>0</v>
      </c>
      <c r="K583">
        <v>60</v>
      </c>
      <c r="L583">
        <v>3</v>
      </c>
      <c r="M583">
        <v>2025</v>
      </c>
      <c r="N583">
        <v>1</v>
      </c>
      <c r="O583">
        <v>1</v>
      </c>
      <c r="P583">
        <v>2025</v>
      </c>
      <c r="Q583">
        <v>4</v>
      </c>
      <c r="R583" t="s">
        <v>40</v>
      </c>
      <c r="S583" t="s">
        <v>67</v>
      </c>
      <c r="T583" t="s">
        <v>42</v>
      </c>
      <c r="U583" t="s">
        <v>40</v>
      </c>
      <c r="V583" t="s">
        <v>170</v>
      </c>
      <c r="W583" t="s">
        <v>171</v>
      </c>
      <c r="X583" t="s">
        <v>126</v>
      </c>
      <c r="Y583">
        <v>90</v>
      </c>
      <c r="Z583" t="s">
        <v>93</v>
      </c>
      <c r="AA583" t="s">
        <v>94</v>
      </c>
      <c r="AB583" s="1">
        <v>45720</v>
      </c>
      <c r="AC583" t="s">
        <v>40</v>
      </c>
      <c r="AD583" t="s">
        <v>40</v>
      </c>
      <c r="AE583" t="s">
        <v>60</v>
      </c>
      <c r="AF583" t="s">
        <v>40</v>
      </c>
      <c r="AG583">
        <v>1</v>
      </c>
      <c r="AH583" t="s">
        <v>61</v>
      </c>
    </row>
    <row r="584" spans="1:34" x14ac:dyDescent="0.3">
      <c r="A584" t="s">
        <v>1079</v>
      </c>
      <c r="B584" t="s">
        <v>1080</v>
      </c>
      <c r="C584" t="s">
        <v>155</v>
      </c>
      <c r="D584" t="s">
        <v>104</v>
      </c>
      <c r="E584" s="1">
        <v>45716</v>
      </c>
      <c r="F584" s="1">
        <v>45730</v>
      </c>
      <c r="G584" t="s">
        <v>41</v>
      </c>
      <c r="H584">
        <v>5021</v>
      </c>
      <c r="I584" t="s">
        <v>39</v>
      </c>
      <c r="J584" t="b">
        <v>0</v>
      </c>
      <c r="K584">
        <v>14</v>
      </c>
      <c r="L584">
        <v>3</v>
      </c>
      <c r="M584">
        <v>2025</v>
      </c>
      <c r="N584">
        <v>4</v>
      </c>
      <c r="O584">
        <v>2</v>
      </c>
      <c r="P584">
        <v>2025</v>
      </c>
      <c r="Q584">
        <v>4</v>
      </c>
      <c r="R584" t="s">
        <v>40</v>
      </c>
      <c r="S584" t="s">
        <v>67</v>
      </c>
      <c r="T584" t="s">
        <v>42</v>
      </c>
      <c r="U584" t="s">
        <v>40</v>
      </c>
      <c r="V584" t="s">
        <v>156</v>
      </c>
      <c r="W584" t="s">
        <v>157</v>
      </c>
      <c r="X584" t="s">
        <v>158</v>
      </c>
      <c r="Y584">
        <v>70</v>
      </c>
      <c r="Z584" t="s">
        <v>107</v>
      </c>
      <c r="AA584" t="s">
        <v>108</v>
      </c>
      <c r="AB584" s="1">
        <v>45730</v>
      </c>
      <c r="AC584" t="s">
        <v>40</v>
      </c>
      <c r="AD584" t="s">
        <v>40</v>
      </c>
      <c r="AE584" t="s">
        <v>60</v>
      </c>
      <c r="AF584" t="s">
        <v>40</v>
      </c>
      <c r="AG584">
        <v>0</v>
      </c>
      <c r="AH584" t="s">
        <v>70</v>
      </c>
    </row>
    <row r="585" spans="1:34" x14ac:dyDescent="0.3">
      <c r="A585" t="s">
        <v>1081</v>
      </c>
      <c r="B585" t="s">
        <v>378</v>
      </c>
      <c r="C585" t="s">
        <v>36</v>
      </c>
      <c r="D585" t="s">
        <v>104</v>
      </c>
      <c r="E585" s="1">
        <v>46161</v>
      </c>
      <c r="F585" s="1">
        <v>46168</v>
      </c>
      <c r="G585" t="s">
        <v>38</v>
      </c>
      <c r="H585">
        <v>5496</v>
      </c>
      <c r="I585" t="s">
        <v>39</v>
      </c>
      <c r="J585" t="b">
        <v>0</v>
      </c>
      <c r="K585">
        <v>7</v>
      </c>
      <c r="L585">
        <v>5</v>
      </c>
      <c r="M585">
        <v>2026</v>
      </c>
      <c r="N585">
        <v>1</v>
      </c>
      <c r="O585">
        <v>5</v>
      </c>
      <c r="P585">
        <v>2026</v>
      </c>
      <c r="Q585">
        <v>1</v>
      </c>
      <c r="R585" t="s">
        <v>40</v>
      </c>
      <c r="S585" t="s">
        <v>55</v>
      </c>
      <c r="T585" t="s">
        <v>286</v>
      </c>
      <c r="U585" t="s">
        <v>40</v>
      </c>
      <c r="V585" t="s">
        <v>43</v>
      </c>
      <c r="W585" t="s">
        <v>44</v>
      </c>
      <c r="X585" t="s">
        <v>45</v>
      </c>
      <c r="Y585">
        <v>150</v>
      </c>
      <c r="Z585" t="s">
        <v>107</v>
      </c>
      <c r="AA585" t="s">
        <v>108</v>
      </c>
      <c r="AB585" s="1">
        <v>46168</v>
      </c>
      <c r="AC585" t="s">
        <v>40</v>
      </c>
      <c r="AD585" t="s">
        <v>40</v>
      </c>
      <c r="AE585" t="s">
        <v>69</v>
      </c>
      <c r="AF585" t="s">
        <v>40</v>
      </c>
      <c r="AG585">
        <v>0</v>
      </c>
      <c r="AH585" t="s">
        <v>100</v>
      </c>
    </row>
    <row r="586" spans="1:34" x14ac:dyDescent="0.3">
      <c r="A586" t="s">
        <v>1082</v>
      </c>
      <c r="B586" t="s">
        <v>1083</v>
      </c>
      <c r="C586" t="s">
        <v>169</v>
      </c>
      <c r="D586" t="s">
        <v>53</v>
      </c>
      <c r="E586" s="1">
        <v>46096</v>
      </c>
      <c r="F586" s="1">
        <v>46196</v>
      </c>
      <c r="G586" t="s">
        <v>81</v>
      </c>
      <c r="H586">
        <v>7825</v>
      </c>
      <c r="I586" t="s">
        <v>54</v>
      </c>
      <c r="J586" t="b">
        <v>0</v>
      </c>
      <c r="K586">
        <v>100</v>
      </c>
      <c r="L586">
        <v>6</v>
      </c>
      <c r="M586">
        <v>2026</v>
      </c>
      <c r="N586">
        <v>1</v>
      </c>
      <c r="O586">
        <v>3</v>
      </c>
      <c r="P586">
        <v>2026</v>
      </c>
      <c r="Q586">
        <v>6</v>
      </c>
      <c r="R586" t="s">
        <v>40</v>
      </c>
      <c r="S586" t="s">
        <v>55</v>
      </c>
      <c r="T586" t="s">
        <v>42</v>
      </c>
      <c r="U586" t="s">
        <v>40</v>
      </c>
      <c r="V586" t="s">
        <v>170</v>
      </c>
      <c r="W586" t="s">
        <v>171</v>
      </c>
      <c r="X586" t="s">
        <v>126</v>
      </c>
      <c r="Y586">
        <v>90</v>
      </c>
      <c r="Z586" t="s">
        <v>58</v>
      </c>
      <c r="AA586" t="s">
        <v>59</v>
      </c>
      <c r="AB586" s="1">
        <v>46196</v>
      </c>
      <c r="AC586" t="s">
        <v>40</v>
      </c>
      <c r="AD586" t="s">
        <v>40</v>
      </c>
      <c r="AE586" t="s">
        <v>60</v>
      </c>
      <c r="AF586" t="s">
        <v>40</v>
      </c>
      <c r="AG586">
        <v>1</v>
      </c>
      <c r="AH586" t="s">
        <v>49</v>
      </c>
    </row>
    <row r="587" spans="1:34" x14ac:dyDescent="0.3">
      <c r="A587" t="s">
        <v>1084</v>
      </c>
      <c r="B587" t="s">
        <v>205</v>
      </c>
      <c r="C587" t="s">
        <v>89</v>
      </c>
      <c r="D587" t="s">
        <v>90</v>
      </c>
      <c r="E587" s="1">
        <v>45771</v>
      </c>
      <c r="F587" s="1">
        <v>45778</v>
      </c>
      <c r="G587" t="s">
        <v>64</v>
      </c>
      <c r="H587">
        <v>3008</v>
      </c>
      <c r="I587" t="s">
        <v>212</v>
      </c>
      <c r="J587" t="b">
        <v>0</v>
      </c>
      <c r="K587">
        <v>7</v>
      </c>
      <c r="L587">
        <v>5</v>
      </c>
      <c r="M587">
        <v>2025</v>
      </c>
      <c r="N587">
        <v>3</v>
      </c>
      <c r="O587">
        <v>4</v>
      </c>
      <c r="P587">
        <v>2025</v>
      </c>
      <c r="Q587">
        <v>3</v>
      </c>
      <c r="R587" t="s">
        <v>40</v>
      </c>
      <c r="S587" t="s">
        <v>55</v>
      </c>
      <c r="T587" t="s">
        <v>42</v>
      </c>
      <c r="U587" t="s">
        <v>40</v>
      </c>
      <c r="V587" t="s">
        <v>91</v>
      </c>
      <c r="W587" t="s">
        <v>92</v>
      </c>
      <c r="X587" t="s">
        <v>76</v>
      </c>
      <c r="Y587">
        <v>65</v>
      </c>
      <c r="Z587" t="s">
        <v>93</v>
      </c>
      <c r="AA587" t="s">
        <v>94</v>
      </c>
      <c r="AB587" s="1">
        <v>45778</v>
      </c>
      <c r="AC587" t="s">
        <v>40</v>
      </c>
      <c r="AD587" t="s">
        <v>40</v>
      </c>
      <c r="AE587" t="s">
        <v>69</v>
      </c>
      <c r="AF587" t="s">
        <v>40</v>
      </c>
      <c r="AG587">
        <v>0</v>
      </c>
      <c r="AH587" t="s">
        <v>100</v>
      </c>
    </row>
    <row r="588" spans="1:34" x14ac:dyDescent="0.3">
      <c r="A588" t="s">
        <v>1085</v>
      </c>
      <c r="B588" t="s">
        <v>1086</v>
      </c>
      <c r="C588" t="s">
        <v>36</v>
      </c>
      <c r="D588" t="s">
        <v>104</v>
      </c>
      <c r="E588" s="1">
        <v>46158</v>
      </c>
      <c r="F588" s="1">
        <v>46188</v>
      </c>
      <c r="G588" t="s">
        <v>38</v>
      </c>
      <c r="H588">
        <v>5137</v>
      </c>
      <c r="I588" t="s">
        <v>39</v>
      </c>
      <c r="J588" t="b">
        <v>0</v>
      </c>
      <c r="K588">
        <v>30</v>
      </c>
      <c r="L588">
        <v>6</v>
      </c>
      <c r="M588">
        <v>2026</v>
      </c>
      <c r="N588">
        <v>0</v>
      </c>
      <c r="O588">
        <v>5</v>
      </c>
      <c r="P588">
        <v>2026</v>
      </c>
      <c r="Q588">
        <v>5</v>
      </c>
      <c r="R588" t="s">
        <v>40</v>
      </c>
      <c r="S588" t="s">
        <v>41</v>
      </c>
      <c r="T588" t="s">
        <v>48</v>
      </c>
      <c r="U588" t="s">
        <v>40</v>
      </c>
      <c r="V588" t="s">
        <v>43</v>
      </c>
      <c r="W588" t="s">
        <v>44</v>
      </c>
      <c r="X588" t="s">
        <v>45</v>
      </c>
      <c r="Y588">
        <v>150</v>
      </c>
      <c r="Z588" t="s">
        <v>107</v>
      </c>
      <c r="AA588" t="s">
        <v>108</v>
      </c>
      <c r="AB588" s="1">
        <v>46188</v>
      </c>
      <c r="AC588" t="s">
        <v>40</v>
      </c>
      <c r="AD588" t="s">
        <v>40</v>
      </c>
      <c r="AE588" t="s">
        <v>60</v>
      </c>
      <c r="AF588" t="s">
        <v>40</v>
      </c>
      <c r="AG588">
        <v>0</v>
      </c>
      <c r="AH588" t="s">
        <v>70</v>
      </c>
    </row>
    <row r="589" spans="1:34" x14ac:dyDescent="0.3">
      <c r="A589" t="s">
        <v>1087</v>
      </c>
      <c r="B589" t="s">
        <v>1088</v>
      </c>
      <c r="C589" t="s">
        <v>36</v>
      </c>
      <c r="D589" t="s">
        <v>130</v>
      </c>
      <c r="E589" s="1">
        <v>45787</v>
      </c>
      <c r="F589" s="1">
        <v>45790</v>
      </c>
      <c r="G589" t="s">
        <v>64</v>
      </c>
      <c r="H589">
        <v>2306</v>
      </c>
      <c r="I589" t="s">
        <v>54</v>
      </c>
      <c r="J589" t="b">
        <v>0</v>
      </c>
      <c r="K589">
        <v>3</v>
      </c>
      <c r="L589">
        <v>5</v>
      </c>
      <c r="M589">
        <v>2025</v>
      </c>
      <c r="N589">
        <v>1</v>
      </c>
      <c r="O589">
        <v>5</v>
      </c>
      <c r="P589">
        <v>2025</v>
      </c>
      <c r="Q589">
        <v>5</v>
      </c>
      <c r="R589" t="s">
        <v>40</v>
      </c>
      <c r="S589" t="s">
        <v>55</v>
      </c>
      <c r="T589" t="s">
        <v>123</v>
      </c>
      <c r="U589" t="s">
        <v>40</v>
      </c>
      <c r="V589" t="s">
        <v>43</v>
      </c>
      <c r="W589" t="s">
        <v>44</v>
      </c>
      <c r="X589" t="s">
        <v>45</v>
      </c>
      <c r="Y589">
        <v>150</v>
      </c>
      <c r="Z589" t="s">
        <v>133</v>
      </c>
      <c r="AA589" t="s">
        <v>134</v>
      </c>
      <c r="AB589" s="1">
        <v>45790</v>
      </c>
      <c r="AC589" t="s">
        <v>40</v>
      </c>
      <c r="AD589" t="s">
        <v>40</v>
      </c>
      <c r="AE589" t="s">
        <v>69</v>
      </c>
      <c r="AF589" t="s">
        <v>40</v>
      </c>
      <c r="AG589">
        <v>1</v>
      </c>
      <c r="AH589" t="s">
        <v>100</v>
      </c>
    </row>
    <row r="590" spans="1:34" x14ac:dyDescent="0.3">
      <c r="A590" t="s">
        <v>1089</v>
      </c>
      <c r="B590" t="s">
        <v>931</v>
      </c>
      <c r="C590" t="s">
        <v>169</v>
      </c>
      <c r="D590" t="s">
        <v>53</v>
      </c>
      <c r="E590" s="1">
        <v>46155</v>
      </c>
      <c r="F590" s="1">
        <v>46158</v>
      </c>
      <c r="G590" t="s">
        <v>41</v>
      </c>
      <c r="H590">
        <v>5765</v>
      </c>
      <c r="I590" t="s">
        <v>65</v>
      </c>
      <c r="J590" t="b">
        <v>0</v>
      </c>
      <c r="K590">
        <v>3</v>
      </c>
      <c r="L590">
        <v>5</v>
      </c>
      <c r="M590">
        <v>2026</v>
      </c>
      <c r="N590">
        <v>5</v>
      </c>
      <c r="O590">
        <v>5</v>
      </c>
      <c r="P590">
        <v>2026</v>
      </c>
      <c r="Q590">
        <v>2</v>
      </c>
      <c r="R590" t="s">
        <v>66</v>
      </c>
      <c r="S590" t="s">
        <v>67</v>
      </c>
      <c r="T590" t="s">
        <v>42</v>
      </c>
      <c r="U590" t="s">
        <v>40</v>
      </c>
      <c r="V590" t="s">
        <v>170</v>
      </c>
      <c r="W590" t="s">
        <v>171</v>
      </c>
      <c r="X590" t="s">
        <v>126</v>
      </c>
      <c r="Y590">
        <v>90</v>
      </c>
      <c r="Z590" t="s">
        <v>58</v>
      </c>
      <c r="AA590" t="s">
        <v>59</v>
      </c>
      <c r="AB590" s="1">
        <v>46158</v>
      </c>
      <c r="AC590" t="s">
        <v>66</v>
      </c>
      <c r="AD590" t="s">
        <v>40</v>
      </c>
      <c r="AE590" t="s">
        <v>69</v>
      </c>
      <c r="AF590" t="s">
        <v>40</v>
      </c>
      <c r="AG590">
        <v>0</v>
      </c>
      <c r="AH590" t="s">
        <v>100</v>
      </c>
    </row>
    <row r="591" spans="1:34" x14ac:dyDescent="0.3">
      <c r="A591" t="s">
        <v>1090</v>
      </c>
      <c r="B591" t="s">
        <v>1091</v>
      </c>
      <c r="C591" t="s">
        <v>129</v>
      </c>
      <c r="D591" t="s">
        <v>104</v>
      </c>
      <c r="E591" s="1">
        <v>45861</v>
      </c>
      <c r="F591" s="1">
        <v>45875</v>
      </c>
      <c r="G591" t="s">
        <v>64</v>
      </c>
      <c r="H591">
        <v>3451</v>
      </c>
      <c r="I591" t="s">
        <v>39</v>
      </c>
      <c r="J591" t="b">
        <v>0</v>
      </c>
      <c r="K591">
        <v>14</v>
      </c>
      <c r="L591">
        <v>8</v>
      </c>
      <c r="M591">
        <v>2025</v>
      </c>
      <c r="N591">
        <v>2</v>
      </c>
      <c r="O591">
        <v>7</v>
      </c>
      <c r="P591">
        <v>2025</v>
      </c>
      <c r="Q591">
        <v>2</v>
      </c>
      <c r="R591" t="s">
        <v>40</v>
      </c>
      <c r="S591" t="s">
        <v>55</v>
      </c>
      <c r="T591" t="s">
        <v>113</v>
      </c>
      <c r="U591" t="s">
        <v>40</v>
      </c>
      <c r="V591" t="s">
        <v>131</v>
      </c>
      <c r="W591" t="s">
        <v>132</v>
      </c>
      <c r="X591" t="s">
        <v>45</v>
      </c>
      <c r="Y591">
        <v>110</v>
      </c>
      <c r="Z591" t="s">
        <v>107</v>
      </c>
      <c r="AA591" t="s">
        <v>108</v>
      </c>
      <c r="AB591" s="1">
        <v>45875</v>
      </c>
      <c r="AC591" t="s">
        <v>40</v>
      </c>
      <c r="AD591" t="s">
        <v>40</v>
      </c>
      <c r="AE591" t="s">
        <v>86</v>
      </c>
      <c r="AF591" t="s">
        <v>40</v>
      </c>
      <c r="AG591">
        <v>0</v>
      </c>
      <c r="AH591" t="s">
        <v>70</v>
      </c>
    </row>
    <row r="592" spans="1:34" x14ac:dyDescent="0.3">
      <c r="A592" t="s">
        <v>1092</v>
      </c>
      <c r="B592" t="s">
        <v>1093</v>
      </c>
      <c r="C592" t="s">
        <v>103</v>
      </c>
      <c r="D592" t="s">
        <v>130</v>
      </c>
      <c r="E592" s="1">
        <v>45938</v>
      </c>
      <c r="F592" s="1">
        <v>46158</v>
      </c>
      <c r="G592" t="s">
        <v>38</v>
      </c>
      <c r="H592">
        <v>4317</v>
      </c>
      <c r="I592" t="s">
        <v>39</v>
      </c>
      <c r="J592" t="b">
        <v>0</v>
      </c>
      <c r="K592">
        <v>220</v>
      </c>
      <c r="L592">
        <v>5</v>
      </c>
      <c r="M592">
        <v>2026</v>
      </c>
      <c r="N592">
        <v>5</v>
      </c>
      <c r="O592">
        <v>10</v>
      </c>
      <c r="P592">
        <v>2025</v>
      </c>
      <c r="Q592">
        <v>2</v>
      </c>
      <c r="R592" t="s">
        <v>66</v>
      </c>
      <c r="S592" t="s">
        <v>55</v>
      </c>
      <c r="T592" t="s">
        <v>42</v>
      </c>
      <c r="U592" t="s">
        <v>40</v>
      </c>
      <c r="V592" t="s">
        <v>105</v>
      </c>
      <c r="W592" t="s">
        <v>106</v>
      </c>
      <c r="X592" t="s">
        <v>45</v>
      </c>
      <c r="Y592">
        <v>140</v>
      </c>
      <c r="Z592" t="s">
        <v>133</v>
      </c>
      <c r="AA592" t="s">
        <v>134</v>
      </c>
      <c r="AB592" s="1">
        <v>46158</v>
      </c>
      <c r="AC592" t="s">
        <v>66</v>
      </c>
      <c r="AD592" t="s">
        <v>40</v>
      </c>
      <c r="AE592" t="s">
        <v>69</v>
      </c>
      <c r="AF592" t="s">
        <v>40</v>
      </c>
      <c r="AG592">
        <v>0</v>
      </c>
      <c r="AH592" t="s">
        <v>142</v>
      </c>
    </row>
    <row r="593" spans="1:34" x14ac:dyDescent="0.3">
      <c r="A593" t="s">
        <v>1094</v>
      </c>
      <c r="B593" t="s">
        <v>1095</v>
      </c>
      <c r="C593" t="s">
        <v>73</v>
      </c>
      <c r="D593" t="s">
        <v>90</v>
      </c>
      <c r="E593" s="1">
        <v>46002</v>
      </c>
      <c r="F593" s="1">
        <v>46016</v>
      </c>
      <c r="G593" t="s">
        <v>64</v>
      </c>
      <c r="H593">
        <v>3074</v>
      </c>
      <c r="I593" t="s">
        <v>39</v>
      </c>
      <c r="J593" t="b">
        <v>0</v>
      </c>
      <c r="K593">
        <v>14</v>
      </c>
      <c r="L593">
        <v>12</v>
      </c>
      <c r="M593">
        <v>2025</v>
      </c>
      <c r="N593">
        <v>3</v>
      </c>
      <c r="O593">
        <v>12</v>
      </c>
      <c r="P593">
        <v>2025</v>
      </c>
      <c r="Q593">
        <v>3</v>
      </c>
      <c r="R593" t="s">
        <v>40</v>
      </c>
      <c r="S593" t="s">
        <v>41</v>
      </c>
      <c r="T593" t="s">
        <v>42</v>
      </c>
      <c r="U593" t="s">
        <v>40</v>
      </c>
      <c r="V593" t="s">
        <v>74</v>
      </c>
      <c r="W593" t="s">
        <v>75</v>
      </c>
      <c r="X593" t="s">
        <v>76</v>
      </c>
      <c r="Y593">
        <v>75</v>
      </c>
      <c r="Z593" t="s">
        <v>93</v>
      </c>
      <c r="AA593" t="s">
        <v>94</v>
      </c>
      <c r="AB593" s="1">
        <v>46016</v>
      </c>
      <c r="AC593" t="s">
        <v>40</v>
      </c>
      <c r="AD593" t="s">
        <v>66</v>
      </c>
      <c r="AE593" t="s">
        <v>69</v>
      </c>
      <c r="AF593" t="s">
        <v>66</v>
      </c>
      <c r="AG593">
        <v>0</v>
      </c>
      <c r="AH593" t="s">
        <v>70</v>
      </c>
    </row>
    <row r="594" spans="1:34" x14ac:dyDescent="0.3">
      <c r="A594" t="s">
        <v>1096</v>
      </c>
      <c r="B594" t="s">
        <v>1097</v>
      </c>
      <c r="C594" t="s">
        <v>73</v>
      </c>
      <c r="D594" t="s">
        <v>53</v>
      </c>
      <c r="E594" s="1">
        <v>45706</v>
      </c>
      <c r="F594" s="1">
        <v>45713</v>
      </c>
      <c r="G594" t="s">
        <v>64</v>
      </c>
      <c r="H594">
        <v>3552</v>
      </c>
      <c r="I594" t="s">
        <v>39</v>
      </c>
      <c r="J594" t="b">
        <v>0</v>
      </c>
      <c r="K594">
        <v>7</v>
      </c>
      <c r="L594">
        <v>2</v>
      </c>
      <c r="M594">
        <v>2025</v>
      </c>
      <c r="N594">
        <v>1</v>
      </c>
      <c r="O594">
        <v>2</v>
      </c>
      <c r="P594">
        <v>2025</v>
      </c>
      <c r="Q594">
        <v>1</v>
      </c>
      <c r="R594" t="s">
        <v>40</v>
      </c>
      <c r="S594" t="s">
        <v>41</v>
      </c>
      <c r="T594" t="s">
        <v>42</v>
      </c>
      <c r="U594" t="s">
        <v>40</v>
      </c>
      <c r="V594" t="s">
        <v>74</v>
      </c>
      <c r="W594" t="s">
        <v>75</v>
      </c>
      <c r="X594" t="s">
        <v>76</v>
      </c>
      <c r="Y594">
        <v>75</v>
      </c>
      <c r="Z594" t="s">
        <v>58</v>
      </c>
      <c r="AA594" t="s">
        <v>59</v>
      </c>
      <c r="AB594" s="1">
        <v>45713</v>
      </c>
      <c r="AC594" t="s">
        <v>40</v>
      </c>
      <c r="AD594" t="s">
        <v>40</v>
      </c>
      <c r="AE594" t="s">
        <v>60</v>
      </c>
      <c r="AF594" t="s">
        <v>40</v>
      </c>
      <c r="AG594">
        <v>0</v>
      </c>
      <c r="AH594" t="s">
        <v>100</v>
      </c>
    </row>
    <row r="595" spans="1:34" x14ac:dyDescent="0.3">
      <c r="A595" t="s">
        <v>1098</v>
      </c>
      <c r="B595" t="s">
        <v>601</v>
      </c>
      <c r="C595" t="s">
        <v>169</v>
      </c>
      <c r="D595" t="s">
        <v>104</v>
      </c>
      <c r="E595" s="1">
        <v>46030</v>
      </c>
      <c r="F595" s="1">
        <v>46044</v>
      </c>
      <c r="G595" t="s">
        <v>64</v>
      </c>
      <c r="H595">
        <v>3570</v>
      </c>
      <c r="I595" t="s">
        <v>65</v>
      </c>
      <c r="J595" t="b">
        <v>0</v>
      </c>
      <c r="K595">
        <v>14</v>
      </c>
      <c r="L595">
        <v>1</v>
      </c>
      <c r="M595">
        <v>2026</v>
      </c>
      <c r="N595">
        <v>3</v>
      </c>
      <c r="O595">
        <v>1</v>
      </c>
      <c r="P595">
        <v>2026</v>
      </c>
      <c r="Q595">
        <v>3</v>
      </c>
      <c r="R595" t="s">
        <v>40</v>
      </c>
      <c r="S595" t="s">
        <v>67</v>
      </c>
      <c r="T595" t="s">
        <v>42</v>
      </c>
      <c r="U595" t="s">
        <v>40</v>
      </c>
      <c r="V595" t="s">
        <v>170</v>
      </c>
      <c r="W595" t="s">
        <v>171</v>
      </c>
      <c r="X595" t="s">
        <v>126</v>
      </c>
      <c r="Y595">
        <v>90</v>
      </c>
      <c r="Z595" t="s">
        <v>107</v>
      </c>
      <c r="AA595" t="s">
        <v>108</v>
      </c>
      <c r="AB595" s="1">
        <v>46044</v>
      </c>
      <c r="AC595" t="s">
        <v>40</v>
      </c>
      <c r="AD595" t="s">
        <v>40</v>
      </c>
      <c r="AE595" t="s">
        <v>86</v>
      </c>
      <c r="AF595" t="s">
        <v>40</v>
      </c>
      <c r="AG595">
        <v>0</v>
      </c>
      <c r="AH595" t="s">
        <v>70</v>
      </c>
    </row>
    <row r="596" spans="1:34" x14ac:dyDescent="0.3">
      <c r="A596" t="s">
        <v>1099</v>
      </c>
      <c r="B596" t="s">
        <v>749</v>
      </c>
      <c r="C596" t="s">
        <v>89</v>
      </c>
      <c r="D596" t="s">
        <v>80</v>
      </c>
      <c r="E596" s="1">
        <v>46199</v>
      </c>
      <c r="F596" s="1">
        <v>46229</v>
      </c>
      <c r="G596" t="s">
        <v>38</v>
      </c>
      <c r="H596">
        <v>5893</v>
      </c>
      <c r="I596" t="s">
        <v>65</v>
      </c>
      <c r="J596" t="b">
        <v>0</v>
      </c>
      <c r="K596">
        <v>30</v>
      </c>
      <c r="L596">
        <v>7</v>
      </c>
      <c r="M596">
        <v>2026</v>
      </c>
      <c r="N596">
        <v>6</v>
      </c>
      <c r="O596">
        <v>6</v>
      </c>
      <c r="P596">
        <v>2026</v>
      </c>
      <c r="Q596">
        <v>4</v>
      </c>
      <c r="R596" t="s">
        <v>66</v>
      </c>
      <c r="S596" t="s">
        <v>45</v>
      </c>
      <c r="T596" t="s">
        <v>42</v>
      </c>
      <c r="U596" t="s">
        <v>40</v>
      </c>
      <c r="V596" t="s">
        <v>91</v>
      </c>
      <c r="W596" t="s">
        <v>92</v>
      </c>
      <c r="X596" t="s">
        <v>76</v>
      </c>
      <c r="Y596">
        <v>65</v>
      </c>
      <c r="Z596" t="s">
        <v>84</v>
      </c>
      <c r="AA596" t="s">
        <v>85</v>
      </c>
      <c r="AB596" s="1">
        <v>46229</v>
      </c>
      <c r="AC596" t="s">
        <v>66</v>
      </c>
      <c r="AD596" t="s">
        <v>40</v>
      </c>
      <c r="AE596" t="s">
        <v>86</v>
      </c>
      <c r="AF596" t="s">
        <v>40</v>
      </c>
      <c r="AG596">
        <v>0</v>
      </c>
      <c r="AH596" t="s">
        <v>70</v>
      </c>
    </row>
    <row r="597" spans="1:34" x14ac:dyDescent="0.3">
      <c r="A597" t="s">
        <v>1100</v>
      </c>
      <c r="B597" t="s">
        <v>271</v>
      </c>
      <c r="C597" t="s">
        <v>52</v>
      </c>
      <c r="D597" t="s">
        <v>80</v>
      </c>
      <c r="E597" s="1">
        <v>46328</v>
      </c>
      <c r="F597" s="1">
        <v>46428</v>
      </c>
      <c r="G597" t="s">
        <v>38</v>
      </c>
      <c r="H597">
        <v>3904</v>
      </c>
      <c r="I597" t="s">
        <v>65</v>
      </c>
      <c r="J597" t="b">
        <v>0</v>
      </c>
      <c r="K597">
        <v>100</v>
      </c>
      <c r="L597">
        <v>2</v>
      </c>
      <c r="M597">
        <v>2027</v>
      </c>
      <c r="N597">
        <v>2</v>
      </c>
      <c r="O597">
        <v>11</v>
      </c>
      <c r="P597">
        <v>2026</v>
      </c>
      <c r="Q597">
        <v>0</v>
      </c>
      <c r="R597" t="s">
        <v>40</v>
      </c>
      <c r="S597" t="s">
        <v>67</v>
      </c>
      <c r="T597" t="s">
        <v>42</v>
      </c>
      <c r="U597" t="s">
        <v>40</v>
      </c>
      <c r="V597" t="s">
        <v>56</v>
      </c>
      <c r="W597" t="s">
        <v>57</v>
      </c>
      <c r="X597" t="s">
        <v>45</v>
      </c>
      <c r="Y597">
        <v>120</v>
      </c>
      <c r="Z597" t="s">
        <v>84</v>
      </c>
      <c r="AA597" t="s">
        <v>85</v>
      </c>
      <c r="AB597" s="1"/>
      <c r="AC597" t="s">
        <v>48</v>
      </c>
      <c r="AD597" t="s">
        <v>48</v>
      </c>
      <c r="AE597" t="s">
        <v>48</v>
      </c>
      <c r="AF597" t="s">
        <v>48</v>
      </c>
      <c r="AG597">
        <v>0</v>
      </c>
      <c r="AH597" t="s">
        <v>49</v>
      </c>
    </row>
    <row r="598" spans="1:34" x14ac:dyDescent="0.3">
      <c r="A598" t="s">
        <v>1101</v>
      </c>
      <c r="B598" t="s">
        <v>610</v>
      </c>
      <c r="C598" t="s">
        <v>146</v>
      </c>
      <c r="D598" t="s">
        <v>37</v>
      </c>
      <c r="E598" s="1">
        <v>45815</v>
      </c>
      <c r="F598" s="1">
        <v>45816</v>
      </c>
      <c r="G598" t="s">
        <v>38</v>
      </c>
      <c r="H598">
        <v>4534</v>
      </c>
      <c r="I598" t="s">
        <v>39</v>
      </c>
      <c r="J598" t="b">
        <v>0</v>
      </c>
      <c r="K598">
        <v>1</v>
      </c>
      <c r="L598">
        <v>6</v>
      </c>
      <c r="M598">
        <v>2025</v>
      </c>
      <c r="N598">
        <v>6</v>
      </c>
      <c r="O598">
        <v>6</v>
      </c>
      <c r="P598">
        <v>2025</v>
      </c>
      <c r="Q598">
        <v>5</v>
      </c>
      <c r="R598" t="s">
        <v>66</v>
      </c>
      <c r="S598" t="s">
        <v>41</v>
      </c>
      <c r="T598" t="s">
        <v>42</v>
      </c>
      <c r="U598" t="s">
        <v>66</v>
      </c>
      <c r="V598" t="s">
        <v>147</v>
      </c>
      <c r="W598" t="s">
        <v>148</v>
      </c>
      <c r="X598" t="s">
        <v>45</v>
      </c>
      <c r="Y598">
        <v>160</v>
      </c>
      <c r="Z598" t="s">
        <v>46</v>
      </c>
      <c r="AA598" t="s">
        <v>47</v>
      </c>
      <c r="AB598" s="1">
        <v>45816</v>
      </c>
      <c r="AC598" t="s">
        <v>66</v>
      </c>
      <c r="AD598" t="s">
        <v>40</v>
      </c>
      <c r="AE598" t="s">
        <v>60</v>
      </c>
      <c r="AF598" t="s">
        <v>40</v>
      </c>
      <c r="AG598">
        <v>0</v>
      </c>
      <c r="AH598" t="s">
        <v>100</v>
      </c>
    </row>
    <row r="599" spans="1:34" x14ac:dyDescent="0.3">
      <c r="A599" t="s">
        <v>1102</v>
      </c>
      <c r="B599" t="s">
        <v>1103</v>
      </c>
      <c r="C599" t="s">
        <v>103</v>
      </c>
      <c r="D599" t="s">
        <v>130</v>
      </c>
      <c r="E599" s="1">
        <v>46152</v>
      </c>
      <c r="F599" s="1">
        <v>46166</v>
      </c>
      <c r="G599" t="s">
        <v>64</v>
      </c>
      <c r="H599">
        <v>3427</v>
      </c>
      <c r="I599" t="s">
        <v>65</v>
      </c>
      <c r="J599" t="b">
        <v>0</v>
      </c>
      <c r="K599">
        <v>14</v>
      </c>
      <c r="L599">
        <v>5</v>
      </c>
      <c r="M599">
        <v>2026</v>
      </c>
      <c r="N599">
        <v>6</v>
      </c>
      <c r="O599">
        <v>5</v>
      </c>
      <c r="P599">
        <v>2026</v>
      </c>
      <c r="Q599">
        <v>6</v>
      </c>
      <c r="R599" t="s">
        <v>66</v>
      </c>
      <c r="S599" t="s">
        <v>41</v>
      </c>
      <c r="T599" t="s">
        <v>42</v>
      </c>
      <c r="U599" t="s">
        <v>40</v>
      </c>
      <c r="V599" t="s">
        <v>105</v>
      </c>
      <c r="W599" t="s">
        <v>106</v>
      </c>
      <c r="X599" t="s">
        <v>45</v>
      </c>
      <c r="Y599">
        <v>140</v>
      </c>
      <c r="Z599" t="s">
        <v>133</v>
      </c>
      <c r="AA599" t="s">
        <v>134</v>
      </c>
      <c r="AB599" s="1">
        <v>46166</v>
      </c>
      <c r="AC599" t="s">
        <v>66</v>
      </c>
      <c r="AD599" t="s">
        <v>40</v>
      </c>
      <c r="AE599" t="s">
        <v>69</v>
      </c>
      <c r="AF599" t="s">
        <v>40</v>
      </c>
      <c r="AG599">
        <v>0</v>
      </c>
      <c r="AH599" t="s">
        <v>70</v>
      </c>
    </row>
    <row r="600" spans="1:34" x14ac:dyDescent="0.3">
      <c r="A600" t="s">
        <v>1104</v>
      </c>
      <c r="B600" t="s">
        <v>484</v>
      </c>
      <c r="C600" t="s">
        <v>89</v>
      </c>
      <c r="D600" t="s">
        <v>104</v>
      </c>
      <c r="E600" s="1">
        <v>46164</v>
      </c>
      <c r="F600" s="1">
        <v>46224</v>
      </c>
      <c r="G600" t="s">
        <v>64</v>
      </c>
      <c r="H600">
        <v>3096</v>
      </c>
      <c r="I600" t="s">
        <v>39</v>
      </c>
      <c r="J600" t="b">
        <v>0</v>
      </c>
      <c r="K600">
        <v>60</v>
      </c>
      <c r="L600">
        <v>7</v>
      </c>
      <c r="M600">
        <v>2026</v>
      </c>
      <c r="N600">
        <v>1</v>
      </c>
      <c r="O600">
        <v>5</v>
      </c>
      <c r="P600">
        <v>2026</v>
      </c>
      <c r="Q600">
        <v>4</v>
      </c>
      <c r="R600" t="s">
        <v>40</v>
      </c>
      <c r="S600" t="s">
        <v>41</v>
      </c>
      <c r="T600" t="s">
        <v>42</v>
      </c>
      <c r="U600" t="s">
        <v>40</v>
      </c>
      <c r="V600" t="s">
        <v>91</v>
      </c>
      <c r="W600" t="s">
        <v>92</v>
      </c>
      <c r="X600" t="s">
        <v>76</v>
      </c>
      <c r="Y600">
        <v>65</v>
      </c>
      <c r="Z600" t="s">
        <v>107</v>
      </c>
      <c r="AA600" t="s">
        <v>108</v>
      </c>
      <c r="AB600" s="1">
        <v>46224</v>
      </c>
      <c r="AC600" t="s">
        <v>40</v>
      </c>
      <c r="AD600" t="s">
        <v>40</v>
      </c>
      <c r="AE600" t="s">
        <v>86</v>
      </c>
      <c r="AF600" t="s">
        <v>40</v>
      </c>
      <c r="AG600">
        <v>0</v>
      </c>
      <c r="AH600" t="s">
        <v>61</v>
      </c>
    </row>
    <row r="601" spans="1:34" x14ac:dyDescent="0.3">
      <c r="A601" t="s">
        <v>1105</v>
      </c>
      <c r="B601" t="s">
        <v>579</v>
      </c>
      <c r="C601" t="s">
        <v>52</v>
      </c>
      <c r="D601" t="s">
        <v>90</v>
      </c>
      <c r="E601" s="1">
        <v>46243</v>
      </c>
      <c r="F601" s="1">
        <v>46250</v>
      </c>
      <c r="G601" t="s">
        <v>64</v>
      </c>
      <c r="H601">
        <v>3132</v>
      </c>
      <c r="I601" t="s">
        <v>65</v>
      </c>
      <c r="J601" t="b">
        <v>0</v>
      </c>
      <c r="K601">
        <v>7</v>
      </c>
      <c r="L601">
        <v>8</v>
      </c>
      <c r="M601">
        <v>2026</v>
      </c>
      <c r="N601">
        <v>6</v>
      </c>
      <c r="O601">
        <v>8</v>
      </c>
      <c r="P601">
        <v>2026</v>
      </c>
      <c r="Q601">
        <v>6</v>
      </c>
      <c r="R601" t="s">
        <v>66</v>
      </c>
      <c r="S601" t="s">
        <v>41</v>
      </c>
      <c r="T601" t="s">
        <v>123</v>
      </c>
      <c r="U601" t="s">
        <v>66</v>
      </c>
      <c r="V601" t="s">
        <v>56</v>
      </c>
      <c r="W601" t="s">
        <v>57</v>
      </c>
      <c r="X601" t="s">
        <v>45</v>
      </c>
      <c r="Y601">
        <v>120</v>
      </c>
      <c r="Z601" t="s">
        <v>93</v>
      </c>
      <c r="AA601" t="s">
        <v>94</v>
      </c>
      <c r="AB601" s="1">
        <v>46250</v>
      </c>
      <c r="AC601" t="s">
        <v>66</v>
      </c>
      <c r="AD601" t="s">
        <v>40</v>
      </c>
      <c r="AE601" t="s">
        <v>86</v>
      </c>
      <c r="AF601" t="s">
        <v>40</v>
      </c>
      <c r="AG601">
        <v>0</v>
      </c>
      <c r="AH601" t="s">
        <v>100</v>
      </c>
    </row>
    <row r="602" spans="1:34" x14ac:dyDescent="0.3">
      <c r="A602" t="s">
        <v>1106</v>
      </c>
      <c r="B602" t="s">
        <v>884</v>
      </c>
      <c r="C602" t="s">
        <v>36</v>
      </c>
      <c r="D602" t="s">
        <v>90</v>
      </c>
      <c r="E602" s="1">
        <v>45887</v>
      </c>
      <c r="F602" s="1">
        <v>45888</v>
      </c>
      <c r="G602" t="s">
        <v>38</v>
      </c>
      <c r="H602">
        <v>4106</v>
      </c>
      <c r="I602" t="s">
        <v>39</v>
      </c>
      <c r="J602" t="b">
        <v>0</v>
      </c>
      <c r="K602">
        <v>1</v>
      </c>
      <c r="L602">
        <v>8</v>
      </c>
      <c r="M602">
        <v>2025</v>
      </c>
      <c r="N602">
        <v>1</v>
      </c>
      <c r="O602">
        <v>8</v>
      </c>
      <c r="P602">
        <v>2025</v>
      </c>
      <c r="Q602">
        <v>0</v>
      </c>
      <c r="R602" t="s">
        <v>40</v>
      </c>
      <c r="S602" t="s">
        <v>55</v>
      </c>
      <c r="T602" t="s">
        <v>42</v>
      </c>
      <c r="U602" t="s">
        <v>40</v>
      </c>
      <c r="V602" t="s">
        <v>43</v>
      </c>
      <c r="W602" t="s">
        <v>44</v>
      </c>
      <c r="X602" t="s">
        <v>45</v>
      </c>
      <c r="Y602">
        <v>150</v>
      </c>
      <c r="Z602" t="s">
        <v>93</v>
      </c>
      <c r="AA602" t="s">
        <v>94</v>
      </c>
      <c r="AB602" s="1">
        <v>45888</v>
      </c>
      <c r="AC602" t="s">
        <v>40</v>
      </c>
      <c r="AD602" t="s">
        <v>40</v>
      </c>
      <c r="AE602" t="s">
        <v>86</v>
      </c>
      <c r="AF602" t="s">
        <v>40</v>
      </c>
      <c r="AG602">
        <v>0</v>
      </c>
      <c r="AH602" t="s">
        <v>100</v>
      </c>
    </row>
    <row r="603" spans="1:34" x14ac:dyDescent="0.3">
      <c r="A603" t="s">
        <v>1107</v>
      </c>
      <c r="B603" t="s">
        <v>1019</v>
      </c>
      <c r="C603" t="s">
        <v>73</v>
      </c>
      <c r="D603" t="s">
        <v>80</v>
      </c>
      <c r="E603" s="1">
        <v>45776</v>
      </c>
      <c r="F603" s="1">
        <v>45777</v>
      </c>
      <c r="G603" t="s">
        <v>81</v>
      </c>
      <c r="H603">
        <v>9158</v>
      </c>
      <c r="I603" t="s">
        <v>39</v>
      </c>
      <c r="J603" t="b">
        <v>0</v>
      </c>
      <c r="K603">
        <v>1</v>
      </c>
      <c r="L603">
        <v>4</v>
      </c>
      <c r="M603">
        <v>2025</v>
      </c>
      <c r="N603">
        <v>2</v>
      </c>
      <c r="O603">
        <v>4</v>
      </c>
      <c r="P603">
        <v>2025</v>
      </c>
      <c r="Q603">
        <v>1</v>
      </c>
      <c r="R603" t="s">
        <v>40</v>
      </c>
      <c r="S603" t="s">
        <v>41</v>
      </c>
      <c r="T603" t="s">
        <v>42</v>
      </c>
      <c r="U603" t="s">
        <v>40</v>
      </c>
      <c r="V603" t="s">
        <v>74</v>
      </c>
      <c r="W603" t="s">
        <v>75</v>
      </c>
      <c r="X603" t="s">
        <v>76</v>
      </c>
      <c r="Y603">
        <v>75</v>
      </c>
      <c r="Z603" t="s">
        <v>84</v>
      </c>
      <c r="AA603" t="s">
        <v>85</v>
      </c>
      <c r="AB603" s="1">
        <v>45777</v>
      </c>
      <c r="AC603" t="s">
        <v>40</v>
      </c>
      <c r="AD603" t="s">
        <v>40</v>
      </c>
      <c r="AE603" t="s">
        <v>69</v>
      </c>
      <c r="AF603" t="s">
        <v>40</v>
      </c>
      <c r="AG603">
        <v>0</v>
      </c>
      <c r="AH603" t="s">
        <v>100</v>
      </c>
    </row>
    <row r="604" spans="1:34" x14ac:dyDescent="0.3">
      <c r="A604" t="s">
        <v>1108</v>
      </c>
      <c r="B604" t="s">
        <v>232</v>
      </c>
      <c r="C604" t="s">
        <v>103</v>
      </c>
      <c r="D604" t="s">
        <v>80</v>
      </c>
      <c r="E604" s="1">
        <v>45959</v>
      </c>
      <c r="F604" s="1">
        <v>45973</v>
      </c>
      <c r="G604" t="s">
        <v>64</v>
      </c>
      <c r="H604">
        <v>3887</v>
      </c>
      <c r="I604" t="s">
        <v>212</v>
      </c>
      <c r="J604" t="b">
        <v>0</v>
      </c>
      <c r="K604">
        <v>14</v>
      </c>
      <c r="L604">
        <v>11</v>
      </c>
      <c r="M604">
        <v>2025</v>
      </c>
      <c r="N604">
        <v>2</v>
      </c>
      <c r="O604">
        <v>10</v>
      </c>
      <c r="P604">
        <v>2025</v>
      </c>
      <c r="Q604">
        <v>2</v>
      </c>
      <c r="R604" t="s">
        <v>40</v>
      </c>
      <c r="S604" t="s">
        <v>41</v>
      </c>
      <c r="T604" t="s">
        <v>42</v>
      </c>
      <c r="U604" t="s">
        <v>40</v>
      </c>
      <c r="V604" t="s">
        <v>105</v>
      </c>
      <c r="W604" t="s">
        <v>106</v>
      </c>
      <c r="X604" t="s">
        <v>45</v>
      </c>
      <c r="Y604">
        <v>140</v>
      </c>
      <c r="Z604" t="s">
        <v>84</v>
      </c>
      <c r="AA604" t="s">
        <v>85</v>
      </c>
      <c r="AB604" s="1">
        <v>45973</v>
      </c>
      <c r="AC604" t="s">
        <v>40</v>
      </c>
      <c r="AD604" t="s">
        <v>40</v>
      </c>
      <c r="AE604" t="s">
        <v>86</v>
      </c>
      <c r="AF604" t="s">
        <v>40</v>
      </c>
      <c r="AG604">
        <v>0</v>
      </c>
      <c r="AH604" t="s">
        <v>70</v>
      </c>
    </row>
    <row r="605" spans="1:34" x14ac:dyDescent="0.3">
      <c r="A605" t="s">
        <v>1109</v>
      </c>
      <c r="B605" t="s">
        <v>1000</v>
      </c>
      <c r="C605" t="s">
        <v>129</v>
      </c>
      <c r="D605" t="s">
        <v>80</v>
      </c>
      <c r="E605" s="1">
        <v>45766</v>
      </c>
      <c r="F605" s="1">
        <v>45826</v>
      </c>
      <c r="G605" t="s">
        <v>41</v>
      </c>
      <c r="H605">
        <v>5844</v>
      </c>
      <c r="I605" t="s">
        <v>39</v>
      </c>
      <c r="J605" t="b">
        <v>0</v>
      </c>
      <c r="K605">
        <v>60</v>
      </c>
      <c r="L605">
        <v>6</v>
      </c>
      <c r="M605">
        <v>2025</v>
      </c>
      <c r="N605">
        <v>2</v>
      </c>
      <c r="O605">
        <v>4</v>
      </c>
      <c r="P605">
        <v>2025</v>
      </c>
      <c r="Q605">
        <v>5</v>
      </c>
      <c r="R605" t="s">
        <v>40</v>
      </c>
      <c r="S605" t="s">
        <v>45</v>
      </c>
      <c r="T605" t="s">
        <v>42</v>
      </c>
      <c r="U605" t="s">
        <v>40</v>
      </c>
      <c r="V605" t="s">
        <v>131</v>
      </c>
      <c r="W605" t="s">
        <v>132</v>
      </c>
      <c r="X605" t="s">
        <v>45</v>
      </c>
      <c r="Y605">
        <v>110</v>
      </c>
      <c r="Z605" t="s">
        <v>84</v>
      </c>
      <c r="AA605" t="s">
        <v>85</v>
      </c>
      <c r="AB605" s="1">
        <v>45826</v>
      </c>
      <c r="AC605" t="s">
        <v>40</v>
      </c>
      <c r="AD605" t="s">
        <v>40</v>
      </c>
      <c r="AE605" t="s">
        <v>60</v>
      </c>
      <c r="AF605" t="s">
        <v>40</v>
      </c>
      <c r="AG605">
        <v>0</v>
      </c>
      <c r="AH605" t="s">
        <v>61</v>
      </c>
    </row>
    <row r="606" spans="1:34" x14ac:dyDescent="0.3">
      <c r="A606" t="s">
        <v>1110</v>
      </c>
      <c r="B606" t="s">
        <v>1111</v>
      </c>
      <c r="C606" t="s">
        <v>129</v>
      </c>
      <c r="D606" t="s">
        <v>104</v>
      </c>
      <c r="E606" s="1">
        <v>45817</v>
      </c>
      <c r="F606" s="1">
        <v>45831</v>
      </c>
      <c r="G606" t="s">
        <v>41</v>
      </c>
      <c r="H606">
        <v>7031</v>
      </c>
      <c r="I606" t="s">
        <v>65</v>
      </c>
      <c r="J606" t="b">
        <v>0</v>
      </c>
      <c r="K606">
        <v>14</v>
      </c>
      <c r="L606">
        <v>6</v>
      </c>
      <c r="M606">
        <v>2025</v>
      </c>
      <c r="N606">
        <v>0</v>
      </c>
      <c r="O606">
        <v>6</v>
      </c>
      <c r="P606">
        <v>2025</v>
      </c>
      <c r="Q606">
        <v>0</v>
      </c>
      <c r="R606" t="s">
        <v>40</v>
      </c>
      <c r="S606" t="s">
        <v>55</v>
      </c>
      <c r="T606" t="s">
        <v>113</v>
      </c>
      <c r="U606" t="s">
        <v>40</v>
      </c>
      <c r="V606" t="s">
        <v>131</v>
      </c>
      <c r="W606" t="s">
        <v>132</v>
      </c>
      <c r="X606" t="s">
        <v>45</v>
      </c>
      <c r="Y606">
        <v>110</v>
      </c>
      <c r="Z606" t="s">
        <v>107</v>
      </c>
      <c r="AA606" t="s">
        <v>108</v>
      </c>
      <c r="AB606" s="1">
        <v>45831</v>
      </c>
      <c r="AC606" t="s">
        <v>40</v>
      </c>
      <c r="AD606" t="s">
        <v>40</v>
      </c>
      <c r="AE606" t="s">
        <v>60</v>
      </c>
      <c r="AF606" t="s">
        <v>40</v>
      </c>
      <c r="AG606">
        <v>0</v>
      </c>
      <c r="AH606" t="s">
        <v>70</v>
      </c>
    </row>
    <row r="607" spans="1:34" x14ac:dyDescent="0.3">
      <c r="A607" t="s">
        <v>1112</v>
      </c>
      <c r="B607" t="s">
        <v>1113</v>
      </c>
      <c r="C607" t="s">
        <v>103</v>
      </c>
      <c r="D607" t="s">
        <v>90</v>
      </c>
      <c r="E607" s="1">
        <v>46123</v>
      </c>
      <c r="F607" s="1">
        <v>46223</v>
      </c>
      <c r="G607" t="s">
        <v>41</v>
      </c>
      <c r="H607">
        <v>7976</v>
      </c>
      <c r="I607" t="s">
        <v>54</v>
      </c>
      <c r="J607" t="b">
        <v>0</v>
      </c>
      <c r="K607">
        <v>100</v>
      </c>
      <c r="L607">
        <v>7</v>
      </c>
      <c r="M607">
        <v>2026</v>
      </c>
      <c r="N607">
        <v>0</v>
      </c>
      <c r="O607">
        <v>4</v>
      </c>
      <c r="P607">
        <v>2026</v>
      </c>
      <c r="Q607">
        <v>5</v>
      </c>
      <c r="R607" t="s">
        <v>40</v>
      </c>
      <c r="S607" t="s">
        <v>55</v>
      </c>
      <c r="T607" t="s">
        <v>68</v>
      </c>
      <c r="U607" t="s">
        <v>40</v>
      </c>
      <c r="V607" t="s">
        <v>105</v>
      </c>
      <c r="W607" t="s">
        <v>106</v>
      </c>
      <c r="X607" t="s">
        <v>45</v>
      </c>
      <c r="Y607">
        <v>140</v>
      </c>
      <c r="Z607" t="s">
        <v>93</v>
      </c>
      <c r="AA607" t="s">
        <v>94</v>
      </c>
      <c r="AB607" s="1">
        <v>46223</v>
      </c>
      <c r="AC607" t="s">
        <v>40</v>
      </c>
      <c r="AD607" t="s">
        <v>40</v>
      </c>
      <c r="AE607" t="s">
        <v>86</v>
      </c>
      <c r="AF607" t="s">
        <v>40</v>
      </c>
      <c r="AG607">
        <v>1</v>
      </c>
      <c r="AH607" t="s">
        <v>49</v>
      </c>
    </row>
    <row r="608" spans="1:34" x14ac:dyDescent="0.3">
      <c r="A608" t="s">
        <v>1114</v>
      </c>
      <c r="B608" t="s">
        <v>811</v>
      </c>
      <c r="C608" t="s">
        <v>103</v>
      </c>
      <c r="D608" t="s">
        <v>104</v>
      </c>
      <c r="E608" s="1">
        <v>45679</v>
      </c>
      <c r="F608" s="1">
        <v>45682</v>
      </c>
      <c r="G608" t="s">
        <v>64</v>
      </c>
      <c r="H608">
        <v>2470</v>
      </c>
      <c r="I608" t="s">
        <v>39</v>
      </c>
      <c r="J608" t="b">
        <v>0</v>
      </c>
      <c r="K608">
        <v>3</v>
      </c>
      <c r="L608">
        <v>1</v>
      </c>
      <c r="M608">
        <v>2025</v>
      </c>
      <c r="N608">
        <v>5</v>
      </c>
      <c r="O608">
        <v>1</v>
      </c>
      <c r="P608">
        <v>2025</v>
      </c>
      <c r="Q608">
        <v>2</v>
      </c>
      <c r="R608" t="s">
        <v>66</v>
      </c>
      <c r="S608" t="s">
        <v>55</v>
      </c>
      <c r="T608" t="s">
        <v>139</v>
      </c>
      <c r="U608" t="s">
        <v>40</v>
      </c>
      <c r="V608" t="s">
        <v>105</v>
      </c>
      <c r="W608" t="s">
        <v>106</v>
      </c>
      <c r="X608" t="s">
        <v>45</v>
      </c>
      <c r="Y608">
        <v>140</v>
      </c>
      <c r="Z608" t="s">
        <v>107</v>
      </c>
      <c r="AA608" t="s">
        <v>108</v>
      </c>
      <c r="AB608" s="1">
        <v>45682</v>
      </c>
      <c r="AC608" t="s">
        <v>66</v>
      </c>
      <c r="AD608" t="s">
        <v>40</v>
      </c>
      <c r="AE608" t="s">
        <v>86</v>
      </c>
      <c r="AF608" t="s">
        <v>40</v>
      </c>
      <c r="AG608">
        <v>0</v>
      </c>
      <c r="AH608" t="s">
        <v>100</v>
      </c>
    </row>
    <row r="609" spans="1:34" x14ac:dyDescent="0.3">
      <c r="A609" t="s">
        <v>1115</v>
      </c>
      <c r="B609" t="s">
        <v>378</v>
      </c>
      <c r="C609" t="s">
        <v>36</v>
      </c>
      <c r="D609" t="s">
        <v>80</v>
      </c>
      <c r="E609" s="1">
        <v>46004</v>
      </c>
      <c r="F609" s="1">
        <v>46104</v>
      </c>
      <c r="G609" t="s">
        <v>64</v>
      </c>
      <c r="H609">
        <v>2485</v>
      </c>
      <c r="I609" t="s">
        <v>54</v>
      </c>
      <c r="J609" t="b">
        <v>0</v>
      </c>
      <c r="K609">
        <v>100</v>
      </c>
      <c r="L609">
        <v>3</v>
      </c>
      <c r="M609">
        <v>2026</v>
      </c>
      <c r="N609">
        <v>0</v>
      </c>
      <c r="O609">
        <v>12</v>
      </c>
      <c r="P609">
        <v>2025</v>
      </c>
      <c r="Q609">
        <v>5</v>
      </c>
      <c r="R609" t="s">
        <v>40</v>
      </c>
      <c r="S609" t="s">
        <v>55</v>
      </c>
      <c r="T609" t="s">
        <v>286</v>
      </c>
      <c r="U609" t="s">
        <v>40</v>
      </c>
      <c r="V609" t="s">
        <v>43</v>
      </c>
      <c r="W609" t="s">
        <v>44</v>
      </c>
      <c r="X609" t="s">
        <v>45</v>
      </c>
      <c r="Y609">
        <v>150</v>
      </c>
      <c r="Z609" t="s">
        <v>84</v>
      </c>
      <c r="AA609" t="s">
        <v>85</v>
      </c>
      <c r="AB609" s="1">
        <v>46104</v>
      </c>
      <c r="AC609" t="s">
        <v>40</v>
      </c>
      <c r="AD609" t="s">
        <v>40</v>
      </c>
      <c r="AE609" t="s">
        <v>60</v>
      </c>
      <c r="AF609" t="s">
        <v>40</v>
      </c>
      <c r="AG609">
        <v>1</v>
      </c>
      <c r="AH609" t="s">
        <v>49</v>
      </c>
    </row>
    <row r="610" spans="1:34" x14ac:dyDescent="0.3">
      <c r="A610" t="s">
        <v>1116</v>
      </c>
      <c r="B610" t="s">
        <v>330</v>
      </c>
      <c r="C610" t="s">
        <v>122</v>
      </c>
      <c r="D610" t="s">
        <v>90</v>
      </c>
      <c r="E610" s="1">
        <v>45907</v>
      </c>
      <c r="F610" s="1">
        <v>45908</v>
      </c>
      <c r="G610" t="s">
        <v>81</v>
      </c>
      <c r="H610">
        <v>6864</v>
      </c>
      <c r="I610" t="s">
        <v>54</v>
      </c>
      <c r="J610" t="b">
        <v>0</v>
      </c>
      <c r="K610">
        <v>1</v>
      </c>
      <c r="L610">
        <v>9</v>
      </c>
      <c r="M610">
        <v>2025</v>
      </c>
      <c r="N610">
        <v>0</v>
      </c>
      <c r="O610">
        <v>9</v>
      </c>
      <c r="P610">
        <v>2025</v>
      </c>
      <c r="Q610">
        <v>6</v>
      </c>
      <c r="R610" t="s">
        <v>40</v>
      </c>
      <c r="S610" t="s">
        <v>45</v>
      </c>
      <c r="T610" t="s">
        <v>42</v>
      </c>
      <c r="U610" t="s">
        <v>40</v>
      </c>
      <c r="V610" t="s">
        <v>124</v>
      </c>
      <c r="W610" t="s">
        <v>125</v>
      </c>
      <c r="X610" t="s">
        <v>126</v>
      </c>
      <c r="Y610">
        <v>85</v>
      </c>
      <c r="Z610" t="s">
        <v>93</v>
      </c>
      <c r="AA610" t="s">
        <v>94</v>
      </c>
      <c r="AB610" s="1">
        <v>45908</v>
      </c>
      <c r="AC610" t="s">
        <v>40</v>
      </c>
      <c r="AD610" t="s">
        <v>40</v>
      </c>
      <c r="AE610" t="s">
        <v>60</v>
      </c>
      <c r="AF610" t="s">
        <v>40</v>
      </c>
      <c r="AG610">
        <v>1</v>
      </c>
      <c r="AH610" t="s">
        <v>100</v>
      </c>
    </row>
    <row r="611" spans="1:34" x14ac:dyDescent="0.3">
      <c r="A611" t="s">
        <v>1117</v>
      </c>
      <c r="B611" t="s">
        <v>695</v>
      </c>
      <c r="C611" t="s">
        <v>97</v>
      </c>
      <c r="D611" t="s">
        <v>130</v>
      </c>
      <c r="E611" s="1">
        <v>45887</v>
      </c>
      <c r="F611" s="1">
        <v>45888</v>
      </c>
      <c r="G611" t="s">
        <v>41</v>
      </c>
      <c r="H611">
        <v>6174</v>
      </c>
      <c r="I611" t="s">
        <v>39</v>
      </c>
      <c r="J611" t="b">
        <v>0</v>
      </c>
      <c r="K611">
        <v>1</v>
      </c>
      <c r="L611">
        <v>8</v>
      </c>
      <c r="M611">
        <v>2025</v>
      </c>
      <c r="N611">
        <v>1</v>
      </c>
      <c r="O611">
        <v>8</v>
      </c>
      <c r="P611">
        <v>2025</v>
      </c>
      <c r="Q611">
        <v>0</v>
      </c>
      <c r="R611" t="s">
        <v>40</v>
      </c>
      <c r="S611" t="s">
        <v>45</v>
      </c>
      <c r="T611" t="s">
        <v>42</v>
      </c>
      <c r="U611" t="s">
        <v>40</v>
      </c>
      <c r="V611" t="s">
        <v>98</v>
      </c>
      <c r="W611" t="s">
        <v>99</v>
      </c>
      <c r="X611" t="s">
        <v>76</v>
      </c>
      <c r="Y611">
        <v>80</v>
      </c>
      <c r="Z611" t="s">
        <v>133</v>
      </c>
      <c r="AA611" t="s">
        <v>134</v>
      </c>
      <c r="AB611" s="1">
        <v>45888</v>
      </c>
      <c r="AC611" t="s">
        <v>40</v>
      </c>
      <c r="AD611" t="s">
        <v>40</v>
      </c>
      <c r="AE611" t="s">
        <v>86</v>
      </c>
      <c r="AF611" t="s">
        <v>40</v>
      </c>
      <c r="AG611">
        <v>0</v>
      </c>
      <c r="AH611" t="s">
        <v>100</v>
      </c>
    </row>
    <row r="612" spans="1:34" x14ac:dyDescent="0.3">
      <c r="A612" t="s">
        <v>1118</v>
      </c>
      <c r="B612" t="s">
        <v>63</v>
      </c>
      <c r="C612" t="s">
        <v>122</v>
      </c>
      <c r="D612" t="s">
        <v>90</v>
      </c>
      <c r="E612" s="1">
        <v>45770</v>
      </c>
      <c r="F612" s="1">
        <v>45777</v>
      </c>
      <c r="G612" t="s">
        <v>81</v>
      </c>
      <c r="H612">
        <v>7469</v>
      </c>
      <c r="I612" t="s">
        <v>65</v>
      </c>
      <c r="J612" t="b">
        <v>0</v>
      </c>
      <c r="K612">
        <v>7</v>
      </c>
      <c r="L612">
        <v>4</v>
      </c>
      <c r="M612">
        <v>2025</v>
      </c>
      <c r="N612">
        <v>2</v>
      </c>
      <c r="O612">
        <v>4</v>
      </c>
      <c r="P612">
        <v>2025</v>
      </c>
      <c r="Q612">
        <v>2</v>
      </c>
      <c r="R612" t="s">
        <v>40</v>
      </c>
      <c r="S612" t="s">
        <v>67</v>
      </c>
      <c r="T612" t="s">
        <v>68</v>
      </c>
      <c r="U612" t="s">
        <v>40</v>
      </c>
      <c r="V612" t="s">
        <v>124</v>
      </c>
      <c r="W612" t="s">
        <v>125</v>
      </c>
      <c r="X612" t="s">
        <v>126</v>
      </c>
      <c r="Y612">
        <v>85</v>
      </c>
      <c r="Z612" t="s">
        <v>93</v>
      </c>
      <c r="AA612" t="s">
        <v>94</v>
      </c>
      <c r="AB612" s="1">
        <v>45777</v>
      </c>
      <c r="AC612" t="s">
        <v>40</v>
      </c>
      <c r="AD612" t="s">
        <v>40</v>
      </c>
      <c r="AE612" t="s">
        <v>69</v>
      </c>
      <c r="AF612" t="s">
        <v>40</v>
      </c>
      <c r="AG612">
        <v>0</v>
      </c>
      <c r="AH612" t="s">
        <v>100</v>
      </c>
    </row>
    <row r="613" spans="1:34" x14ac:dyDescent="0.3">
      <c r="A613" t="s">
        <v>1119</v>
      </c>
      <c r="B613" t="s">
        <v>583</v>
      </c>
      <c r="C613" t="s">
        <v>97</v>
      </c>
      <c r="D613" t="s">
        <v>90</v>
      </c>
      <c r="E613" s="1">
        <v>46096</v>
      </c>
      <c r="F613" s="1">
        <v>46126</v>
      </c>
      <c r="G613" t="s">
        <v>38</v>
      </c>
      <c r="H613">
        <v>4735</v>
      </c>
      <c r="I613" t="s">
        <v>39</v>
      </c>
      <c r="J613" t="b">
        <v>0</v>
      </c>
      <c r="K613">
        <v>30</v>
      </c>
      <c r="L613">
        <v>4</v>
      </c>
      <c r="M613">
        <v>2026</v>
      </c>
      <c r="N613">
        <v>1</v>
      </c>
      <c r="O613">
        <v>3</v>
      </c>
      <c r="P613">
        <v>2026</v>
      </c>
      <c r="Q613">
        <v>6</v>
      </c>
      <c r="R613" t="s">
        <v>40</v>
      </c>
      <c r="S613" t="s">
        <v>55</v>
      </c>
      <c r="T613" t="s">
        <v>286</v>
      </c>
      <c r="U613" t="s">
        <v>40</v>
      </c>
      <c r="V613" t="s">
        <v>98</v>
      </c>
      <c r="W613" t="s">
        <v>99</v>
      </c>
      <c r="X613" t="s">
        <v>76</v>
      </c>
      <c r="Y613">
        <v>80</v>
      </c>
      <c r="Z613" t="s">
        <v>93</v>
      </c>
      <c r="AA613" t="s">
        <v>94</v>
      </c>
      <c r="AB613" s="1">
        <v>46126</v>
      </c>
      <c r="AC613" t="s">
        <v>40</v>
      </c>
      <c r="AD613" t="s">
        <v>40</v>
      </c>
      <c r="AE613" t="s">
        <v>69</v>
      </c>
      <c r="AF613" t="s">
        <v>66</v>
      </c>
      <c r="AG613">
        <v>0</v>
      </c>
      <c r="AH613" t="s">
        <v>70</v>
      </c>
    </row>
    <row r="614" spans="1:34" x14ac:dyDescent="0.3">
      <c r="A614" t="s">
        <v>1120</v>
      </c>
      <c r="B614" t="s">
        <v>828</v>
      </c>
      <c r="C614" t="s">
        <v>129</v>
      </c>
      <c r="D614" t="s">
        <v>53</v>
      </c>
      <c r="E614" s="1">
        <v>45929</v>
      </c>
      <c r="F614" s="1">
        <v>46029</v>
      </c>
      <c r="G614" t="s">
        <v>64</v>
      </c>
      <c r="H614">
        <v>3964</v>
      </c>
      <c r="I614" t="s">
        <v>54</v>
      </c>
      <c r="J614" t="b">
        <v>0</v>
      </c>
      <c r="K614">
        <v>100</v>
      </c>
      <c r="L614">
        <v>1</v>
      </c>
      <c r="M614">
        <v>2026</v>
      </c>
      <c r="N614">
        <v>2</v>
      </c>
      <c r="O614">
        <v>9</v>
      </c>
      <c r="P614">
        <v>2025</v>
      </c>
      <c r="Q614">
        <v>0</v>
      </c>
      <c r="R614" t="s">
        <v>40</v>
      </c>
      <c r="S614" t="s">
        <v>55</v>
      </c>
      <c r="T614" t="s">
        <v>286</v>
      </c>
      <c r="U614" t="s">
        <v>40</v>
      </c>
      <c r="V614" t="s">
        <v>131</v>
      </c>
      <c r="W614" t="s">
        <v>132</v>
      </c>
      <c r="X614" t="s">
        <v>45</v>
      </c>
      <c r="Y614">
        <v>110</v>
      </c>
      <c r="Z614" t="s">
        <v>58</v>
      </c>
      <c r="AA614" t="s">
        <v>59</v>
      </c>
      <c r="AB614" s="1">
        <v>46029</v>
      </c>
      <c r="AC614" t="s">
        <v>40</v>
      </c>
      <c r="AD614" t="s">
        <v>40</v>
      </c>
      <c r="AE614" t="s">
        <v>86</v>
      </c>
      <c r="AF614" t="s">
        <v>40</v>
      </c>
      <c r="AG614">
        <v>1</v>
      </c>
      <c r="AH614" t="s">
        <v>49</v>
      </c>
    </row>
    <row r="615" spans="1:34" x14ac:dyDescent="0.3">
      <c r="A615" t="s">
        <v>1121</v>
      </c>
      <c r="B615" t="s">
        <v>1122</v>
      </c>
      <c r="C615" t="s">
        <v>36</v>
      </c>
      <c r="D615" t="s">
        <v>130</v>
      </c>
      <c r="E615" s="1">
        <v>46249</v>
      </c>
      <c r="F615" s="1">
        <v>46263</v>
      </c>
      <c r="G615" t="s">
        <v>81</v>
      </c>
      <c r="H615">
        <v>7544</v>
      </c>
      <c r="I615" t="s">
        <v>39</v>
      </c>
      <c r="J615" t="b">
        <v>0</v>
      </c>
      <c r="K615">
        <v>14</v>
      </c>
      <c r="L615">
        <v>8</v>
      </c>
      <c r="M615">
        <v>2026</v>
      </c>
      <c r="N615">
        <v>5</v>
      </c>
      <c r="O615">
        <v>8</v>
      </c>
      <c r="P615">
        <v>2026</v>
      </c>
      <c r="Q615">
        <v>5</v>
      </c>
      <c r="R615" t="s">
        <v>66</v>
      </c>
      <c r="S615" t="s">
        <v>41</v>
      </c>
      <c r="T615" t="s">
        <v>139</v>
      </c>
      <c r="U615" t="s">
        <v>40</v>
      </c>
      <c r="V615" t="s">
        <v>43</v>
      </c>
      <c r="W615" t="s">
        <v>44</v>
      </c>
      <c r="X615" t="s">
        <v>45</v>
      </c>
      <c r="Y615">
        <v>150</v>
      </c>
      <c r="Z615" t="s">
        <v>133</v>
      </c>
      <c r="AA615" t="s">
        <v>134</v>
      </c>
      <c r="AB615" s="1">
        <v>46263</v>
      </c>
      <c r="AC615" t="s">
        <v>66</v>
      </c>
      <c r="AD615" t="s">
        <v>40</v>
      </c>
      <c r="AE615" t="s">
        <v>86</v>
      </c>
      <c r="AF615" t="s">
        <v>40</v>
      </c>
      <c r="AG615">
        <v>0</v>
      </c>
      <c r="AH615" t="s">
        <v>70</v>
      </c>
    </row>
    <row r="616" spans="1:34" x14ac:dyDescent="0.3">
      <c r="A616" t="s">
        <v>1123</v>
      </c>
      <c r="B616" t="s">
        <v>1124</v>
      </c>
      <c r="C616" t="s">
        <v>89</v>
      </c>
      <c r="D616" t="s">
        <v>104</v>
      </c>
      <c r="E616" s="1">
        <v>46274</v>
      </c>
      <c r="F616" s="1">
        <v>46334</v>
      </c>
      <c r="G616" t="s">
        <v>81</v>
      </c>
      <c r="H616">
        <v>9639</v>
      </c>
      <c r="I616" t="s">
        <v>39</v>
      </c>
      <c r="J616" t="b">
        <v>0</v>
      </c>
      <c r="K616">
        <v>60</v>
      </c>
      <c r="L616">
        <v>11</v>
      </c>
      <c r="M616">
        <v>2026</v>
      </c>
      <c r="N616">
        <v>6</v>
      </c>
      <c r="O616">
        <v>9</v>
      </c>
      <c r="P616">
        <v>2026</v>
      </c>
      <c r="Q616">
        <v>2</v>
      </c>
      <c r="R616" t="s">
        <v>66</v>
      </c>
      <c r="S616" t="s">
        <v>41</v>
      </c>
      <c r="T616" t="s">
        <v>42</v>
      </c>
      <c r="U616" t="s">
        <v>40</v>
      </c>
      <c r="V616" t="s">
        <v>91</v>
      </c>
      <c r="W616" t="s">
        <v>92</v>
      </c>
      <c r="X616" t="s">
        <v>76</v>
      </c>
      <c r="Y616">
        <v>65</v>
      </c>
      <c r="Z616" t="s">
        <v>107</v>
      </c>
      <c r="AA616" t="s">
        <v>108</v>
      </c>
      <c r="AB616" s="1">
        <v>46334</v>
      </c>
      <c r="AC616" t="s">
        <v>66</v>
      </c>
      <c r="AD616" t="s">
        <v>40</v>
      </c>
      <c r="AE616" t="s">
        <v>86</v>
      </c>
      <c r="AF616" t="s">
        <v>40</v>
      </c>
      <c r="AG616">
        <v>0</v>
      </c>
      <c r="AH616" t="s">
        <v>61</v>
      </c>
    </row>
    <row r="617" spans="1:34" x14ac:dyDescent="0.3">
      <c r="A617" t="s">
        <v>1125</v>
      </c>
      <c r="B617" t="s">
        <v>614</v>
      </c>
      <c r="C617" t="s">
        <v>73</v>
      </c>
      <c r="D617" t="s">
        <v>104</v>
      </c>
      <c r="E617" s="1">
        <v>45743</v>
      </c>
      <c r="F617" s="1">
        <v>45773</v>
      </c>
      <c r="G617" t="s">
        <v>41</v>
      </c>
      <c r="H617">
        <v>5963</v>
      </c>
      <c r="I617" t="s">
        <v>65</v>
      </c>
      <c r="J617" t="b">
        <v>0</v>
      </c>
      <c r="K617">
        <v>30</v>
      </c>
      <c r="L617">
        <v>4</v>
      </c>
      <c r="M617">
        <v>2025</v>
      </c>
      <c r="N617">
        <v>5</v>
      </c>
      <c r="O617">
        <v>3</v>
      </c>
      <c r="P617">
        <v>2025</v>
      </c>
      <c r="Q617">
        <v>3</v>
      </c>
      <c r="R617" t="s">
        <v>66</v>
      </c>
      <c r="S617" t="s">
        <v>67</v>
      </c>
      <c r="T617" t="s">
        <v>42</v>
      </c>
      <c r="U617" t="s">
        <v>40</v>
      </c>
      <c r="V617" t="s">
        <v>74</v>
      </c>
      <c r="W617" t="s">
        <v>75</v>
      </c>
      <c r="X617" t="s">
        <v>76</v>
      </c>
      <c r="Y617">
        <v>75</v>
      </c>
      <c r="Z617" t="s">
        <v>107</v>
      </c>
      <c r="AA617" t="s">
        <v>108</v>
      </c>
      <c r="AB617" s="1">
        <v>45773</v>
      </c>
      <c r="AC617" t="s">
        <v>66</v>
      </c>
      <c r="AD617" t="s">
        <v>40</v>
      </c>
      <c r="AE617" t="s">
        <v>69</v>
      </c>
      <c r="AF617" t="s">
        <v>40</v>
      </c>
      <c r="AG617">
        <v>0</v>
      </c>
      <c r="AH617" t="s">
        <v>70</v>
      </c>
    </row>
    <row r="618" spans="1:34" x14ac:dyDescent="0.3">
      <c r="A618" t="s">
        <v>1126</v>
      </c>
      <c r="B618" t="s">
        <v>1127</v>
      </c>
      <c r="C618" t="s">
        <v>146</v>
      </c>
      <c r="D618" t="s">
        <v>104</v>
      </c>
      <c r="E618" s="1">
        <v>45794</v>
      </c>
      <c r="F618" s="1">
        <v>45944</v>
      </c>
      <c r="G618" t="s">
        <v>64</v>
      </c>
      <c r="H618">
        <v>2939</v>
      </c>
      <c r="I618" t="s">
        <v>212</v>
      </c>
      <c r="J618" t="b">
        <v>0</v>
      </c>
      <c r="K618">
        <v>150</v>
      </c>
      <c r="L618">
        <v>10</v>
      </c>
      <c r="M618">
        <v>2025</v>
      </c>
      <c r="N618">
        <v>1</v>
      </c>
      <c r="O618">
        <v>5</v>
      </c>
      <c r="P618">
        <v>2025</v>
      </c>
      <c r="Q618">
        <v>5</v>
      </c>
      <c r="R618" t="s">
        <v>40</v>
      </c>
      <c r="S618" t="s">
        <v>55</v>
      </c>
      <c r="T618" t="s">
        <v>42</v>
      </c>
      <c r="U618" t="s">
        <v>40</v>
      </c>
      <c r="V618" t="s">
        <v>147</v>
      </c>
      <c r="W618" t="s">
        <v>148</v>
      </c>
      <c r="X618" t="s">
        <v>45</v>
      </c>
      <c r="Y618">
        <v>160</v>
      </c>
      <c r="Z618" t="s">
        <v>107</v>
      </c>
      <c r="AA618" t="s">
        <v>108</v>
      </c>
      <c r="AB618" s="1">
        <v>45944</v>
      </c>
      <c r="AC618" t="s">
        <v>40</v>
      </c>
      <c r="AD618" t="s">
        <v>40</v>
      </c>
      <c r="AE618" t="s">
        <v>60</v>
      </c>
      <c r="AF618" t="s">
        <v>40</v>
      </c>
      <c r="AG618">
        <v>0</v>
      </c>
      <c r="AH618" t="s">
        <v>49</v>
      </c>
    </row>
    <row r="619" spans="1:34" x14ac:dyDescent="0.3">
      <c r="A619" t="s">
        <v>1128</v>
      </c>
      <c r="B619" t="s">
        <v>1129</v>
      </c>
      <c r="C619" t="s">
        <v>73</v>
      </c>
      <c r="D619" t="s">
        <v>90</v>
      </c>
      <c r="E619" s="1">
        <v>45887</v>
      </c>
      <c r="F619" s="1">
        <v>45888</v>
      </c>
      <c r="G619" t="s">
        <v>38</v>
      </c>
      <c r="H619">
        <v>4086</v>
      </c>
      <c r="I619" t="s">
        <v>39</v>
      </c>
      <c r="J619" t="b">
        <v>0</v>
      </c>
      <c r="K619">
        <v>1</v>
      </c>
      <c r="L619">
        <v>8</v>
      </c>
      <c r="M619">
        <v>2025</v>
      </c>
      <c r="N619">
        <v>1</v>
      </c>
      <c r="O619">
        <v>8</v>
      </c>
      <c r="P619">
        <v>2025</v>
      </c>
      <c r="Q619">
        <v>0</v>
      </c>
      <c r="R619" t="s">
        <v>40</v>
      </c>
      <c r="S619" t="s">
        <v>41</v>
      </c>
      <c r="T619" t="s">
        <v>42</v>
      </c>
      <c r="U619" t="s">
        <v>40</v>
      </c>
      <c r="V619" t="s">
        <v>74</v>
      </c>
      <c r="W619" t="s">
        <v>75</v>
      </c>
      <c r="X619" t="s">
        <v>76</v>
      </c>
      <c r="Y619">
        <v>75</v>
      </c>
      <c r="Z619" t="s">
        <v>93</v>
      </c>
      <c r="AA619" t="s">
        <v>94</v>
      </c>
      <c r="AB619" s="1">
        <v>45888</v>
      </c>
      <c r="AC619" t="s">
        <v>40</v>
      </c>
      <c r="AD619" t="s">
        <v>40</v>
      </c>
      <c r="AE619" t="s">
        <v>86</v>
      </c>
      <c r="AF619" t="s">
        <v>40</v>
      </c>
      <c r="AG619">
        <v>0</v>
      </c>
      <c r="AH619" t="s">
        <v>100</v>
      </c>
    </row>
    <row r="620" spans="1:34" x14ac:dyDescent="0.3">
      <c r="A620" t="s">
        <v>1130</v>
      </c>
      <c r="B620" t="s">
        <v>692</v>
      </c>
      <c r="C620" t="s">
        <v>129</v>
      </c>
      <c r="D620" t="s">
        <v>80</v>
      </c>
      <c r="E620" s="1">
        <v>45733</v>
      </c>
      <c r="F620" s="1">
        <v>45747</v>
      </c>
      <c r="G620" t="s">
        <v>38</v>
      </c>
      <c r="H620">
        <v>4996</v>
      </c>
      <c r="I620" t="s">
        <v>54</v>
      </c>
      <c r="J620" t="b">
        <v>0</v>
      </c>
      <c r="K620">
        <v>14</v>
      </c>
      <c r="L620">
        <v>3</v>
      </c>
      <c r="M620">
        <v>2025</v>
      </c>
      <c r="N620">
        <v>0</v>
      </c>
      <c r="O620">
        <v>3</v>
      </c>
      <c r="P620">
        <v>2025</v>
      </c>
      <c r="Q620">
        <v>0</v>
      </c>
      <c r="R620" t="s">
        <v>40</v>
      </c>
      <c r="S620" t="s">
        <v>55</v>
      </c>
      <c r="T620" t="s">
        <v>113</v>
      </c>
      <c r="U620" t="s">
        <v>40</v>
      </c>
      <c r="V620" t="s">
        <v>131</v>
      </c>
      <c r="W620" t="s">
        <v>132</v>
      </c>
      <c r="X620" t="s">
        <v>45</v>
      </c>
      <c r="Y620">
        <v>110</v>
      </c>
      <c r="Z620" t="s">
        <v>84</v>
      </c>
      <c r="AA620" t="s">
        <v>85</v>
      </c>
      <c r="AB620" s="1">
        <v>45747</v>
      </c>
      <c r="AC620" t="s">
        <v>40</v>
      </c>
      <c r="AD620" t="s">
        <v>40</v>
      </c>
      <c r="AE620" t="s">
        <v>60</v>
      </c>
      <c r="AF620" t="s">
        <v>40</v>
      </c>
      <c r="AG620">
        <v>1</v>
      </c>
      <c r="AH620" t="s">
        <v>70</v>
      </c>
    </row>
    <row r="621" spans="1:34" x14ac:dyDescent="0.3">
      <c r="A621" t="s">
        <v>1131</v>
      </c>
      <c r="B621" t="s">
        <v>1010</v>
      </c>
      <c r="C621" t="s">
        <v>97</v>
      </c>
      <c r="D621" t="s">
        <v>90</v>
      </c>
      <c r="E621" s="1">
        <v>46139</v>
      </c>
      <c r="F621" s="1">
        <v>46199</v>
      </c>
      <c r="G621" t="s">
        <v>81</v>
      </c>
      <c r="H621">
        <v>10137</v>
      </c>
      <c r="I621" t="s">
        <v>54</v>
      </c>
      <c r="J621" t="b">
        <v>0</v>
      </c>
      <c r="K621">
        <v>60</v>
      </c>
      <c r="L621">
        <v>6</v>
      </c>
      <c r="M621">
        <v>2026</v>
      </c>
      <c r="N621">
        <v>4</v>
      </c>
      <c r="O621">
        <v>4</v>
      </c>
      <c r="P621">
        <v>2026</v>
      </c>
      <c r="Q621">
        <v>0</v>
      </c>
      <c r="R621" t="s">
        <v>40</v>
      </c>
      <c r="S621" t="s">
        <v>41</v>
      </c>
      <c r="T621" t="s">
        <v>42</v>
      </c>
      <c r="U621" t="s">
        <v>66</v>
      </c>
      <c r="V621" t="s">
        <v>98</v>
      </c>
      <c r="W621" t="s">
        <v>99</v>
      </c>
      <c r="X621" t="s">
        <v>76</v>
      </c>
      <c r="Y621">
        <v>80</v>
      </c>
      <c r="Z621" t="s">
        <v>93</v>
      </c>
      <c r="AA621" t="s">
        <v>94</v>
      </c>
      <c r="AB621" s="1">
        <v>46199</v>
      </c>
      <c r="AC621" t="s">
        <v>40</v>
      </c>
      <c r="AD621" t="s">
        <v>40</v>
      </c>
      <c r="AE621" t="s">
        <v>60</v>
      </c>
      <c r="AF621" t="s">
        <v>40</v>
      </c>
      <c r="AG621">
        <v>1</v>
      </c>
      <c r="AH621" t="s">
        <v>61</v>
      </c>
    </row>
    <row r="622" spans="1:34" x14ac:dyDescent="0.3">
      <c r="A622" t="s">
        <v>1132</v>
      </c>
      <c r="B622" t="s">
        <v>375</v>
      </c>
      <c r="C622" t="s">
        <v>97</v>
      </c>
      <c r="D622" t="s">
        <v>130</v>
      </c>
      <c r="E622" s="1">
        <v>46315</v>
      </c>
      <c r="F622" s="1">
        <v>46316</v>
      </c>
      <c r="G622" t="s">
        <v>38</v>
      </c>
      <c r="H622">
        <v>3544</v>
      </c>
      <c r="I622" t="s">
        <v>39</v>
      </c>
      <c r="J622" t="b">
        <v>0</v>
      </c>
      <c r="K622">
        <v>1</v>
      </c>
      <c r="L622">
        <v>10</v>
      </c>
      <c r="M622">
        <v>2026</v>
      </c>
      <c r="N622">
        <v>2</v>
      </c>
      <c r="O622">
        <v>10</v>
      </c>
      <c r="P622">
        <v>2026</v>
      </c>
      <c r="Q622">
        <v>1</v>
      </c>
      <c r="R622" t="s">
        <v>40</v>
      </c>
      <c r="S622" t="s">
        <v>55</v>
      </c>
      <c r="T622" t="s">
        <v>123</v>
      </c>
      <c r="U622" t="s">
        <v>66</v>
      </c>
      <c r="V622" t="s">
        <v>98</v>
      </c>
      <c r="W622" t="s">
        <v>99</v>
      </c>
      <c r="X622" t="s">
        <v>76</v>
      </c>
      <c r="Y622">
        <v>80</v>
      </c>
      <c r="Z622" t="s">
        <v>133</v>
      </c>
      <c r="AA622" t="s">
        <v>134</v>
      </c>
      <c r="AB622" s="1">
        <v>46316</v>
      </c>
      <c r="AC622" t="s">
        <v>40</v>
      </c>
      <c r="AD622" t="s">
        <v>40</v>
      </c>
      <c r="AE622" t="s">
        <v>60</v>
      </c>
      <c r="AF622" t="s">
        <v>40</v>
      </c>
      <c r="AG622">
        <v>0</v>
      </c>
      <c r="AH622" t="s">
        <v>100</v>
      </c>
    </row>
    <row r="623" spans="1:34" x14ac:dyDescent="0.3">
      <c r="A623" t="s">
        <v>1133</v>
      </c>
      <c r="B623" t="s">
        <v>677</v>
      </c>
      <c r="C623" t="s">
        <v>155</v>
      </c>
      <c r="D623" t="s">
        <v>80</v>
      </c>
      <c r="E623" s="1">
        <v>45971</v>
      </c>
      <c r="F623" s="1">
        <v>46031</v>
      </c>
      <c r="G623" t="s">
        <v>41</v>
      </c>
      <c r="H623">
        <v>6546</v>
      </c>
      <c r="I623" t="s">
        <v>39</v>
      </c>
      <c r="J623" t="b">
        <v>0</v>
      </c>
      <c r="K623">
        <v>60</v>
      </c>
      <c r="L623">
        <v>1</v>
      </c>
      <c r="M623">
        <v>2026</v>
      </c>
      <c r="N623">
        <v>4</v>
      </c>
      <c r="O623">
        <v>11</v>
      </c>
      <c r="P623">
        <v>2025</v>
      </c>
      <c r="Q623">
        <v>0</v>
      </c>
      <c r="R623" t="s">
        <v>40</v>
      </c>
      <c r="S623" t="s">
        <v>67</v>
      </c>
      <c r="T623" t="s">
        <v>286</v>
      </c>
      <c r="U623" t="s">
        <v>40</v>
      </c>
      <c r="V623" t="s">
        <v>156</v>
      </c>
      <c r="W623" t="s">
        <v>157</v>
      </c>
      <c r="X623" t="s">
        <v>158</v>
      </c>
      <c r="Y623">
        <v>70</v>
      </c>
      <c r="Z623" t="s">
        <v>84</v>
      </c>
      <c r="AA623" t="s">
        <v>85</v>
      </c>
      <c r="AB623" s="1">
        <v>46031</v>
      </c>
      <c r="AC623" t="s">
        <v>40</v>
      </c>
      <c r="AD623" t="s">
        <v>40</v>
      </c>
      <c r="AE623" t="s">
        <v>86</v>
      </c>
      <c r="AF623" t="s">
        <v>40</v>
      </c>
      <c r="AG623">
        <v>0</v>
      </c>
      <c r="AH623" t="s">
        <v>61</v>
      </c>
    </row>
    <row r="624" spans="1:34" x14ac:dyDescent="0.3">
      <c r="A624" t="s">
        <v>1134</v>
      </c>
      <c r="B624" t="s">
        <v>391</v>
      </c>
      <c r="C624" t="s">
        <v>52</v>
      </c>
      <c r="D624" t="s">
        <v>90</v>
      </c>
      <c r="E624" s="1">
        <v>46059</v>
      </c>
      <c r="F624" s="1">
        <v>46066</v>
      </c>
      <c r="G624" t="s">
        <v>64</v>
      </c>
      <c r="H624">
        <v>3177</v>
      </c>
      <c r="I624" t="s">
        <v>39</v>
      </c>
      <c r="J624" t="b">
        <v>0</v>
      </c>
      <c r="K624">
        <v>7</v>
      </c>
      <c r="L624">
        <v>2</v>
      </c>
      <c r="M624">
        <v>2026</v>
      </c>
      <c r="N624">
        <v>4</v>
      </c>
      <c r="O624">
        <v>2</v>
      </c>
      <c r="P624">
        <v>2026</v>
      </c>
      <c r="Q624">
        <v>4</v>
      </c>
      <c r="R624" t="s">
        <v>40</v>
      </c>
      <c r="S624" t="s">
        <v>55</v>
      </c>
      <c r="T624" t="s">
        <v>42</v>
      </c>
      <c r="U624" t="s">
        <v>40</v>
      </c>
      <c r="V624" t="s">
        <v>56</v>
      </c>
      <c r="W624" t="s">
        <v>57</v>
      </c>
      <c r="X624" t="s">
        <v>45</v>
      </c>
      <c r="Y624">
        <v>120</v>
      </c>
      <c r="Z624" t="s">
        <v>93</v>
      </c>
      <c r="AA624" t="s">
        <v>94</v>
      </c>
      <c r="AB624" s="1">
        <v>46066</v>
      </c>
      <c r="AC624" t="s">
        <v>40</v>
      </c>
      <c r="AD624" t="s">
        <v>40</v>
      </c>
      <c r="AE624" t="s">
        <v>60</v>
      </c>
      <c r="AF624" t="s">
        <v>40</v>
      </c>
      <c r="AG624">
        <v>0</v>
      </c>
      <c r="AH624" t="s">
        <v>100</v>
      </c>
    </row>
    <row r="625" spans="1:34" x14ac:dyDescent="0.3">
      <c r="A625" t="s">
        <v>1135</v>
      </c>
      <c r="B625" t="s">
        <v>545</v>
      </c>
      <c r="C625" t="s">
        <v>129</v>
      </c>
      <c r="D625" t="s">
        <v>104</v>
      </c>
      <c r="E625" s="1">
        <v>45857</v>
      </c>
      <c r="F625" s="1">
        <v>45864</v>
      </c>
      <c r="G625" t="s">
        <v>64</v>
      </c>
      <c r="H625">
        <v>2942</v>
      </c>
      <c r="I625" t="s">
        <v>39</v>
      </c>
      <c r="J625" t="b">
        <v>0</v>
      </c>
      <c r="K625">
        <v>7</v>
      </c>
      <c r="L625">
        <v>7</v>
      </c>
      <c r="M625">
        <v>2025</v>
      </c>
      <c r="N625">
        <v>5</v>
      </c>
      <c r="O625">
        <v>7</v>
      </c>
      <c r="P625">
        <v>2025</v>
      </c>
      <c r="Q625">
        <v>5</v>
      </c>
      <c r="R625" t="s">
        <v>66</v>
      </c>
      <c r="S625" t="s">
        <v>41</v>
      </c>
      <c r="T625" t="s">
        <v>42</v>
      </c>
      <c r="U625" t="s">
        <v>40</v>
      </c>
      <c r="V625" t="s">
        <v>131</v>
      </c>
      <c r="W625" t="s">
        <v>132</v>
      </c>
      <c r="X625" t="s">
        <v>45</v>
      </c>
      <c r="Y625">
        <v>110</v>
      </c>
      <c r="Z625" t="s">
        <v>107</v>
      </c>
      <c r="AA625" t="s">
        <v>108</v>
      </c>
      <c r="AB625" s="1">
        <v>45864</v>
      </c>
      <c r="AC625" t="s">
        <v>66</v>
      </c>
      <c r="AD625" t="s">
        <v>40</v>
      </c>
      <c r="AE625" t="s">
        <v>86</v>
      </c>
      <c r="AF625" t="s">
        <v>40</v>
      </c>
      <c r="AG625">
        <v>0</v>
      </c>
      <c r="AH625" t="s">
        <v>100</v>
      </c>
    </row>
    <row r="626" spans="1:34" x14ac:dyDescent="0.3">
      <c r="A626" t="s">
        <v>1136</v>
      </c>
      <c r="B626" t="s">
        <v>1024</v>
      </c>
      <c r="C626" t="s">
        <v>155</v>
      </c>
      <c r="D626" t="s">
        <v>130</v>
      </c>
      <c r="E626" s="1">
        <v>45974</v>
      </c>
      <c r="F626" s="1">
        <v>45981</v>
      </c>
      <c r="G626" t="s">
        <v>38</v>
      </c>
      <c r="H626">
        <v>4602</v>
      </c>
      <c r="I626" t="s">
        <v>212</v>
      </c>
      <c r="J626" t="b">
        <v>0</v>
      </c>
      <c r="K626">
        <v>7</v>
      </c>
      <c r="L626">
        <v>11</v>
      </c>
      <c r="M626">
        <v>2025</v>
      </c>
      <c r="N626">
        <v>3</v>
      </c>
      <c r="O626">
        <v>11</v>
      </c>
      <c r="P626">
        <v>2025</v>
      </c>
      <c r="Q626">
        <v>3</v>
      </c>
      <c r="R626" t="s">
        <v>40</v>
      </c>
      <c r="S626" t="s">
        <v>45</v>
      </c>
      <c r="T626" t="s">
        <v>42</v>
      </c>
      <c r="U626" t="s">
        <v>66</v>
      </c>
      <c r="V626" t="s">
        <v>156</v>
      </c>
      <c r="W626" t="s">
        <v>157</v>
      </c>
      <c r="X626" t="s">
        <v>158</v>
      </c>
      <c r="Y626">
        <v>70</v>
      </c>
      <c r="Z626" t="s">
        <v>133</v>
      </c>
      <c r="AA626" t="s">
        <v>134</v>
      </c>
      <c r="AB626" s="1">
        <v>45981</v>
      </c>
      <c r="AC626" t="s">
        <v>40</v>
      </c>
      <c r="AD626" t="s">
        <v>40</v>
      </c>
      <c r="AE626" t="s">
        <v>86</v>
      </c>
      <c r="AF626" t="s">
        <v>40</v>
      </c>
      <c r="AG626">
        <v>0</v>
      </c>
      <c r="AH626" t="s">
        <v>100</v>
      </c>
    </row>
    <row r="627" spans="1:34" x14ac:dyDescent="0.3">
      <c r="A627" t="s">
        <v>1137</v>
      </c>
      <c r="B627" t="s">
        <v>620</v>
      </c>
      <c r="C627" t="s">
        <v>52</v>
      </c>
      <c r="D627" t="s">
        <v>130</v>
      </c>
      <c r="E627" s="1">
        <v>45980</v>
      </c>
      <c r="F627" s="1">
        <v>45983</v>
      </c>
      <c r="G627" t="s">
        <v>81</v>
      </c>
      <c r="H627">
        <v>9761</v>
      </c>
      <c r="I627" t="s">
        <v>65</v>
      </c>
      <c r="J627" t="b">
        <v>0</v>
      </c>
      <c r="K627">
        <v>3</v>
      </c>
      <c r="L627">
        <v>11</v>
      </c>
      <c r="M627">
        <v>2025</v>
      </c>
      <c r="N627">
        <v>5</v>
      </c>
      <c r="O627">
        <v>11</v>
      </c>
      <c r="P627">
        <v>2025</v>
      </c>
      <c r="Q627">
        <v>2</v>
      </c>
      <c r="R627" t="s">
        <v>66</v>
      </c>
      <c r="S627" t="s">
        <v>45</v>
      </c>
      <c r="T627" t="s">
        <v>42</v>
      </c>
      <c r="U627" t="s">
        <v>40</v>
      </c>
      <c r="V627" t="s">
        <v>56</v>
      </c>
      <c r="W627" t="s">
        <v>57</v>
      </c>
      <c r="X627" t="s">
        <v>45</v>
      </c>
      <c r="Y627">
        <v>120</v>
      </c>
      <c r="Z627" t="s">
        <v>133</v>
      </c>
      <c r="AA627" t="s">
        <v>134</v>
      </c>
      <c r="AB627" s="1">
        <v>45983</v>
      </c>
      <c r="AC627" t="s">
        <v>66</v>
      </c>
      <c r="AD627" t="s">
        <v>40</v>
      </c>
      <c r="AE627" t="s">
        <v>86</v>
      </c>
      <c r="AF627" t="s">
        <v>40</v>
      </c>
      <c r="AG627">
        <v>0</v>
      </c>
      <c r="AH627" t="s">
        <v>100</v>
      </c>
    </row>
    <row r="628" spans="1:34" x14ac:dyDescent="0.3">
      <c r="A628" t="s">
        <v>1138</v>
      </c>
      <c r="B628" t="s">
        <v>1139</v>
      </c>
      <c r="C628" t="s">
        <v>89</v>
      </c>
      <c r="D628" t="s">
        <v>37</v>
      </c>
      <c r="E628" s="1">
        <v>45757</v>
      </c>
      <c r="F628" s="1">
        <v>45771</v>
      </c>
      <c r="G628" t="s">
        <v>64</v>
      </c>
      <c r="H628">
        <v>3853</v>
      </c>
      <c r="I628" t="s">
        <v>65</v>
      </c>
      <c r="J628" t="b">
        <v>0</v>
      </c>
      <c r="K628">
        <v>14</v>
      </c>
      <c r="L628">
        <v>4</v>
      </c>
      <c r="M628">
        <v>2025</v>
      </c>
      <c r="N628">
        <v>3</v>
      </c>
      <c r="O628">
        <v>4</v>
      </c>
      <c r="P628">
        <v>2025</v>
      </c>
      <c r="Q628">
        <v>3</v>
      </c>
      <c r="R628" t="s">
        <v>40</v>
      </c>
      <c r="S628" t="s">
        <v>45</v>
      </c>
      <c r="T628" t="s">
        <v>42</v>
      </c>
      <c r="U628" t="s">
        <v>40</v>
      </c>
      <c r="V628" t="s">
        <v>91</v>
      </c>
      <c r="W628" t="s">
        <v>92</v>
      </c>
      <c r="X628" t="s">
        <v>76</v>
      </c>
      <c r="Y628">
        <v>65</v>
      </c>
      <c r="Z628" t="s">
        <v>46</v>
      </c>
      <c r="AA628" t="s">
        <v>47</v>
      </c>
      <c r="AB628" s="1">
        <v>45771</v>
      </c>
      <c r="AC628" t="s">
        <v>40</v>
      </c>
      <c r="AD628" t="s">
        <v>40</v>
      </c>
      <c r="AE628" t="s">
        <v>69</v>
      </c>
      <c r="AF628" t="s">
        <v>40</v>
      </c>
      <c r="AG628">
        <v>0</v>
      </c>
      <c r="AH628" t="s">
        <v>70</v>
      </c>
    </row>
    <row r="629" spans="1:34" x14ac:dyDescent="0.3">
      <c r="A629" t="s">
        <v>1140</v>
      </c>
      <c r="B629" t="s">
        <v>361</v>
      </c>
      <c r="C629" t="s">
        <v>169</v>
      </c>
      <c r="D629" t="s">
        <v>90</v>
      </c>
      <c r="E629" s="1">
        <v>45813</v>
      </c>
      <c r="F629" s="1">
        <v>45873</v>
      </c>
      <c r="G629" t="s">
        <v>64</v>
      </c>
      <c r="H629">
        <v>4151</v>
      </c>
      <c r="I629" t="s">
        <v>65</v>
      </c>
      <c r="J629" t="b">
        <v>0</v>
      </c>
      <c r="K629">
        <v>60</v>
      </c>
      <c r="L629">
        <v>8</v>
      </c>
      <c r="M629">
        <v>2025</v>
      </c>
      <c r="N629">
        <v>0</v>
      </c>
      <c r="O629">
        <v>6</v>
      </c>
      <c r="P629">
        <v>2025</v>
      </c>
      <c r="Q629">
        <v>3</v>
      </c>
      <c r="R629" t="s">
        <v>40</v>
      </c>
      <c r="S629" t="s">
        <v>67</v>
      </c>
      <c r="T629" t="s">
        <v>286</v>
      </c>
      <c r="U629" t="s">
        <v>40</v>
      </c>
      <c r="V629" t="s">
        <v>170</v>
      </c>
      <c r="W629" t="s">
        <v>171</v>
      </c>
      <c r="X629" t="s">
        <v>126</v>
      </c>
      <c r="Y629">
        <v>90</v>
      </c>
      <c r="Z629" t="s">
        <v>93</v>
      </c>
      <c r="AA629" t="s">
        <v>94</v>
      </c>
      <c r="AB629" s="1">
        <v>45873</v>
      </c>
      <c r="AC629" t="s">
        <v>40</v>
      </c>
      <c r="AD629" t="s">
        <v>40</v>
      </c>
      <c r="AE629" t="s">
        <v>86</v>
      </c>
      <c r="AF629" t="s">
        <v>40</v>
      </c>
      <c r="AG629">
        <v>0</v>
      </c>
      <c r="AH629" t="s">
        <v>61</v>
      </c>
    </row>
    <row r="630" spans="1:34" x14ac:dyDescent="0.3">
      <c r="A630" t="s">
        <v>1141</v>
      </c>
      <c r="B630" t="s">
        <v>1142</v>
      </c>
      <c r="C630" t="s">
        <v>146</v>
      </c>
      <c r="D630" t="s">
        <v>37</v>
      </c>
      <c r="E630" s="1">
        <v>46281</v>
      </c>
      <c r="F630" s="1">
        <v>46311</v>
      </c>
      <c r="G630" t="s">
        <v>81</v>
      </c>
      <c r="H630">
        <v>9277</v>
      </c>
      <c r="I630" t="s">
        <v>39</v>
      </c>
      <c r="J630" t="b">
        <v>0</v>
      </c>
      <c r="K630">
        <v>30</v>
      </c>
      <c r="L630">
        <v>10</v>
      </c>
      <c r="M630">
        <v>2026</v>
      </c>
      <c r="N630">
        <v>4</v>
      </c>
      <c r="O630">
        <v>9</v>
      </c>
      <c r="P630">
        <v>2026</v>
      </c>
      <c r="Q630">
        <v>2</v>
      </c>
      <c r="R630" t="s">
        <v>40</v>
      </c>
      <c r="S630" t="s">
        <v>41</v>
      </c>
      <c r="T630" t="s">
        <v>286</v>
      </c>
      <c r="U630" t="s">
        <v>40</v>
      </c>
      <c r="V630" t="s">
        <v>147</v>
      </c>
      <c r="W630" t="s">
        <v>148</v>
      </c>
      <c r="X630" t="s">
        <v>45</v>
      </c>
      <c r="Y630">
        <v>160</v>
      </c>
      <c r="Z630" t="s">
        <v>46</v>
      </c>
      <c r="AA630" t="s">
        <v>47</v>
      </c>
      <c r="AB630" s="1">
        <v>46311</v>
      </c>
      <c r="AC630" t="s">
        <v>40</v>
      </c>
      <c r="AD630" t="s">
        <v>40</v>
      </c>
      <c r="AE630" t="s">
        <v>60</v>
      </c>
      <c r="AF630" t="s">
        <v>40</v>
      </c>
      <c r="AG630">
        <v>0</v>
      </c>
      <c r="AH630" t="s">
        <v>70</v>
      </c>
    </row>
    <row r="631" spans="1:34" x14ac:dyDescent="0.3">
      <c r="A631" t="s">
        <v>1143</v>
      </c>
      <c r="B631" t="s">
        <v>1144</v>
      </c>
      <c r="C631" t="s">
        <v>73</v>
      </c>
      <c r="D631" t="s">
        <v>90</v>
      </c>
      <c r="E631" s="1">
        <v>46283</v>
      </c>
      <c r="F631" s="1">
        <v>46313</v>
      </c>
      <c r="G631" t="s">
        <v>38</v>
      </c>
      <c r="H631">
        <v>29892</v>
      </c>
      <c r="I631" t="s">
        <v>212</v>
      </c>
      <c r="J631" t="b">
        <v>1</v>
      </c>
      <c r="K631">
        <v>30</v>
      </c>
      <c r="L631">
        <v>10</v>
      </c>
      <c r="M631">
        <v>2026</v>
      </c>
      <c r="N631">
        <v>6</v>
      </c>
      <c r="O631">
        <v>9</v>
      </c>
      <c r="P631">
        <v>2026</v>
      </c>
      <c r="Q631">
        <v>4</v>
      </c>
      <c r="R631" t="s">
        <v>66</v>
      </c>
      <c r="S631" t="s">
        <v>45</v>
      </c>
      <c r="T631" t="s">
        <v>42</v>
      </c>
      <c r="U631" t="s">
        <v>40</v>
      </c>
      <c r="V631" t="s">
        <v>74</v>
      </c>
      <c r="W631" t="s">
        <v>75</v>
      </c>
      <c r="X631" t="s">
        <v>76</v>
      </c>
      <c r="Y631">
        <v>75</v>
      </c>
      <c r="Z631" t="s">
        <v>93</v>
      </c>
      <c r="AA631" t="s">
        <v>94</v>
      </c>
      <c r="AB631" s="1">
        <v>46313</v>
      </c>
      <c r="AC631" t="s">
        <v>66</v>
      </c>
      <c r="AD631" t="s">
        <v>40</v>
      </c>
      <c r="AE631" t="s">
        <v>60</v>
      </c>
      <c r="AF631" t="s">
        <v>40</v>
      </c>
      <c r="AG631">
        <v>0</v>
      </c>
      <c r="AH631" t="s">
        <v>70</v>
      </c>
    </row>
    <row r="632" spans="1:34" x14ac:dyDescent="0.3">
      <c r="A632" t="s">
        <v>1145</v>
      </c>
      <c r="B632" t="s">
        <v>324</v>
      </c>
      <c r="C632" t="s">
        <v>122</v>
      </c>
      <c r="D632" t="s">
        <v>130</v>
      </c>
      <c r="E632" s="1">
        <v>46123</v>
      </c>
      <c r="F632" s="1">
        <v>46130</v>
      </c>
      <c r="G632" t="s">
        <v>81</v>
      </c>
      <c r="H632">
        <v>11222</v>
      </c>
      <c r="I632" t="s">
        <v>65</v>
      </c>
      <c r="J632" t="b">
        <v>0</v>
      </c>
      <c r="K632">
        <v>7</v>
      </c>
      <c r="L632">
        <v>4</v>
      </c>
      <c r="M632">
        <v>2026</v>
      </c>
      <c r="N632">
        <v>5</v>
      </c>
      <c r="O632">
        <v>4</v>
      </c>
      <c r="P632">
        <v>2026</v>
      </c>
      <c r="Q632">
        <v>5</v>
      </c>
      <c r="R632" t="s">
        <v>66</v>
      </c>
      <c r="S632" t="s">
        <v>67</v>
      </c>
      <c r="T632" t="s">
        <v>42</v>
      </c>
      <c r="U632" t="s">
        <v>66</v>
      </c>
      <c r="V632" t="s">
        <v>124</v>
      </c>
      <c r="W632" t="s">
        <v>125</v>
      </c>
      <c r="X632" t="s">
        <v>126</v>
      </c>
      <c r="Y632">
        <v>85</v>
      </c>
      <c r="Z632" t="s">
        <v>133</v>
      </c>
      <c r="AA632" t="s">
        <v>134</v>
      </c>
      <c r="AB632" s="1">
        <v>46130</v>
      </c>
      <c r="AC632" t="s">
        <v>66</v>
      </c>
      <c r="AD632" t="s">
        <v>40</v>
      </c>
      <c r="AE632" t="s">
        <v>69</v>
      </c>
      <c r="AF632" t="s">
        <v>40</v>
      </c>
      <c r="AG632">
        <v>0</v>
      </c>
      <c r="AH632" t="s">
        <v>100</v>
      </c>
    </row>
    <row r="633" spans="1:34" x14ac:dyDescent="0.3">
      <c r="A633" t="s">
        <v>1146</v>
      </c>
      <c r="B633" t="s">
        <v>550</v>
      </c>
      <c r="C633" t="s">
        <v>169</v>
      </c>
      <c r="D633" t="s">
        <v>104</v>
      </c>
      <c r="E633" s="1">
        <v>45920</v>
      </c>
      <c r="F633" s="1">
        <v>45980</v>
      </c>
      <c r="G633" t="s">
        <v>41</v>
      </c>
      <c r="H633">
        <v>6999</v>
      </c>
      <c r="I633" t="s">
        <v>39</v>
      </c>
      <c r="J633" t="b">
        <v>0</v>
      </c>
      <c r="K633">
        <v>60</v>
      </c>
      <c r="L633">
        <v>11</v>
      </c>
      <c r="M633">
        <v>2025</v>
      </c>
      <c r="N633">
        <v>2</v>
      </c>
      <c r="O633">
        <v>9</v>
      </c>
      <c r="P633">
        <v>2025</v>
      </c>
      <c r="Q633">
        <v>5</v>
      </c>
      <c r="R633" t="s">
        <v>40</v>
      </c>
      <c r="S633" t="s">
        <v>45</v>
      </c>
      <c r="T633" t="s">
        <v>42</v>
      </c>
      <c r="U633" t="s">
        <v>40</v>
      </c>
      <c r="V633" t="s">
        <v>170</v>
      </c>
      <c r="W633" t="s">
        <v>171</v>
      </c>
      <c r="X633" t="s">
        <v>126</v>
      </c>
      <c r="Y633">
        <v>90</v>
      </c>
      <c r="Z633" t="s">
        <v>107</v>
      </c>
      <c r="AA633" t="s">
        <v>108</v>
      </c>
      <c r="AB633" s="1">
        <v>45980</v>
      </c>
      <c r="AC633" t="s">
        <v>40</v>
      </c>
      <c r="AD633" t="s">
        <v>40</v>
      </c>
      <c r="AE633" t="s">
        <v>86</v>
      </c>
      <c r="AF633" t="s">
        <v>40</v>
      </c>
      <c r="AG633">
        <v>0</v>
      </c>
      <c r="AH633" t="s">
        <v>61</v>
      </c>
    </row>
    <row r="634" spans="1:34" x14ac:dyDescent="0.3">
      <c r="A634" t="s">
        <v>1147</v>
      </c>
      <c r="B634" t="s">
        <v>1148</v>
      </c>
      <c r="C634" t="s">
        <v>129</v>
      </c>
      <c r="D634" t="s">
        <v>90</v>
      </c>
      <c r="E634" s="1">
        <v>46109</v>
      </c>
      <c r="F634" s="1">
        <v>46123</v>
      </c>
      <c r="G634" t="s">
        <v>81</v>
      </c>
      <c r="H634">
        <v>10644</v>
      </c>
      <c r="I634" t="s">
        <v>65</v>
      </c>
      <c r="J634" t="b">
        <v>0</v>
      </c>
      <c r="K634">
        <v>14</v>
      </c>
      <c r="L634">
        <v>4</v>
      </c>
      <c r="M634">
        <v>2026</v>
      </c>
      <c r="N634">
        <v>5</v>
      </c>
      <c r="O634">
        <v>3</v>
      </c>
      <c r="P634">
        <v>2026</v>
      </c>
      <c r="Q634">
        <v>5</v>
      </c>
      <c r="R634" t="s">
        <v>66</v>
      </c>
      <c r="S634" t="s">
        <v>67</v>
      </c>
      <c r="T634" t="s">
        <v>42</v>
      </c>
      <c r="U634" t="s">
        <v>40</v>
      </c>
      <c r="V634" t="s">
        <v>131</v>
      </c>
      <c r="W634" t="s">
        <v>132</v>
      </c>
      <c r="X634" t="s">
        <v>45</v>
      </c>
      <c r="Y634">
        <v>110</v>
      </c>
      <c r="Z634" t="s">
        <v>93</v>
      </c>
      <c r="AA634" t="s">
        <v>94</v>
      </c>
      <c r="AB634" s="1">
        <v>46123</v>
      </c>
      <c r="AC634" t="s">
        <v>66</v>
      </c>
      <c r="AD634" t="s">
        <v>40</v>
      </c>
      <c r="AE634" t="s">
        <v>69</v>
      </c>
      <c r="AF634" t="s">
        <v>40</v>
      </c>
      <c r="AG634">
        <v>0</v>
      </c>
      <c r="AH634" t="s">
        <v>70</v>
      </c>
    </row>
    <row r="635" spans="1:34" x14ac:dyDescent="0.3">
      <c r="A635" t="s">
        <v>1149</v>
      </c>
      <c r="B635" t="s">
        <v>1150</v>
      </c>
      <c r="C635" t="s">
        <v>129</v>
      </c>
      <c r="D635" t="s">
        <v>130</v>
      </c>
      <c r="E635" s="1">
        <v>45908</v>
      </c>
      <c r="F635" s="1">
        <v>45968</v>
      </c>
      <c r="G635" t="s">
        <v>64</v>
      </c>
      <c r="H635">
        <v>3947</v>
      </c>
      <c r="I635" t="s">
        <v>39</v>
      </c>
      <c r="J635" t="b">
        <v>0</v>
      </c>
      <c r="K635">
        <v>60</v>
      </c>
      <c r="L635">
        <v>11</v>
      </c>
      <c r="M635">
        <v>2025</v>
      </c>
      <c r="N635">
        <v>4</v>
      </c>
      <c r="O635">
        <v>9</v>
      </c>
      <c r="P635">
        <v>2025</v>
      </c>
      <c r="Q635">
        <v>0</v>
      </c>
      <c r="R635" t="s">
        <v>40</v>
      </c>
      <c r="S635" t="s">
        <v>41</v>
      </c>
      <c r="T635" t="s">
        <v>42</v>
      </c>
      <c r="U635" t="s">
        <v>40</v>
      </c>
      <c r="V635" t="s">
        <v>131</v>
      </c>
      <c r="W635" t="s">
        <v>132</v>
      </c>
      <c r="X635" t="s">
        <v>45</v>
      </c>
      <c r="Y635">
        <v>110</v>
      </c>
      <c r="Z635" t="s">
        <v>133</v>
      </c>
      <c r="AA635" t="s">
        <v>134</v>
      </c>
      <c r="AB635" s="1">
        <v>45968</v>
      </c>
      <c r="AC635" t="s">
        <v>40</v>
      </c>
      <c r="AD635" t="s">
        <v>40</v>
      </c>
      <c r="AE635" t="s">
        <v>86</v>
      </c>
      <c r="AF635" t="s">
        <v>40</v>
      </c>
      <c r="AG635">
        <v>0</v>
      </c>
      <c r="AH635" t="s">
        <v>61</v>
      </c>
    </row>
    <row r="636" spans="1:34" x14ac:dyDescent="0.3">
      <c r="A636" t="s">
        <v>1151</v>
      </c>
      <c r="B636" t="s">
        <v>1152</v>
      </c>
      <c r="C636" t="s">
        <v>122</v>
      </c>
      <c r="D636" t="s">
        <v>37</v>
      </c>
      <c r="E636" s="1">
        <v>45753</v>
      </c>
      <c r="F636" s="1">
        <v>45767</v>
      </c>
      <c r="G636" t="s">
        <v>41</v>
      </c>
      <c r="H636">
        <v>5351</v>
      </c>
      <c r="I636" t="s">
        <v>212</v>
      </c>
      <c r="J636" t="b">
        <v>0</v>
      </c>
      <c r="K636">
        <v>14</v>
      </c>
      <c r="L636">
        <v>4</v>
      </c>
      <c r="M636">
        <v>2025</v>
      </c>
      <c r="N636">
        <v>6</v>
      </c>
      <c r="O636">
        <v>4</v>
      </c>
      <c r="P636">
        <v>2025</v>
      </c>
      <c r="Q636">
        <v>6</v>
      </c>
      <c r="R636" t="s">
        <v>66</v>
      </c>
      <c r="S636" t="s">
        <v>45</v>
      </c>
      <c r="T636" t="s">
        <v>42</v>
      </c>
      <c r="U636" t="s">
        <v>66</v>
      </c>
      <c r="V636" t="s">
        <v>124</v>
      </c>
      <c r="W636" t="s">
        <v>125</v>
      </c>
      <c r="X636" t="s">
        <v>126</v>
      </c>
      <c r="Y636">
        <v>85</v>
      </c>
      <c r="Z636" t="s">
        <v>46</v>
      </c>
      <c r="AA636" t="s">
        <v>47</v>
      </c>
      <c r="AB636" s="1">
        <v>45767</v>
      </c>
      <c r="AC636" t="s">
        <v>66</v>
      </c>
      <c r="AD636" t="s">
        <v>40</v>
      </c>
      <c r="AE636" t="s">
        <v>69</v>
      </c>
      <c r="AF636" t="s">
        <v>40</v>
      </c>
      <c r="AG636">
        <v>0</v>
      </c>
      <c r="AH636" t="s">
        <v>70</v>
      </c>
    </row>
    <row r="637" spans="1:34" x14ac:dyDescent="0.3">
      <c r="A637" t="s">
        <v>1153</v>
      </c>
      <c r="B637" t="s">
        <v>1154</v>
      </c>
      <c r="C637" t="s">
        <v>103</v>
      </c>
      <c r="D637" t="s">
        <v>90</v>
      </c>
      <c r="E637" s="1">
        <v>46069</v>
      </c>
      <c r="F637" s="1">
        <v>46083</v>
      </c>
      <c r="G637" t="s">
        <v>81</v>
      </c>
      <c r="H637">
        <v>8241</v>
      </c>
      <c r="I637" t="s">
        <v>54</v>
      </c>
      <c r="J637" t="b">
        <v>0</v>
      </c>
      <c r="K637">
        <v>14</v>
      </c>
      <c r="L637">
        <v>3</v>
      </c>
      <c r="M637">
        <v>2026</v>
      </c>
      <c r="N637">
        <v>0</v>
      </c>
      <c r="O637">
        <v>2</v>
      </c>
      <c r="P637">
        <v>2026</v>
      </c>
      <c r="Q637">
        <v>0</v>
      </c>
      <c r="R637" t="s">
        <v>40</v>
      </c>
      <c r="S637" t="s">
        <v>55</v>
      </c>
      <c r="T637" t="s">
        <v>42</v>
      </c>
      <c r="U637" t="s">
        <v>40</v>
      </c>
      <c r="V637" t="s">
        <v>105</v>
      </c>
      <c r="W637" t="s">
        <v>106</v>
      </c>
      <c r="X637" t="s">
        <v>45</v>
      </c>
      <c r="Y637">
        <v>140</v>
      </c>
      <c r="Z637" t="s">
        <v>93</v>
      </c>
      <c r="AA637" t="s">
        <v>94</v>
      </c>
      <c r="AB637" s="1">
        <v>46083</v>
      </c>
      <c r="AC637" t="s">
        <v>40</v>
      </c>
      <c r="AD637" t="s">
        <v>40</v>
      </c>
      <c r="AE637" t="s">
        <v>60</v>
      </c>
      <c r="AF637" t="s">
        <v>40</v>
      </c>
      <c r="AG637">
        <v>1</v>
      </c>
      <c r="AH637" t="s">
        <v>70</v>
      </c>
    </row>
    <row r="638" spans="1:34" x14ac:dyDescent="0.3">
      <c r="A638" t="s">
        <v>1155</v>
      </c>
      <c r="B638" t="s">
        <v>716</v>
      </c>
      <c r="C638" t="s">
        <v>52</v>
      </c>
      <c r="D638" t="s">
        <v>80</v>
      </c>
      <c r="E638" s="1">
        <v>45817</v>
      </c>
      <c r="F638" s="1">
        <v>45967</v>
      </c>
      <c r="G638" t="s">
        <v>38</v>
      </c>
      <c r="H638">
        <v>5827</v>
      </c>
      <c r="I638" t="s">
        <v>54</v>
      </c>
      <c r="J638" t="b">
        <v>0</v>
      </c>
      <c r="K638">
        <v>150</v>
      </c>
      <c r="L638">
        <v>11</v>
      </c>
      <c r="M638">
        <v>2025</v>
      </c>
      <c r="N638">
        <v>3</v>
      </c>
      <c r="O638">
        <v>6</v>
      </c>
      <c r="P638">
        <v>2025</v>
      </c>
      <c r="Q638">
        <v>0</v>
      </c>
      <c r="R638" t="s">
        <v>40</v>
      </c>
      <c r="S638" t="s">
        <v>45</v>
      </c>
      <c r="T638" t="s">
        <v>113</v>
      </c>
      <c r="U638" t="s">
        <v>40</v>
      </c>
      <c r="V638" t="s">
        <v>56</v>
      </c>
      <c r="W638" t="s">
        <v>57</v>
      </c>
      <c r="X638" t="s">
        <v>45</v>
      </c>
      <c r="Y638">
        <v>120</v>
      </c>
      <c r="Z638" t="s">
        <v>84</v>
      </c>
      <c r="AA638" t="s">
        <v>85</v>
      </c>
      <c r="AB638" s="1">
        <v>45967</v>
      </c>
      <c r="AC638" t="s">
        <v>40</v>
      </c>
      <c r="AD638" t="s">
        <v>40</v>
      </c>
      <c r="AE638" t="s">
        <v>86</v>
      </c>
      <c r="AF638" t="s">
        <v>40</v>
      </c>
      <c r="AG638">
        <v>1</v>
      </c>
      <c r="AH638" t="s">
        <v>49</v>
      </c>
    </row>
    <row r="639" spans="1:34" x14ac:dyDescent="0.3">
      <c r="A639" t="s">
        <v>1156</v>
      </c>
      <c r="B639" t="s">
        <v>749</v>
      </c>
      <c r="C639" t="s">
        <v>103</v>
      </c>
      <c r="D639" t="s">
        <v>104</v>
      </c>
      <c r="E639" s="1">
        <v>45876</v>
      </c>
      <c r="F639" s="1">
        <v>45877</v>
      </c>
      <c r="G639" t="s">
        <v>64</v>
      </c>
      <c r="H639">
        <v>2752</v>
      </c>
      <c r="I639" t="s">
        <v>54</v>
      </c>
      <c r="J639" t="b">
        <v>0</v>
      </c>
      <c r="K639">
        <v>1</v>
      </c>
      <c r="L639">
        <v>8</v>
      </c>
      <c r="M639">
        <v>2025</v>
      </c>
      <c r="N639">
        <v>4</v>
      </c>
      <c r="O639">
        <v>8</v>
      </c>
      <c r="P639">
        <v>2025</v>
      </c>
      <c r="Q639">
        <v>3</v>
      </c>
      <c r="R639" t="s">
        <v>40</v>
      </c>
      <c r="S639" t="s">
        <v>45</v>
      </c>
      <c r="T639" t="s">
        <v>42</v>
      </c>
      <c r="U639" t="s">
        <v>40</v>
      </c>
      <c r="V639" t="s">
        <v>105</v>
      </c>
      <c r="W639" t="s">
        <v>106</v>
      </c>
      <c r="X639" t="s">
        <v>45</v>
      </c>
      <c r="Y639">
        <v>140</v>
      </c>
      <c r="Z639" t="s">
        <v>107</v>
      </c>
      <c r="AA639" t="s">
        <v>108</v>
      </c>
      <c r="AB639" s="1">
        <v>45877</v>
      </c>
      <c r="AC639" t="s">
        <v>40</v>
      </c>
      <c r="AD639" t="s">
        <v>40</v>
      </c>
      <c r="AE639" t="s">
        <v>86</v>
      </c>
      <c r="AF639" t="s">
        <v>40</v>
      </c>
      <c r="AG639">
        <v>1</v>
      </c>
      <c r="AH639" t="s">
        <v>100</v>
      </c>
    </row>
    <row r="640" spans="1:34" x14ac:dyDescent="0.3">
      <c r="A640" t="s">
        <v>1157</v>
      </c>
      <c r="B640" t="s">
        <v>275</v>
      </c>
      <c r="C640" t="s">
        <v>36</v>
      </c>
      <c r="D640" t="s">
        <v>53</v>
      </c>
      <c r="E640" s="1">
        <v>46120</v>
      </c>
      <c r="F640" s="1">
        <v>46220</v>
      </c>
      <c r="G640" t="s">
        <v>38</v>
      </c>
      <c r="H640">
        <v>3720</v>
      </c>
      <c r="I640" t="s">
        <v>54</v>
      </c>
      <c r="J640" t="b">
        <v>0</v>
      </c>
      <c r="K640">
        <v>100</v>
      </c>
      <c r="L640">
        <v>7</v>
      </c>
      <c r="M640">
        <v>2026</v>
      </c>
      <c r="N640">
        <v>4</v>
      </c>
      <c r="O640">
        <v>4</v>
      </c>
      <c r="P640">
        <v>2026</v>
      </c>
      <c r="Q640">
        <v>2</v>
      </c>
      <c r="R640" t="s">
        <v>40</v>
      </c>
      <c r="S640" t="s">
        <v>55</v>
      </c>
      <c r="T640" t="s">
        <v>42</v>
      </c>
      <c r="U640" t="s">
        <v>66</v>
      </c>
      <c r="V640" t="s">
        <v>43</v>
      </c>
      <c r="W640" t="s">
        <v>44</v>
      </c>
      <c r="X640" t="s">
        <v>45</v>
      </c>
      <c r="Y640">
        <v>150</v>
      </c>
      <c r="Z640" t="s">
        <v>58</v>
      </c>
      <c r="AA640" t="s">
        <v>59</v>
      </c>
      <c r="AB640" s="1">
        <v>46220</v>
      </c>
      <c r="AC640" t="s">
        <v>40</v>
      </c>
      <c r="AD640" t="s">
        <v>40</v>
      </c>
      <c r="AE640" t="s">
        <v>86</v>
      </c>
      <c r="AF640" t="s">
        <v>40</v>
      </c>
      <c r="AG640">
        <v>1</v>
      </c>
      <c r="AH640" t="s">
        <v>49</v>
      </c>
    </row>
    <row r="641" spans="1:34" x14ac:dyDescent="0.3">
      <c r="A641" t="s">
        <v>1158</v>
      </c>
      <c r="B641" t="s">
        <v>1159</v>
      </c>
      <c r="C641" t="s">
        <v>97</v>
      </c>
      <c r="D641" t="s">
        <v>90</v>
      </c>
      <c r="E641" s="1">
        <v>46015</v>
      </c>
      <c r="F641" s="1">
        <v>46165</v>
      </c>
      <c r="G641" t="s">
        <v>41</v>
      </c>
      <c r="H641">
        <v>6452</v>
      </c>
      <c r="I641" t="s">
        <v>65</v>
      </c>
      <c r="J641" t="b">
        <v>0</v>
      </c>
      <c r="K641">
        <v>150</v>
      </c>
      <c r="L641">
        <v>5</v>
      </c>
      <c r="M641">
        <v>2026</v>
      </c>
      <c r="N641">
        <v>5</v>
      </c>
      <c r="O641">
        <v>12</v>
      </c>
      <c r="P641">
        <v>2025</v>
      </c>
      <c r="Q641">
        <v>2</v>
      </c>
      <c r="R641" t="s">
        <v>66</v>
      </c>
      <c r="S641" t="s">
        <v>55</v>
      </c>
      <c r="T641" t="s">
        <v>123</v>
      </c>
      <c r="U641" t="s">
        <v>40</v>
      </c>
      <c r="V641" t="s">
        <v>98</v>
      </c>
      <c r="W641" t="s">
        <v>99</v>
      </c>
      <c r="X641" t="s">
        <v>76</v>
      </c>
      <c r="Y641">
        <v>80</v>
      </c>
      <c r="Z641" t="s">
        <v>93</v>
      </c>
      <c r="AA641" t="s">
        <v>94</v>
      </c>
      <c r="AB641" s="1">
        <v>46165</v>
      </c>
      <c r="AC641" t="s">
        <v>66</v>
      </c>
      <c r="AD641" t="s">
        <v>40</v>
      </c>
      <c r="AE641" t="s">
        <v>69</v>
      </c>
      <c r="AF641" t="s">
        <v>40</v>
      </c>
      <c r="AG641">
        <v>0</v>
      </c>
      <c r="AH641" t="s">
        <v>49</v>
      </c>
    </row>
    <row r="642" spans="1:34" x14ac:dyDescent="0.3">
      <c r="A642" t="s">
        <v>1160</v>
      </c>
      <c r="B642" t="s">
        <v>1161</v>
      </c>
      <c r="C642" t="s">
        <v>155</v>
      </c>
      <c r="D642" t="s">
        <v>90</v>
      </c>
      <c r="E642" s="1">
        <v>45737</v>
      </c>
      <c r="F642" s="1">
        <v>45797</v>
      </c>
      <c r="G642" t="s">
        <v>38</v>
      </c>
      <c r="H642">
        <v>4796</v>
      </c>
      <c r="I642" t="s">
        <v>39</v>
      </c>
      <c r="J642" t="b">
        <v>0</v>
      </c>
      <c r="K642">
        <v>60</v>
      </c>
      <c r="L642">
        <v>5</v>
      </c>
      <c r="M642">
        <v>2025</v>
      </c>
      <c r="N642">
        <v>1</v>
      </c>
      <c r="O642">
        <v>3</v>
      </c>
      <c r="P642">
        <v>2025</v>
      </c>
      <c r="Q642">
        <v>4</v>
      </c>
      <c r="R642" t="s">
        <v>40</v>
      </c>
      <c r="S642" t="s">
        <v>45</v>
      </c>
      <c r="T642" t="s">
        <v>68</v>
      </c>
      <c r="U642" t="s">
        <v>40</v>
      </c>
      <c r="V642" t="s">
        <v>156</v>
      </c>
      <c r="W642" t="s">
        <v>157</v>
      </c>
      <c r="X642" t="s">
        <v>158</v>
      </c>
      <c r="Y642">
        <v>70</v>
      </c>
      <c r="Z642" t="s">
        <v>93</v>
      </c>
      <c r="AA642" t="s">
        <v>94</v>
      </c>
      <c r="AB642" s="1">
        <v>45797</v>
      </c>
      <c r="AC642" t="s">
        <v>40</v>
      </c>
      <c r="AD642" t="s">
        <v>40</v>
      </c>
      <c r="AE642" t="s">
        <v>69</v>
      </c>
      <c r="AF642" t="s">
        <v>40</v>
      </c>
      <c r="AG642">
        <v>0</v>
      </c>
      <c r="AH642" t="s">
        <v>61</v>
      </c>
    </row>
    <row r="643" spans="1:34" x14ac:dyDescent="0.3">
      <c r="A643" t="s">
        <v>1162</v>
      </c>
      <c r="B643" t="s">
        <v>644</v>
      </c>
      <c r="C643" t="s">
        <v>36</v>
      </c>
      <c r="D643" t="s">
        <v>37</v>
      </c>
      <c r="E643" s="1">
        <v>46074</v>
      </c>
      <c r="F643" s="1">
        <v>46081</v>
      </c>
      <c r="G643" t="s">
        <v>64</v>
      </c>
      <c r="H643">
        <v>4131</v>
      </c>
      <c r="I643" t="s">
        <v>39</v>
      </c>
      <c r="J643" t="b">
        <v>0</v>
      </c>
      <c r="K643">
        <v>7</v>
      </c>
      <c r="L643">
        <v>2</v>
      </c>
      <c r="M643">
        <v>2026</v>
      </c>
      <c r="N643">
        <v>5</v>
      </c>
      <c r="O643">
        <v>2</v>
      </c>
      <c r="P643">
        <v>2026</v>
      </c>
      <c r="Q643">
        <v>5</v>
      </c>
      <c r="R643" t="s">
        <v>66</v>
      </c>
      <c r="S643" t="s">
        <v>41</v>
      </c>
      <c r="T643" t="s">
        <v>139</v>
      </c>
      <c r="U643" t="s">
        <v>40</v>
      </c>
      <c r="V643" t="s">
        <v>43</v>
      </c>
      <c r="W643" t="s">
        <v>44</v>
      </c>
      <c r="X643" t="s">
        <v>45</v>
      </c>
      <c r="Y643">
        <v>150</v>
      </c>
      <c r="Z643" t="s">
        <v>46</v>
      </c>
      <c r="AA643" t="s">
        <v>47</v>
      </c>
      <c r="AB643" s="1">
        <v>46081</v>
      </c>
      <c r="AC643" t="s">
        <v>66</v>
      </c>
      <c r="AD643" t="s">
        <v>40</v>
      </c>
      <c r="AE643" t="s">
        <v>60</v>
      </c>
      <c r="AF643" t="s">
        <v>40</v>
      </c>
      <c r="AG643">
        <v>0</v>
      </c>
      <c r="AH643" t="s">
        <v>100</v>
      </c>
    </row>
    <row r="644" spans="1:34" x14ac:dyDescent="0.3">
      <c r="A644" t="s">
        <v>1163</v>
      </c>
      <c r="B644" t="s">
        <v>1029</v>
      </c>
      <c r="C644" t="s">
        <v>103</v>
      </c>
      <c r="D644" t="s">
        <v>37</v>
      </c>
      <c r="E644" s="1">
        <v>46217</v>
      </c>
      <c r="F644" s="1">
        <v>46277</v>
      </c>
      <c r="G644" t="s">
        <v>41</v>
      </c>
      <c r="H644">
        <v>8980</v>
      </c>
      <c r="I644" t="s">
        <v>39</v>
      </c>
      <c r="J644" t="b">
        <v>0</v>
      </c>
      <c r="K644">
        <v>60</v>
      </c>
      <c r="L644">
        <v>9</v>
      </c>
      <c r="M644">
        <v>2026</v>
      </c>
      <c r="N644">
        <v>5</v>
      </c>
      <c r="O644">
        <v>7</v>
      </c>
      <c r="P644">
        <v>2026</v>
      </c>
      <c r="Q644">
        <v>1</v>
      </c>
      <c r="R644" t="s">
        <v>66</v>
      </c>
      <c r="S644" t="s">
        <v>45</v>
      </c>
      <c r="T644" t="s">
        <v>42</v>
      </c>
      <c r="U644" t="s">
        <v>40</v>
      </c>
      <c r="V644" t="s">
        <v>105</v>
      </c>
      <c r="W644" t="s">
        <v>106</v>
      </c>
      <c r="X644" t="s">
        <v>45</v>
      </c>
      <c r="Y644">
        <v>140</v>
      </c>
      <c r="Z644" t="s">
        <v>46</v>
      </c>
      <c r="AA644" t="s">
        <v>47</v>
      </c>
      <c r="AB644" s="1">
        <v>46277</v>
      </c>
      <c r="AC644" t="s">
        <v>66</v>
      </c>
      <c r="AD644" t="s">
        <v>40</v>
      </c>
      <c r="AE644" t="s">
        <v>60</v>
      </c>
      <c r="AF644" t="s">
        <v>40</v>
      </c>
      <c r="AG644">
        <v>0</v>
      </c>
      <c r="AH644" t="s">
        <v>61</v>
      </c>
    </row>
    <row r="645" spans="1:34" x14ac:dyDescent="0.3">
      <c r="A645" t="s">
        <v>1164</v>
      </c>
      <c r="B645" t="s">
        <v>703</v>
      </c>
      <c r="C645" t="s">
        <v>52</v>
      </c>
      <c r="D645" t="s">
        <v>53</v>
      </c>
      <c r="E645" s="1">
        <v>45972</v>
      </c>
      <c r="F645" s="1">
        <v>46002</v>
      </c>
      <c r="G645" t="s">
        <v>64</v>
      </c>
      <c r="H645">
        <v>3528</v>
      </c>
      <c r="I645" t="s">
        <v>39</v>
      </c>
      <c r="J645" t="b">
        <v>0</v>
      </c>
      <c r="K645">
        <v>30</v>
      </c>
      <c r="L645">
        <v>12</v>
      </c>
      <c r="M645">
        <v>2025</v>
      </c>
      <c r="N645">
        <v>3</v>
      </c>
      <c r="O645">
        <v>11</v>
      </c>
      <c r="P645">
        <v>2025</v>
      </c>
      <c r="Q645">
        <v>1</v>
      </c>
      <c r="R645" t="s">
        <v>40</v>
      </c>
      <c r="S645" t="s">
        <v>55</v>
      </c>
      <c r="T645" t="s">
        <v>123</v>
      </c>
      <c r="U645" t="s">
        <v>40</v>
      </c>
      <c r="V645" t="s">
        <v>56</v>
      </c>
      <c r="W645" t="s">
        <v>57</v>
      </c>
      <c r="X645" t="s">
        <v>45</v>
      </c>
      <c r="Y645">
        <v>120</v>
      </c>
      <c r="Z645" t="s">
        <v>58</v>
      </c>
      <c r="AA645" t="s">
        <v>59</v>
      </c>
      <c r="AB645" s="1">
        <v>46002</v>
      </c>
      <c r="AC645" t="s">
        <v>40</v>
      </c>
      <c r="AD645" t="s">
        <v>40</v>
      </c>
      <c r="AE645" t="s">
        <v>69</v>
      </c>
      <c r="AF645" t="s">
        <v>40</v>
      </c>
      <c r="AG645">
        <v>0</v>
      </c>
      <c r="AH645" t="s">
        <v>70</v>
      </c>
    </row>
    <row r="646" spans="1:34" x14ac:dyDescent="0.3">
      <c r="A646" t="s">
        <v>1165</v>
      </c>
      <c r="B646" t="s">
        <v>263</v>
      </c>
      <c r="C646" t="s">
        <v>36</v>
      </c>
      <c r="D646" t="s">
        <v>90</v>
      </c>
      <c r="E646" s="1">
        <v>46127</v>
      </c>
      <c r="F646" s="1">
        <v>46141</v>
      </c>
      <c r="G646" t="s">
        <v>38</v>
      </c>
      <c r="H646">
        <v>4166</v>
      </c>
      <c r="I646" t="s">
        <v>65</v>
      </c>
      <c r="J646" t="b">
        <v>0</v>
      </c>
      <c r="K646">
        <v>14</v>
      </c>
      <c r="L646">
        <v>4</v>
      </c>
      <c r="M646">
        <v>2026</v>
      </c>
      <c r="N646">
        <v>2</v>
      </c>
      <c r="O646">
        <v>4</v>
      </c>
      <c r="P646">
        <v>2026</v>
      </c>
      <c r="Q646">
        <v>2</v>
      </c>
      <c r="R646" t="s">
        <v>40</v>
      </c>
      <c r="S646" t="s">
        <v>55</v>
      </c>
      <c r="T646" t="s">
        <v>42</v>
      </c>
      <c r="U646" t="s">
        <v>66</v>
      </c>
      <c r="V646" t="s">
        <v>43</v>
      </c>
      <c r="W646" t="s">
        <v>44</v>
      </c>
      <c r="X646" t="s">
        <v>45</v>
      </c>
      <c r="Y646">
        <v>150</v>
      </c>
      <c r="Z646" t="s">
        <v>93</v>
      </c>
      <c r="AA646" t="s">
        <v>94</v>
      </c>
      <c r="AB646" s="1">
        <v>46141</v>
      </c>
      <c r="AC646" t="s">
        <v>40</v>
      </c>
      <c r="AD646" t="s">
        <v>40</v>
      </c>
      <c r="AE646" t="s">
        <v>69</v>
      </c>
      <c r="AF646" t="s">
        <v>40</v>
      </c>
      <c r="AG646">
        <v>0</v>
      </c>
      <c r="AH646" t="s">
        <v>70</v>
      </c>
    </row>
    <row r="647" spans="1:34" x14ac:dyDescent="0.3">
      <c r="A647" t="s">
        <v>1166</v>
      </c>
      <c r="B647" t="s">
        <v>1167</v>
      </c>
      <c r="C647" t="s">
        <v>129</v>
      </c>
      <c r="D647" t="s">
        <v>53</v>
      </c>
      <c r="E647" s="1">
        <v>46293</v>
      </c>
      <c r="F647" s="1">
        <v>46443</v>
      </c>
      <c r="G647" t="s">
        <v>64</v>
      </c>
      <c r="H647">
        <v>3850</v>
      </c>
      <c r="I647" t="s">
        <v>39</v>
      </c>
      <c r="J647" t="b">
        <v>0</v>
      </c>
      <c r="K647">
        <v>150</v>
      </c>
      <c r="L647">
        <v>2</v>
      </c>
      <c r="M647">
        <v>2027</v>
      </c>
      <c r="N647">
        <v>3</v>
      </c>
      <c r="O647">
        <v>9</v>
      </c>
      <c r="P647">
        <v>2026</v>
      </c>
      <c r="Q647">
        <v>0</v>
      </c>
      <c r="R647" t="s">
        <v>40</v>
      </c>
      <c r="S647" t="s">
        <v>55</v>
      </c>
      <c r="T647" t="s">
        <v>123</v>
      </c>
      <c r="U647" t="s">
        <v>40</v>
      </c>
      <c r="V647" t="s">
        <v>131</v>
      </c>
      <c r="W647" t="s">
        <v>132</v>
      </c>
      <c r="X647" t="s">
        <v>45</v>
      </c>
      <c r="Y647">
        <v>110</v>
      </c>
      <c r="Z647" t="s">
        <v>58</v>
      </c>
      <c r="AA647" t="s">
        <v>59</v>
      </c>
      <c r="AB647" s="1"/>
      <c r="AC647" t="s">
        <v>48</v>
      </c>
      <c r="AD647" t="s">
        <v>48</v>
      </c>
      <c r="AE647" t="s">
        <v>48</v>
      </c>
      <c r="AF647" t="s">
        <v>48</v>
      </c>
      <c r="AG647">
        <v>0</v>
      </c>
      <c r="AH647" t="s">
        <v>49</v>
      </c>
    </row>
    <row r="648" spans="1:34" x14ac:dyDescent="0.3">
      <c r="A648" t="s">
        <v>1168</v>
      </c>
      <c r="B648" t="s">
        <v>346</v>
      </c>
      <c r="C648" t="s">
        <v>146</v>
      </c>
      <c r="D648" t="s">
        <v>130</v>
      </c>
      <c r="E648" s="1">
        <v>46306</v>
      </c>
      <c r="F648" s="1">
        <v>46320</v>
      </c>
      <c r="G648" t="s">
        <v>64</v>
      </c>
      <c r="H648">
        <v>3944</v>
      </c>
      <c r="I648" t="s">
        <v>39</v>
      </c>
      <c r="J648" t="b">
        <v>0</v>
      </c>
      <c r="K648">
        <v>14</v>
      </c>
      <c r="L648">
        <v>10</v>
      </c>
      <c r="M648">
        <v>2026</v>
      </c>
      <c r="N648">
        <v>6</v>
      </c>
      <c r="O648">
        <v>10</v>
      </c>
      <c r="P648">
        <v>2026</v>
      </c>
      <c r="Q648">
        <v>6</v>
      </c>
      <c r="R648" t="s">
        <v>66</v>
      </c>
      <c r="S648" t="s">
        <v>45</v>
      </c>
      <c r="T648" t="s">
        <v>42</v>
      </c>
      <c r="U648" t="s">
        <v>66</v>
      </c>
      <c r="V648" t="s">
        <v>147</v>
      </c>
      <c r="W648" t="s">
        <v>148</v>
      </c>
      <c r="X648" t="s">
        <v>45</v>
      </c>
      <c r="Y648">
        <v>160</v>
      </c>
      <c r="Z648" t="s">
        <v>133</v>
      </c>
      <c r="AA648" t="s">
        <v>134</v>
      </c>
      <c r="AB648" s="1">
        <v>46320</v>
      </c>
      <c r="AC648" t="s">
        <v>66</v>
      </c>
      <c r="AD648" t="s">
        <v>40</v>
      </c>
      <c r="AE648" t="s">
        <v>60</v>
      </c>
      <c r="AF648" t="s">
        <v>40</v>
      </c>
      <c r="AG648">
        <v>0</v>
      </c>
      <c r="AH648" t="s">
        <v>70</v>
      </c>
    </row>
    <row r="649" spans="1:34" x14ac:dyDescent="0.3">
      <c r="A649" t="s">
        <v>1169</v>
      </c>
      <c r="B649" t="s">
        <v>657</v>
      </c>
      <c r="C649" t="s">
        <v>36</v>
      </c>
      <c r="D649" t="s">
        <v>53</v>
      </c>
      <c r="E649" s="1">
        <v>46133</v>
      </c>
      <c r="F649" s="1">
        <v>46147</v>
      </c>
      <c r="G649" t="s">
        <v>41</v>
      </c>
      <c r="H649">
        <v>7078</v>
      </c>
      <c r="I649" t="s">
        <v>39</v>
      </c>
      <c r="J649" t="b">
        <v>0</v>
      </c>
      <c r="K649">
        <v>14</v>
      </c>
      <c r="L649">
        <v>5</v>
      </c>
      <c r="M649">
        <v>2026</v>
      </c>
      <c r="N649">
        <v>1</v>
      </c>
      <c r="O649">
        <v>4</v>
      </c>
      <c r="P649">
        <v>2026</v>
      </c>
      <c r="Q649">
        <v>1</v>
      </c>
      <c r="R649" t="s">
        <v>40</v>
      </c>
      <c r="S649" t="s">
        <v>55</v>
      </c>
      <c r="T649" t="s">
        <v>123</v>
      </c>
      <c r="U649" t="s">
        <v>40</v>
      </c>
      <c r="V649" t="s">
        <v>43</v>
      </c>
      <c r="W649" t="s">
        <v>44</v>
      </c>
      <c r="X649" t="s">
        <v>45</v>
      </c>
      <c r="Y649">
        <v>150</v>
      </c>
      <c r="Z649" t="s">
        <v>58</v>
      </c>
      <c r="AA649" t="s">
        <v>59</v>
      </c>
      <c r="AB649" s="1">
        <v>46147</v>
      </c>
      <c r="AC649" t="s">
        <v>40</v>
      </c>
      <c r="AD649" t="s">
        <v>40</v>
      </c>
      <c r="AE649" t="s">
        <v>69</v>
      </c>
      <c r="AF649" t="s">
        <v>40</v>
      </c>
      <c r="AG649">
        <v>0</v>
      </c>
      <c r="AH649" t="s">
        <v>70</v>
      </c>
    </row>
    <row r="650" spans="1:34" x14ac:dyDescent="0.3">
      <c r="A650" t="s">
        <v>1170</v>
      </c>
      <c r="B650" t="s">
        <v>742</v>
      </c>
      <c r="C650" t="s">
        <v>129</v>
      </c>
      <c r="D650" t="s">
        <v>90</v>
      </c>
      <c r="E650" s="1">
        <v>45662</v>
      </c>
      <c r="F650" s="1">
        <v>45762</v>
      </c>
      <c r="G650" t="s">
        <v>41</v>
      </c>
      <c r="H650">
        <v>8237</v>
      </c>
      <c r="I650" t="s">
        <v>65</v>
      </c>
      <c r="J650" t="b">
        <v>0</v>
      </c>
      <c r="K650">
        <v>100</v>
      </c>
      <c r="L650">
        <v>4</v>
      </c>
      <c r="M650">
        <v>2025</v>
      </c>
      <c r="N650">
        <v>1</v>
      </c>
      <c r="O650">
        <v>1</v>
      </c>
      <c r="P650">
        <v>2025</v>
      </c>
      <c r="Q650">
        <v>6</v>
      </c>
      <c r="R650" t="s">
        <v>40</v>
      </c>
      <c r="S650" t="s">
        <v>55</v>
      </c>
      <c r="T650" t="s">
        <v>42</v>
      </c>
      <c r="U650" t="s">
        <v>40</v>
      </c>
      <c r="V650" t="s">
        <v>131</v>
      </c>
      <c r="W650" t="s">
        <v>132</v>
      </c>
      <c r="X650" t="s">
        <v>45</v>
      </c>
      <c r="Y650">
        <v>110</v>
      </c>
      <c r="Z650" t="s">
        <v>93</v>
      </c>
      <c r="AA650" t="s">
        <v>94</v>
      </c>
      <c r="AB650" s="1">
        <v>45762</v>
      </c>
      <c r="AC650" t="s">
        <v>40</v>
      </c>
      <c r="AD650" t="s">
        <v>40</v>
      </c>
      <c r="AE650" t="s">
        <v>69</v>
      </c>
      <c r="AF650" t="s">
        <v>40</v>
      </c>
      <c r="AG650">
        <v>0</v>
      </c>
      <c r="AH650" t="s">
        <v>49</v>
      </c>
    </row>
    <row r="651" spans="1:34" x14ac:dyDescent="0.3">
      <c r="A651" t="s">
        <v>1171</v>
      </c>
      <c r="B651" t="s">
        <v>1172</v>
      </c>
      <c r="C651" t="s">
        <v>79</v>
      </c>
      <c r="D651" t="s">
        <v>53</v>
      </c>
      <c r="E651" s="1">
        <v>45832</v>
      </c>
      <c r="F651" s="1">
        <v>45982</v>
      </c>
      <c r="G651" t="s">
        <v>41</v>
      </c>
      <c r="H651">
        <v>7524</v>
      </c>
      <c r="I651" t="s">
        <v>65</v>
      </c>
      <c r="J651" t="b">
        <v>0</v>
      </c>
      <c r="K651">
        <v>150</v>
      </c>
      <c r="L651">
        <v>11</v>
      </c>
      <c r="M651">
        <v>2025</v>
      </c>
      <c r="N651">
        <v>4</v>
      </c>
      <c r="O651">
        <v>6</v>
      </c>
      <c r="P651">
        <v>2025</v>
      </c>
      <c r="Q651">
        <v>1</v>
      </c>
      <c r="R651" t="s">
        <v>40</v>
      </c>
      <c r="S651" t="s">
        <v>45</v>
      </c>
      <c r="T651" t="s">
        <v>42</v>
      </c>
      <c r="U651" t="s">
        <v>40</v>
      </c>
      <c r="V651" t="s">
        <v>82</v>
      </c>
      <c r="W651" t="s">
        <v>83</v>
      </c>
      <c r="X651" t="s">
        <v>76</v>
      </c>
      <c r="Y651">
        <v>100</v>
      </c>
      <c r="Z651" t="s">
        <v>58</v>
      </c>
      <c r="AA651" t="s">
        <v>59</v>
      </c>
      <c r="AB651" s="1">
        <v>45982</v>
      </c>
      <c r="AC651" t="s">
        <v>40</v>
      </c>
      <c r="AD651" t="s">
        <v>40</v>
      </c>
      <c r="AE651" t="s">
        <v>86</v>
      </c>
      <c r="AF651" t="s">
        <v>40</v>
      </c>
      <c r="AG651">
        <v>0</v>
      </c>
      <c r="AH651" t="s">
        <v>49</v>
      </c>
    </row>
    <row r="652" spans="1:34" x14ac:dyDescent="0.3">
      <c r="A652" t="s">
        <v>1173</v>
      </c>
      <c r="B652" t="s">
        <v>965</v>
      </c>
      <c r="C652" t="s">
        <v>103</v>
      </c>
      <c r="D652" t="s">
        <v>90</v>
      </c>
      <c r="E652" s="1">
        <v>46309</v>
      </c>
      <c r="F652" s="1">
        <v>46323</v>
      </c>
      <c r="G652" t="s">
        <v>38</v>
      </c>
      <c r="H652">
        <v>4803</v>
      </c>
      <c r="I652" t="s">
        <v>54</v>
      </c>
      <c r="J652" t="b">
        <v>0</v>
      </c>
      <c r="K652">
        <v>14</v>
      </c>
      <c r="L652">
        <v>10</v>
      </c>
      <c r="M652">
        <v>2026</v>
      </c>
      <c r="N652">
        <v>2</v>
      </c>
      <c r="O652">
        <v>10</v>
      </c>
      <c r="P652">
        <v>2026</v>
      </c>
      <c r="Q652">
        <v>2</v>
      </c>
      <c r="R652" t="s">
        <v>40</v>
      </c>
      <c r="S652" t="s">
        <v>55</v>
      </c>
      <c r="T652" t="s">
        <v>68</v>
      </c>
      <c r="U652" t="s">
        <v>40</v>
      </c>
      <c r="V652" t="s">
        <v>105</v>
      </c>
      <c r="W652" t="s">
        <v>106</v>
      </c>
      <c r="X652" t="s">
        <v>45</v>
      </c>
      <c r="Y652">
        <v>140</v>
      </c>
      <c r="Z652" t="s">
        <v>93</v>
      </c>
      <c r="AA652" t="s">
        <v>94</v>
      </c>
      <c r="AB652" s="1">
        <v>46323</v>
      </c>
      <c r="AC652" t="s">
        <v>40</v>
      </c>
      <c r="AD652" t="s">
        <v>40</v>
      </c>
      <c r="AE652" t="s">
        <v>60</v>
      </c>
      <c r="AF652" t="s">
        <v>40</v>
      </c>
      <c r="AG652">
        <v>1</v>
      </c>
      <c r="AH652" t="s">
        <v>70</v>
      </c>
    </row>
    <row r="653" spans="1:34" x14ac:dyDescent="0.3">
      <c r="A653" t="s">
        <v>1174</v>
      </c>
      <c r="B653" t="s">
        <v>322</v>
      </c>
      <c r="C653" t="s">
        <v>146</v>
      </c>
      <c r="D653" t="s">
        <v>130</v>
      </c>
      <c r="E653" s="1">
        <v>46304</v>
      </c>
      <c r="F653" s="1">
        <v>46334</v>
      </c>
      <c r="G653" t="s">
        <v>41</v>
      </c>
      <c r="H653">
        <v>8885</v>
      </c>
      <c r="I653" t="s">
        <v>54</v>
      </c>
      <c r="J653" t="b">
        <v>0</v>
      </c>
      <c r="K653">
        <v>30</v>
      </c>
      <c r="L653">
        <v>11</v>
      </c>
      <c r="M653">
        <v>2026</v>
      </c>
      <c r="N653">
        <v>6</v>
      </c>
      <c r="O653">
        <v>10</v>
      </c>
      <c r="P653">
        <v>2026</v>
      </c>
      <c r="Q653">
        <v>4</v>
      </c>
      <c r="R653" t="s">
        <v>66</v>
      </c>
      <c r="S653" t="s">
        <v>45</v>
      </c>
      <c r="T653" t="s">
        <v>68</v>
      </c>
      <c r="U653" t="s">
        <v>40</v>
      </c>
      <c r="V653" t="s">
        <v>147</v>
      </c>
      <c r="W653" t="s">
        <v>148</v>
      </c>
      <c r="X653" t="s">
        <v>45</v>
      </c>
      <c r="Y653">
        <v>160</v>
      </c>
      <c r="Z653" t="s">
        <v>133</v>
      </c>
      <c r="AA653" t="s">
        <v>134</v>
      </c>
      <c r="AB653" s="1">
        <v>46334</v>
      </c>
      <c r="AC653" t="s">
        <v>66</v>
      </c>
      <c r="AD653" t="s">
        <v>40</v>
      </c>
      <c r="AE653" t="s">
        <v>86</v>
      </c>
      <c r="AF653" t="s">
        <v>40</v>
      </c>
      <c r="AG653">
        <v>1</v>
      </c>
      <c r="AH653" t="s">
        <v>70</v>
      </c>
    </row>
    <row r="654" spans="1:34" x14ac:dyDescent="0.3">
      <c r="A654" t="s">
        <v>1175</v>
      </c>
      <c r="B654" t="s">
        <v>1176</v>
      </c>
      <c r="C654" t="s">
        <v>103</v>
      </c>
      <c r="D654" t="s">
        <v>130</v>
      </c>
      <c r="E654" s="1">
        <v>46301</v>
      </c>
      <c r="F654" s="1">
        <v>46361</v>
      </c>
      <c r="G654" t="s">
        <v>38</v>
      </c>
      <c r="H654">
        <v>5726</v>
      </c>
      <c r="I654" t="s">
        <v>39</v>
      </c>
      <c r="J654" t="b">
        <v>0</v>
      </c>
      <c r="K654">
        <v>60</v>
      </c>
      <c r="L654">
        <v>12</v>
      </c>
      <c r="M654">
        <v>2026</v>
      </c>
      <c r="N654">
        <v>5</v>
      </c>
      <c r="O654">
        <v>10</v>
      </c>
      <c r="P654">
        <v>2026</v>
      </c>
      <c r="Q654">
        <v>1</v>
      </c>
      <c r="R654" t="s">
        <v>66</v>
      </c>
      <c r="S654" t="s">
        <v>55</v>
      </c>
      <c r="T654" t="s">
        <v>42</v>
      </c>
      <c r="U654" t="s">
        <v>40</v>
      </c>
      <c r="V654" t="s">
        <v>105</v>
      </c>
      <c r="W654" t="s">
        <v>106</v>
      </c>
      <c r="X654" t="s">
        <v>45</v>
      </c>
      <c r="Y654">
        <v>140</v>
      </c>
      <c r="Z654" t="s">
        <v>133</v>
      </c>
      <c r="AA654" t="s">
        <v>134</v>
      </c>
      <c r="AB654" s="1">
        <v>46361</v>
      </c>
      <c r="AC654" t="s">
        <v>66</v>
      </c>
      <c r="AD654" t="s">
        <v>40</v>
      </c>
      <c r="AE654" t="s">
        <v>69</v>
      </c>
      <c r="AF654" t="s">
        <v>40</v>
      </c>
      <c r="AG654">
        <v>0</v>
      </c>
      <c r="AH654" t="s">
        <v>61</v>
      </c>
    </row>
    <row r="655" spans="1:34" x14ac:dyDescent="0.3">
      <c r="A655" t="s">
        <v>1177</v>
      </c>
      <c r="B655" t="s">
        <v>595</v>
      </c>
      <c r="C655" t="s">
        <v>129</v>
      </c>
      <c r="D655" t="s">
        <v>37</v>
      </c>
      <c r="E655" s="1">
        <v>46024</v>
      </c>
      <c r="F655" s="1">
        <v>46031</v>
      </c>
      <c r="G655" t="s">
        <v>38</v>
      </c>
      <c r="H655">
        <v>5693</v>
      </c>
      <c r="I655" t="s">
        <v>65</v>
      </c>
      <c r="J655" t="b">
        <v>0</v>
      </c>
      <c r="K655">
        <v>7</v>
      </c>
      <c r="L655">
        <v>1</v>
      </c>
      <c r="M655">
        <v>2026</v>
      </c>
      <c r="N655">
        <v>4</v>
      </c>
      <c r="O655">
        <v>1</v>
      </c>
      <c r="P655">
        <v>2026</v>
      </c>
      <c r="Q655">
        <v>4</v>
      </c>
      <c r="R655" t="s">
        <v>40</v>
      </c>
      <c r="S655" t="s">
        <v>55</v>
      </c>
      <c r="T655" t="s">
        <v>42</v>
      </c>
      <c r="U655" t="s">
        <v>40</v>
      </c>
      <c r="V655" t="s">
        <v>131</v>
      </c>
      <c r="W655" t="s">
        <v>132</v>
      </c>
      <c r="X655" t="s">
        <v>45</v>
      </c>
      <c r="Y655">
        <v>110</v>
      </c>
      <c r="Z655" t="s">
        <v>46</v>
      </c>
      <c r="AA655" t="s">
        <v>47</v>
      </c>
      <c r="AB655" s="1">
        <v>46031</v>
      </c>
      <c r="AC655" t="s">
        <v>40</v>
      </c>
      <c r="AD655" t="s">
        <v>40</v>
      </c>
      <c r="AE655" t="s">
        <v>86</v>
      </c>
      <c r="AF655" t="s">
        <v>40</v>
      </c>
      <c r="AG655">
        <v>0</v>
      </c>
      <c r="AH655" t="s">
        <v>100</v>
      </c>
    </row>
    <row r="656" spans="1:34" x14ac:dyDescent="0.3">
      <c r="A656" t="s">
        <v>1178</v>
      </c>
      <c r="B656" t="s">
        <v>1076</v>
      </c>
      <c r="C656" t="s">
        <v>169</v>
      </c>
      <c r="D656" t="s">
        <v>130</v>
      </c>
      <c r="E656" s="1">
        <v>45805</v>
      </c>
      <c r="F656" s="1">
        <v>45835</v>
      </c>
      <c r="G656" t="s">
        <v>64</v>
      </c>
      <c r="H656">
        <v>3140</v>
      </c>
      <c r="I656" t="s">
        <v>39</v>
      </c>
      <c r="J656" t="b">
        <v>0</v>
      </c>
      <c r="K656">
        <v>30</v>
      </c>
      <c r="L656">
        <v>6</v>
      </c>
      <c r="M656">
        <v>2025</v>
      </c>
      <c r="N656">
        <v>4</v>
      </c>
      <c r="O656">
        <v>5</v>
      </c>
      <c r="P656">
        <v>2025</v>
      </c>
      <c r="Q656">
        <v>2</v>
      </c>
      <c r="R656" t="s">
        <v>40</v>
      </c>
      <c r="S656" t="s">
        <v>55</v>
      </c>
      <c r="T656" t="s">
        <v>42</v>
      </c>
      <c r="U656" t="s">
        <v>66</v>
      </c>
      <c r="V656" t="s">
        <v>170</v>
      </c>
      <c r="W656" t="s">
        <v>171</v>
      </c>
      <c r="X656" t="s">
        <v>126</v>
      </c>
      <c r="Y656">
        <v>90</v>
      </c>
      <c r="Z656" t="s">
        <v>133</v>
      </c>
      <c r="AA656" t="s">
        <v>134</v>
      </c>
      <c r="AB656" s="1">
        <v>45835</v>
      </c>
      <c r="AC656" t="s">
        <v>40</v>
      </c>
      <c r="AD656" t="s">
        <v>40</v>
      </c>
      <c r="AE656" t="s">
        <v>60</v>
      </c>
      <c r="AF656" t="s">
        <v>40</v>
      </c>
      <c r="AG656">
        <v>0</v>
      </c>
      <c r="AH656" t="s">
        <v>70</v>
      </c>
    </row>
    <row r="657" spans="1:34" x14ac:dyDescent="0.3">
      <c r="A657" t="s">
        <v>1179</v>
      </c>
      <c r="B657" t="s">
        <v>920</v>
      </c>
      <c r="C657" t="s">
        <v>122</v>
      </c>
      <c r="D657" t="s">
        <v>53</v>
      </c>
      <c r="E657" s="1">
        <v>45870</v>
      </c>
      <c r="F657" s="1">
        <v>45884</v>
      </c>
      <c r="G657" t="s">
        <v>41</v>
      </c>
      <c r="H657">
        <v>8928</v>
      </c>
      <c r="I657" t="s">
        <v>54</v>
      </c>
      <c r="J657" t="b">
        <v>0</v>
      </c>
      <c r="K657">
        <v>14</v>
      </c>
      <c r="L657">
        <v>8</v>
      </c>
      <c r="M657">
        <v>2025</v>
      </c>
      <c r="N657">
        <v>4</v>
      </c>
      <c r="O657">
        <v>8</v>
      </c>
      <c r="P657">
        <v>2025</v>
      </c>
      <c r="Q657">
        <v>4</v>
      </c>
      <c r="R657" t="s">
        <v>40</v>
      </c>
      <c r="S657" t="s">
        <v>55</v>
      </c>
      <c r="T657" t="s">
        <v>42</v>
      </c>
      <c r="U657" t="s">
        <v>40</v>
      </c>
      <c r="V657" t="s">
        <v>124</v>
      </c>
      <c r="W657" t="s">
        <v>125</v>
      </c>
      <c r="X657" t="s">
        <v>126</v>
      </c>
      <c r="Y657">
        <v>85</v>
      </c>
      <c r="Z657" t="s">
        <v>58</v>
      </c>
      <c r="AA657" t="s">
        <v>59</v>
      </c>
      <c r="AB657" s="1">
        <v>45884</v>
      </c>
      <c r="AC657" t="s">
        <v>40</v>
      </c>
      <c r="AD657" t="s">
        <v>66</v>
      </c>
      <c r="AE657" t="s">
        <v>86</v>
      </c>
      <c r="AF657" t="s">
        <v>66</v>
      </c>
      <c r="AG657">
        <v>1</v>
      </c>
      <c r="AH657" t="s">
        <v>70</v>
      </c>
    </row>
    <row r="658" spans="1:34" x14ac:dyDescent="0.3">
      <c r="A658" t="s">
        <v>1180</v>
      </c>
      <c r="B658" t="s">
        <v>1181</v>
      </c>
      <c r="C658" t="s">
        <v>103</v>
      </c>
      <c r="D658" t="s">
        <v>53</v>
      </c>
      <c r="E658" s="1">
        <v>46306</v>
      </c>
      <c r="F658" s="1">
        <v>46406</v>
      </c>
      <c r="G658" t="s">
        <v>38</v>
      </c>
      <c r="H658">
        <v>3541</v>
      </c>
      <c r="I658" t="s">
        <v>39</v>
      </c>
      <c r="J658" t="b">
        <v>0</v>
      </c>
      <c r="K658">
        <v>100</v>
      </c>
      <c r="L658">
        <v>1</v>
      </c>
      <c r="M658">
        <v>2027</v>
      </c>
      <c r="N658">
        <v>1</v>
      </c>
      <c r="O658">
        <v>10</v>
      </c>
      <c r="P658">
        <v>2026</v>
      </c>
      <c r="Q658">
        <v>6</v>
      </c>
      <c r="R658" t="s">
        <v>40</v>
      </c>
      <c r="S658" t="s">
        <v>67</v>
      </c>
      <c r="T658" t="s">
        <v>42</v>
      </c>
      <c r="U658" t="s">
        <v>40</v>
      </c>
      <c r="V658" t="s">
        <v>105</v>
      </c>
      <c r="W658" t="s">
        <v>106</v>
      </c>
      <c r="X658" t="s">
        <v>45</v>
      </c>
      <c r="Y658">
        <v>140</v>
      </c>
      <c r="Z658" t="s">
        <v>58</v>
      </c>
      <c r="AA658" t="s">
        <v>59</v>
      </c>
      <c r="AB658" s="1"/>
      <c r="AC658" t="s">
        <v>48</v>
      </c>
      <c r="AD658" t="s">
        <v>48</v>
      </c>
      <c r="AE658" t="s">
        <v>48</v>
      </c>
      <c r="AF658" t="s">
        <v>48</v>
      </c>
      <c r="AG658">
        <v>0</v>
      </c>
      <c r="AH658" t="s">
        <v>49</v>
      </c>
    </row>
    <row r="659" spans="1:34" x14ac:dyDescent="0.3">
      <c r="A659" t="s">
        <v>1182</v>
      </c>
      <c r="B659" t="s">
        <v>230</v>
      </c>
      <c r="C659" t="s">
        <v>79</v>
      </c>
      <c r="D659" t="s">
        <v>104</v>
      </c>
      <c r="E659" s="1">
        <v>46286</v>
      </c>
      <c r="F659" s="1">
        <v>46316</v>
      </c>
      <c r="G659" t="s">
        <v>64</v>
      </c>
      <c r="H659">
        <v>3268</v>
      </c>
      <c r="I659" t="s">
        <v>39</v>
      </c>
      <c r="J659" t="b">
        <v>0</v>
      </c>
      <c r="K659">
        <v>30</v>
      </c>
      <c r="L659">
        <v>10</v>
      </c>
      <c r="M659">
        <v>2026</v>
      </c>
      <c r="N659">
        <v>2</v>
      </c>
      <c r="O659">
        <v>9</v>
      </c>
      <c r="P659">
        <v>2026</v>
      </c>
      <c r="Q659">
        <v>0</v>
      </c>
      <c r="R659" t="s">
        <v>40</v>
      </c>
      <c r="S659" t="s">
        <v>45</v>
      </c>
      <c r="T659" t="s">
        <v>68</v>
      </c>
      <c r="U659" t="s">
        <v>66</v>
      </c>
      <c r="V659" t="s">
        <v>82</v>
      </c>
      <c r="W659" t="s">
        <v>83</v>
      </c>
      <c r="X659" t="s">
        <v>76</v>
      </c>
      <c r="Y659">
        <v>100</v>
      </c>
      <c r="Z659" t="s">
        <v>107</v>
      </c>
      <c r="AA659" t="s">
        <v>108</v>
      </c>
      <c r="AB659" s="1">
        <v>46316</v>
      </c>
      <c r="AC659" t="s">
        <v>40</v>
      </c>
      <c r="AD659" t="s">
        <v>40</v>
      </c>
      <c r="AE659" t="s">
        <v>60</v>
      </c>
      <c r="AF659" t="s">
        <v>40</v>
      </c>
      <c r="AG659">
        <v>0</v>
      </c>
      <c r="AH659" t="s">
        <v>70</v>
      </c>
    </row>
    <row r="660" spans="1:34" x14ac:dyDescent="0.3">
      <c r="A660" t="s">
        <v>1183</v>
      </c>
      <c r="B660" t="s">
        <v>370</v>
      </c>
      <c r="C660" t="s">
        <v>73</v>
      </c>
      <c r="D660" t="s">
        <v>53</v>
      </c>
      <c r="E660" s="1">
        <v>45775</v>
      </c>
      <c r="F660" s="1">
        <v>45875</v>
      </c>
      <c r="G660" t="s">
        <v>64</v>
      </c>
      <c r="H660">
        <v>2483</v>
      </c>
      <c r="I660" t="s">
        <v>54</v>
      </c>
      <c r="J660" t="b">
        <v>0</v>
      </c>
      <c r="K660">
        <v>100</v>
      </c>
      <c r="L660">
        <v>8</v>
      </c>
      <c r="M660">
        <v>2025</v>
      </c>
      <c r="N660">
        <v>2</v>
      </c>
      <c r="O660">
        <v>4</v>
      </c>
      <c r="P660">
        <v>2025</v>
      </c>
      <c r="Q660">
        <v>0</v>
      </c>
      <c r="R660" t="s">
        <v>40</v>
      </c>
      <c r="S660" t="s">
        <v>41</v>
      </c>
      <c r="T660" t="s">
        <v>42</v>
      </c>
      <c r="U660" t="s">
        <v>40</v>
      </c>
      <c r="V660" t="s">
        <v>74</v>
      </c>
      <c r="W660" t="s">
        <v>75</v>
      </c>
      <c r="X660" t="s">
        <v>76</v>
      </c>
      <c r="Y660">
        <v>75</v>
      </c>
      <c r="Z660" t="s">
        <v>58</v>
      </c>
      <c r="AA660" t="s">
        <v>59</v>
      </c>
      <c r="AB660" s="1">
        <v>45875</v>
      </c>
      <c r="AC660" t="s">
        <v>40</v>
      </c>
      <c r="AD660" t="s">
        <v>40</v>
      </c>
      <c r="AE660" t="s">
        <v>86</v>
      </c>
      <c r="AF660" t="s">
        <v>40</v>
      </c>
      <c r="AG660">
        <v>1</v>
      </c>
      <c r="AH660" t="s">
        <v>49</v>
      </c>
    </row>
    <row r="661" spans="1:34" x14ac:dyDescent="0.3">
      <c r="A661" t="s">
        <v>1184</v>
      </c>
      <c r="B661" t="s">
        <v>1185</v>
      </c>
      <c r="C661" t="s">
        <v>122</v>
      </c>
      <c r="D661" t="s">
        <v>90</v>
      </c>
      <c r="E661" s="1">
        <v>45752</v>
      </c>
      <c r="F661" s="1">
        <v>45766</v>
      </c>
      <c r="G661" t="s">
        <v>81</v>
      </c>
      <c r="H661">
        <v>10072</v>
      </c>
      <c r="I661" t="s">
        <v>39</v>
      </c>
      <c r="J661" t="b">
        <v>0</v>
      </c>
      <c r="K661">
        <v>14</v>
      </c>
      <c r="L661">
        <v>4</v>
      </c>
      <c r="M661">
        <v>2025</v>
      </c>
      <c r="N661">
        <v>5</v>
      </c>
      <c r="O661">
        <v>4</v>
      </c>
      <c r="P661">
        <v>2025</v>
      </c>
      <c r="Q661">
        <v>5</v>
      </c>
      <c r="R661" t="s">
        <v>66</v>
      </c>
      <c r="S661" t="s">
        <v>55</v>
      </c>
      <c r="T661" t="s">
        <v>113</v>
      </c>
      <c r="U661" t="s">
        <v>40</v>
      </c>
      <c r="V661" t="s">
        <v>124</v>
      </c>
      <c r="W661" t="s">
        <v>125</v>
      </c>
      <c r="X661" t="s">
        <v>126</v>
      </c>
      <c r="Y661">
        <v>85</v>
      </c>
      <c r="Z661" t="s">
        <v>93</v>
      </c>
      <c r="AA661" t="s">
        <v>94</v>
      </c>
      <c r="AB661" s="1">
        <v>45766</v>
      </c>
      <c r="AC661" t="s">
        <v>66</v>
      </c>
      <c r="AD661" t="s">
        <v>40</v>
      </c>
      <c r="AE661" t="s">
        <v>69</v>
      </c>
      <c r="AF661" t="s">
        <v>40</v>
      </c>
      <c r="AG661">
        <v>0</v>
      </c>
      <c r="AH661" t="s">
        <v>70</v>
      </c>
    </row>
    <row r="662" spans="1:34" x14ac:dyDescent="0.3">
      <c r="A662" t="s">
        <v>1186</v>
      </c>
      <c r="B662" t="s">
        <v>277</v>
      </c>
      <c r="C662" t="s">
        <v>129</v>
      </c>
      <c r="D662" t="s">
        <v>37</v>
      </c>
      <c r="E662" s="1">
        <v>45945</v>
      </c>
      <c r="F662" s="1">
        <v>46095</v>
      </c>
      <c r="G662" t="s">
        <v>64</v>
      </c>
      <c r="H662">
        <v>3824</v>
      </c>
      <c r="I662" t="s">
        <v>39</v>
      </c>
      <c r="J662" t="b">
        <v>0</v>
      </c>
      <c r="K662">
        <v>150</v>
      </c>
      <c r="L662">
        <v>3</v>
      </c>
      <c r="M662">
        <v>2026</v>
      </c>
      <c r="N662">
        <v>5</v>
      </c>
      <c r="O662">
        <v>10</v>
      </c>
      <c r="P662">
        <v>2025</v>
      </c>
      <c r="Q662">
        <v>2</v>
      </c>
      <c r="R662" t="s">
        <v>66</v>
      </c>
      <c r="S662" t="s">
        <v>45</v>
      </c>
      <c r="T662" t="s">
        <v>123</v>
      </c>
      <c r="U662" t="s">
        <v>66</v>
      </c>
      <c r="V662" t="s">
        <v>131</v>
      </c>
      <c r="W662" t="s">
        <v>132</v>
      </c>
      <c r="X662" t="s">
        <v>45</v>
      </c>
      <c r="Y662">
        <v>110</v>
      </c>
      <c r="Z662" t="s">
        <v>46</v>
      </c>
      <c r="AA662" t="s">
        <v>47</v>
      </c>
      <c r="AB662" s="1">
        <v>46095</v>
      </c>
      <c r="AC662" t="s">
        <v>66</v>
      </c>
      <c r="AD662" t="s">
        <v>40</v>
      </c>
      <c r="AE662" t="s">
        <v>60</v>
      </c>
      <c r="AF662" t="s">
        <v>40</v>
      </c>
      <c r="AG662">
        <v>0</v>
      </c>
      <c r="AH662" t="s">
        <v>49</v>
      </c>
    </row>
    <row r="663" spans="1:34" x14ac:dyDescent="0.3">
      <c r="A663" t="s">
        <v>1187</v>
      </c>
      <c r="B663" t="s">
        <v>740</v>
      </c>
      <c r="C663" t="s">
        <v>103</v>
      </c>
      <c r="D663" t="s">
        <v>80</v>
      </c>
      <c r="E663" s="1">
        <v>45936</v>
      </c>
      <c r="F663" s="1">
        <v>46036</v>
      </c>
      <c r="G663" t="s">
        <v>64</v>
      </c>
      <c r="H663">
        <v>2984</v>
      </c>
      <c r="I663" t="s">
        <v>65</v>
      </c>
      <c r="J663" t="b">
        <v>0</v>
      </c>
      <c r="K663">
        <v>100</v>
      </c>
      <c r="L663">
        <v>1</v>
      </c>
      <c r="M663">
        <v>2026</v>
      </c>
      <c r="N663">
        <v>2</v>
      </c>
      <c r="O663">
        <v>10</v>
      </c>
      <c r="P663">
        <v>2025</v>
      </c>
      <c r="Q663">
        <v>0</v>
      </c>
      <c r="R663" t="s">
        <v>40</v>
      </c>
      <c r="S663" t="s">
        <v>45</v>
      </c>
      <c r="T663" t="s">
        <v>68</v>
      </c>
      <c r="U663" t="s">
        <v>66</v>
      </c>
      <c r="V663" t="s">
        <v>105</v>
      </c>
      <c r="W663" t="s">
        <v>106</v>
      </c>
      <c r="X663" t="s">
        <v>45</v>
      </c>
      <c r="Y663">
        <v>140</v>
      </c>
      <c r="Z663" t="s">
        <v>84</v>
      </c>
      <c r="AA663" t="s">
        <v>85</v>
      </c>
      <c r="AB663" s="1">
        <v>46036</v>
      </c>
      <c r="AC663" t="s">
        <v>40</v>
      </c>
      <c r="AD663" t="s">
        <v>40</v>
      </c>
      <c r="AE663" t="s">
        <v>86</v>
      </c>
      <c r="AF663" t="s">
        <v>40</v>
      </c>
      <c r="AG663">
        <v>0</v>
      </c>
      <c r="AH663" t="s">
        <v>49</v>
      </c>
    </row>
    <row r="664" spans="1:34" x14ac:dyDescent="0.3">
      <c r="A664" t="s">
        <v>1188</v>
      </c>
      <c r="B664" t="s">
        <v>688</v>
      </c>
      <c r="C664" t="s">
        <v>97</v>
      </c>
      <c r="D664" t="s">
        <v>130</v>
      </c>
      <c r="E664" s="1">
        <v>46181</v>
      </c>
      <c r="F664" s="1">
        <v>46188</v>
      </c>
      <c r="G664" t="s">
        <v>41</v>
      </c>
      <c r="H664">
        <v>6631</v>
      </c>
      <c r="I664" t="s">
        <v>39</v>
      </c>
      <c r="J664" t="b">
        <v>0</v>
      </c>
      <c r="K664">
        <v>7</v>
      </c>
      <c r="L664">
        <v>6</v>
      </c>
      <c r="M664">
        <v>2026</v>
      </c>
      <c r="N664">
        <v>0</v>
      </c>
      <c r="O664">
        <v>6</v>
      </c>
      <c r="P664">
        <v>2026</v>
      </c>
      <c r="Q664">
        <v>0</v>
      </c>
      <c r="R664" t="s">
        <v>40</v>
      </c>
      <c r="S664" t="s">
        <v>67</v>
      </c>
      <c r="T664" t="s">
        <v>286</v>
      </c>
      <c r="U664" t="s">
        <v>40</v>
      </c>
      <c r="V664" t="s">
        <v>98</v>
      </c>
      <c r="W664" t="s">
        <v>99</v>
      </c>
      <c r="X664" t="s">
        <v>76</v>
      </c>
      <c r="Y664">
        <v>80</v>
      </c>
      <c r="Z664" t="s">
        <v>133</v>
      </c>
      <c r="AA664" t="s">
        <v>134</v>
      </c>
      <c r="AB664" s="1">
        <v>46188</v>
      </c>
      <c r="AC664" t="s">
        <v>40</v>
      </c>
      <c r="AD664" t="s">
        <v>40</v>
      </c>
      <c r="AE664" t="s">
        <v>60</v>
      </c>
      <c r="AF664" t="s">
        <v>40</v>
      </c>
      <c r="AG664">
        <v>0</v>
      </c>
      <c r="AH664" t="s">
        <v>100</v>
      </c>
    </row>
    <row r="665" spans="1:34" x14ac:dyDescent="0.3">
      <c r="A665" t="s">
        <v>1189</v>
      </c>
      <c r="B665" t="s">
        <v>570</v>
      </c>
      <c r="C665" t="s">
        <v>79</v>
      </c>
      <c r="D665" t="s">
        <v>90</v>
      </c>
      <c r="E665" s="1">
        <v>45732</v>
      </c>
      <c r="F665" s="1">
        <v>45739</v>
      </c>
      <c r="G665" t="s">
        <v>81</v>
      </c>
      <c r="H665">
        <v>7501</v>
      </c>
      <c r="I665" t="s">
        <v>54</v>
      </c>
      <c r="J665" t="b">
        <v>0</v>
      </c>
      <c r="K665">
        <v>7</v>
      </c>
      <c r="L665">
        <v>3</v>
      </c>
      <c r="M665">
        <v>2025</v>
      </c>
      <c r="N665">
        <v>6</v>
      </c>
      <c r="O665">
        <v>3</v>
      </c>
      <c r="P665">
        <v>2025</v>
      </c>
      <c r="Q665">
        <v>6</v>
      </c>
      <c r="R665" t="s">
        <v>66</v>
      </c>
      <c r="S665" t="s">
        <v>41</v>
      </c>
      <c r="T665" t="s">
        <v>42</v>
      </c>
      <c r="U665" t="s">
        <v>40</v>
      </c>
      <c r="V665" t="s">
        <v>82</v>
      </c>
      <c r="W665" t="s">
        <v>83</v>
      </c>
      <c r="X665" t="s">
        <v>76</v>
      </c>
      <c r="Y665">
        <v>100</v>
      </c>
      <c r="Z665" t="s">
        <v>93</v>
      </c>
      <c r="AA665" t="s">
        <v>94</v>
      </c>
      <c r="AB665" s="1">
        <v>45739</v>
      </c>
      <c r="AC665" t="s">
        <v>66</v>
      </c>
      <c r="AD665" t="s">
        <v>40</v>
      </c>
      <c r="AE665" t="s">
        <v>60</v>
      </c>
      <c r="AF665" t="s">
        <v>40</v>
      </c>
      <c r="AG665">
        <v>1</v>
      </c>
      <c r="AH665" t="s">
        <v>100</v>
      </c>
    </row>
    <row r="666" spans="1:34" x14ac:dyDescent="0.3">
      <c r="A666" t="s">
        <v>1190</v>
      </c>
      <c r="B666" t="s">
        <v>1191</v>
      </c>
      <c r="C666" t="s">
        <v>73</v>
      </c>
      <c r="D666" t="s">
        <v>104</v>
      </c>
      <c r="E666" s="1">
        <v>46239</v>
      </c>
      <c r="F666" s="1">
        <v>46299</v>
      </c>
      <c r="G666" t="s">
        <v>38</v>
      </c>
      <c r="H666">
        <v>5079</v>
      </c>
      <c r="I666" t="s">
        <v>39</v>
      </c>
      <c r="J666" t="b">
        <v>0</v>
      </c>
      <c r="K666">
        <v>60</v>
      </c>
      <c r="L666">
        <v>10</v>
      </c>
      <c r="M666">
        <v>2026</v>
      </c>
      <c r="N666">
        <v>6</v>
      </c>
      <c r="O666">
        <v>8</v>
      </c>
      <c r="P666">
        <v>2026</v>
      </c>
      <c r="Q666">
        <v>2</v>
      </c>
      <c r="R666" t="s">
        <v>66</v>
      </c>
      <c r="S666" t="s">
        <v>41</v>
      </c>
      <c r="T666" t="s">
        <v>42</v>
      </c>
      <c r="U666" t="s">
        <v>40</v>
      </c>
      <c r="V666" t="s">
        <v>74</v>
      </c>
      <c r="W666" t="s">
        <v>75</v>
      </c>
      <c r="X666" t="s">
        <v>76</v>
      </c>
      <c r="Y666">
        <v>75</v>
      </c>
      <c r="Z666" t="s">
        <v>107</v>
      </c>
      <c r="AA666" t="s">
        <v>108</v>
      </c>
      <c r="AB666" s="1">
        <v>46299</v>
      </c>
      <c r="AC666" t="s">
        <v>66</v>
      </c>
      <c r="AD666" t="s">
        <v>40</v>
      </c>
      <c r="AE666" t="s">
        <v>60</v>
      </c>
      <c r="AF666" t="s">
        <v>40</v>
      </c>
      <c r="AG666">
        <v>0</v>
      </c>
      <c r="AH666" t="s">
        <v>61</v>
      </c>
    </row>
    <row r="667" spans="1:34" x14ac:dyDescent="0.3">
      <c r="A667" t="s">
        <v>1192</v>
      </c>
      <c r="B667" t="s">
        <v>1193</v>
      </c>
      <c r="C667" t="s">
        <v>129</v>
      </c>
      <c r="D667" t="s">
        <v>130</v>
      </c>
      <c r="E667" s="1">
        <v>46245</v>
      </c>
      <c r="F667" s="1">
        <v>46345</v>
      </c>
      <c r="G667" t="s">
        <v>41</v>
      </c>
      <c r="H667">
        <v>5807</v>
      </c>
      <c r="I667" t="s">
        <v>39</v>
      </c>
      <c r="J667" t="b">
        <v>0</v>
      </c>
      <c r="K667">
        <v>100</v>
      </c>
      <c r="L667">
        <v>11</v>
      </c>
      <c r="M667">
        <v>2026</v>
      </c>
      <c r="N667">
        <v>3</v>
      </c>
      <c r="O667">
        <v>8</v>
      </c>
      <c r="P667">
        <v>2026</v>
      </c>
      <c r="Q667">
        <v>1</v>
      </c>
      <c r="R667" t="s">
        <v>40</v>
      </c>
      <c r="S667" t="s">
        <v>55</v>
      </c>
      <c r="T667" t="s">
        <v>42</v>
      </c>
      <c r="U667" t="s">
        <v>66</v>
      </c>
      <c r="V667" t="s">
        <v>131</v>
      </c>
      <c r="W667" t="s">
        <v>132</v>
      </c>
      <c r="X667" t="s">
        <v>45</v>
      </c>
      <c r="Y667">
        <v>110</v>
      </c>
      <c r="Z667" t="s">
        <v>133</v>
      </c>
      <c r="AA667" t="s">
        <v>134</v>
      </c>
      <c r="AB667" s="1">
        <v>46345</v>
      </c>
      <c r="AC667" t="s">
        <v>40</v>
      </c>
      <c r="AD667" t="s">
        <v>40</v>
      </c>
      <c r="AE667" t="s">
        <v>86</v>
      </c>
      <c r="AF667" t="s">
        <v>40</v>
      </c>
      <c r="AG667">
        <v>0</v>
      </c>
      <c r="AH667" t="s">
        <v>49</v>
      </c>
    </row>
    <row r="668" spans="1:34" x14ac:dyDescent="0.3">
      <c r="A668" t="s">
        <v>1194</v>
      </c>
      <c r="B668" t="s">
        <v>1195</v>
      </c>
      <c r="C668" t="s">
        <v>103</v>
      </c>
      <c r="D668" t="s">
        <v>130</v>
      </c>
      <c r="E668" s="1">
        <v>45785</v>
      </c>
      <c r="F668" s="1">
        <v>45799</v>
      </c>
      <c r="G668" t="s">
        <v>81</v>
      </c>
      <c r="H668">
        <v>11221</v>
      </c>
      <c r="I668" t="s">
        <v>65</v>
      </c>
      <c r="J668" t="b">
        <v>0</v>
      </c>
      <c r="K668">
        <v>14</v>
      </c>
      <c r="L668">
        <v>5</v>
      </c>
      <c r="M668">
        <v>2025</v>
      </c>
      <c r="N668">
        <v>3</v>
      </c>
      <c r="O668">
        <v>5</v>
      </c>
      <c r="P668">
        <v>2025</v>
      </c>
      <c r="Q668">
        <v>3</v>
      </c>
      <c r="R668" t="s">
        <v>40</v>
      </c>
      <c r="S668" t="s">
        <v>67</v>
      </c>
      <c r="T668" t="s">
        <v>286</v>
      </c>
      <c r="U668" t="s">
        <v>40</v>
      </c>
      <c r="V668" t="s">
        <v>105</v>
      </c>
      <c r="W668" t="s">
        <v>106</v>
      </c>
      <c r="X668" t="s">
        <v>45</v>
      </c>
      <c r="Y668">
        <v>140</v>
      </c>
      <c r="Z668" t="s">
        <v>133</v>
      </c>
      <c r="AA668" t="s">
        <v>134</v>
      </c>
      <c r="AB668" s="1">
        <v>45799</v>
      </c>
      <c r="AC668" t="s">
        <v>40</v>
      </c>
      <c r="AD668" t="s">
        <v>40</v>
      </c>
      <c r="AE668" t="s">
        <v>69</v>
      </c>
      <c r="AF668" t="s">
        <v>40</v>
      </c>
      <c r="AG668">
        <v>0</v>
      </c>
      <c r="AH668" t="s">
        <v>70</v>
      </c>
    </row>
    <row r="669" spans="1:34" x14ac:dyDescent="0.3">
      <c r="A669" t="s">
        <v>1196</v>
      </c>
      <c r="B669" t="s">
        <v>477</v>
      </c>
      <c r="C669" t="s">
        <v>122</v>
      </c>
      <c r="D669" t="s">
        <v>53</v>
      </c>
      <c r="E669" s="1">
        <v>45792</v>
      </c>
      <c r="F669" s="1">
        <v>45892</v>
      </c>
      <c r="G669" t="s">
        <v>41</v>
      </c>
      <c r="H669">
        <v>5160</v>
      </c>
      <c r="I669" t="s">
        <v>54</v>
      </c>
      <c r="J669" t="b">
        <v>0</v>
      </c>
      <c r="K669">
        <v>100</v>
      </c>
      <c r="L669">
        <v>8</v>
      </c>
      <c r="M669">
        <v>2025</v>
      </c>
      <c r="N669">
        <v>5</v>
      </c>
      <c r="O669">
        <v>5</v>
      </c>
      <c r="P669">
        <v>2025</v>
      </c>
      <c r="Q669">
        <v>3</v>
      </c>
      <c r="R669" t="s">
        <v>66</v>
      </c>
      <c r="S669" t="s">
        <v>55</v>
      </c>
      <c r="T669" t="s">
        <v>42</v>
      </c>
      <c r="U669" t="s">
        <v>40</v>
      </c>
      <c r="V669" t="s">
        <v>124</v>
      </c>
      <c r="W669" t="s">
        <v>125</v>
      </c>
      <c r="X669" t="s">
        <v>126</v>
      </c>
      <c r="Y669">
        <v>85</v>
      </c>
      <c r="Z669" t="s">
        <v>58</v>
      </c>
      <c r="AA669" t="s">
        <v>59</v>
      </c>
      <c r="AB669" s="1">
        <v>45892</v>
      </c>
      <c r="AC669" t="s">
        <v>66</v>
      </c>
      <c r="AD669" t="s">
        <v>40</v>
      </c>
      <c r="AE669" t="s">
        <v>86</v>
      </c>
      <c r="AF669" t="s">
        <v>40</v>
      </c>
      <c r="AG669">
        <v>1</v>
      </c>
      <c r="AH669" t="s">
        <v>49</v>
      </c>
    </row>
    <row r="670" spans="1:34" x14ac:dyDescent="0.3">
      <c r="A670" t="s">
        <v>1197</v>
      </c>
      <c r="B670" t="s">
        <v>780</v>
      </c>
      <c r="C670" t="s">
        <v>36</v>
      </c>
      <c r="D670" t="s">
        <v>104</v>
      </c>
      <c r="E670" s="1">
        <v>45966</v>
      </c>
      <c r="F670" s="1">
        <v>45973</v>
      </c>
      <c r="G670" t="s">
        <v>81</v>
      </c>
      <c r="H670">
        <v>9065</v>
      </c>
      <c r="I670" t="s">
        <v>65</v>
      </c>
      <c r="J670" t="b">
        <v>0</v>
      </c>
      <c r="K670">
        <v>7</v>
      </c>
      <c r="L670">
        <v>11</v>
      </c>
      <c r="M670">
        <v>2025</v>
      </c>
      <c r="N670">
        <v>2</v>
      </c>
      <c r="O670">
        <v>11</v>
      </c>
      <c r="P670">
        <v>2025</v>
      </c>
      <c r="Q670">
        <v>2</v>
      </c>
      <c r="R670" t="s">
        <v>40</v>
      </c>
      <c r="S670" t="s">
        <v>41</v>
      </c>
      <c r="T670" t="s">
        <v>42</v>
      </c>
      <c r="U670" t="s">
        <v>40</v>
      </c>
      <c r="V670" t="s">
        <v>43</v>
      </c>
      <c r="W670" t="s">
        <v>44</v>
      </c>
      <c r="X670" t="s">
        <v>45</v>
      </c>
      <c r="Y670">
        <v>150</v>
      </c>
      <c r="Z670" t="s">
        <v>107</v>
      </c>
      <c r="AA670" t="s">
        <v>108</v>
      </c>
      <c r="AB670" s="1">
        <v>45973</v>
      </c>
      <c r="AC670" t="s">
        <v>40</v>
      </c>
      <c r="AD670" t="s">
        <v>40</v>
      </c>
      <c r="AE670" t="s">
        <v>86</v>
      </c>
      <c r="AF670" t="s">
        <v>40</v>
      </c>
      <c r="AG670">
        <v>0</v>
      </c>
      <c r="AH670" t="s">
        <v>100</v>
      </c>
    </row>
    <row r="671" spans="1:34" x14ac:dyDescent="0.3">
      <c r="A671" t="s">
        <v>1198</v>
      </c>
      <c r="B671" t="s">
        <v>716</v>
      </c>
      <c r="C671" t="s">
        <v>122</v>
      </c>
      <c r="D671" t="s">
        <v>37</v>
      </c>
      <c r="E671" s="1">
        <v>45782</v>
      </c>
      <c r="F671" s="1">
        <v>45882</v>
      </c>
      <c r="G671" t="s">
        <v>64</v>
      </c>
      <c r="H671">
        <v>2658</v>
      </c>
      <c r="I671" t="s">
        <v>65</v>
      </c>
      <c r="J671" t="b">
        <v>0</v>
      </c>
      <c r="K671">
        <v>100</v>
      </c>
      <c r="L671">
        <v>8</v>
      </c>
      <c r="M671">
        <v>2025</v>
      </c>
      <c r="N671">
        <v>2</v>
      </c>
      <c r="O671">
        <v>5</v>
      </c>
      <c r="P671">
        <v>2025</v>
      </c>
      <c r="Q671">
        <v>0</v>
      </c>
      <c r="R671" t="s">
        <v>40</v>
      </c>
      <c r="S671" t="s">
        <v>45</v>
      </c>
      <c r="T671" t="s">
        <v>113</v>
      </c>
      <c r="U671" t="s">
        <v>40</v>
      </c>
      <c r="V671" t="s">
        <v>124</v>
      </c>
      <c r="W671" t="s">
        <v>125</v>
      </c>
      <c r="X671" t="s">
        <v>126</v>
      </c>
      <c r="Y671">
        <v>85</v>
      </c>
      <c r="Z671" t="s">
        <v>46</v>
      </c>
      <c r="AA671" t="s">
        <v>47</v>
      </c>
      <c r="AB671" s="1">
        <v>45882</v>
      </c>
      <c r="AC671" t="s">
        <v>40</v>
      </c>
      <c r="AD671" t="s">
        <v>40</v>
      </c>
      <c r="AE671" t="s">
        <v>86</v>
      </c>
      <c r="AF671" t="s">
        <v>40</v>
      </c>
      <c r="AG671">
        <v>0</v>
      </c>
      <c r="AH671" t="s">
        <v>49</v>
      </c>
    </row>
    <row r="672" spans="1:34" x14ac:dyDescent="0.3">
      <c r="A672" t="s">
        <v>1199</v>
      </c>
      <c r="B672" t="s">
        <v>682</v>
      </c>
      <c r="C672" t="s">
        <v>73</v>
      </c>
      <c r="D672" t="s">
        <v>90</v>
      </c>
      <c r="E672" s="1">
        <v>45748</v>
      </c>
      <c r="F672" s="1">
        <v>45755</v>
      </c>
      <c r="G672" t="s">
        <v>81</v>
      </c>
      <c r="H672">
        <v>8627</v>
      </c>
      <c r="I672" t="s">
        <v>54</v>
      </c>
      <c r="J672" t="b">
        <v>0</v>
      </c>
      <c r="K672">
        <v>7</v>
      </c>
      <c r="L672">
        <v>4</v>
      </c>
      <c r="M672">
        <v>2025</v>
      </c>
      <c r="N672">
        <v>1</v>
      </c>
      <c r="O672">
        <v>4</v>
      </c>
      <c r="P672">
        <v>2025</v>
      </c>
      <c r="Q672">
        <v>1</v>
      </c>
      <c r="R672" t="s">
        <v>40</v>
      </c>
      <c r="S672" t="s">
        <v>41</v>
      </c>
      <c r="T672" t="s">
        <v>48</v>
      </c>
      <c r="U672" t="s">
        <v>40</v>
      </c>
      <c r="V672" t="s">
        <v>74</v>
      </c>
      <c r="W672" t="s">
        <v>75</v>
      </c>
      <c r="X672" t="s">
        <v>76</v>
      </c>
      <c r="Y672">
        <v>75</v>
      </c>
      <c r="Z672" t="s">
        <v>93</v>
      </c>
      <c r="AA672" t="s">
        <v>94</v>
      </c>
      <c r="AB672" s="1">
        <v>45755</v>
      </c>
      <c r="AC672" t="s">
        <v>40</v>
      </c>
      <c r="AD672" t="s">
        <v>40</v>
      </c>
      <c r="AE672" t="s">
        <v>69</v>
      </c>
      <c r="AF672" t="s">
        <v>40</v>
      </c>
      <c r="AG672">
        <v>1</v>
      </c>
      <c r="AH672" t="s">
        <v>100</v>
      </c>
    </row>
    <row r="673" spans="1:34" x14ac:dyDescent="0.3">
      <c r="A673" t="s">
        <v>1200</v>
      </c>
      <c r="B673" t="s">
        <v>326</v>
      </c>
      <c r="C673" t="s">
        <v>155</v>
      </c>
      <c r="D673" t="s">
        <v>104</v>
      </c>
      <c r="E673" s="1">
        <v>46310</v>
      </c>
      <c r="F673" s="1">
        <v>46324</v>
      </c>
      <c r="G673" t="s">
        <v>64</v>
      </c>
      <c r="H673">
        <v>3280</v>
      </c>
      <c r="I673" t="s">
        <v>39</v>
      </c>
      <c r="J673" t="b">
        <v>0</v>
      </c>
      <c r="K673">
        <v>14</v>
      </c>
      <c r="L673">
        <v>10</v>
      </c>
      <c r="M673">
        <v>2026</v>
      </c>
      <c r="N673">
        <v>3</v>
      </c>
      <c r="O673">
        <v>10</v>
      </c>
      <c r="P673">
        <v>2026</v>
      </c>
      <c r="Q673">
        <v>3</v>
      </c>
      <c r="R673" t="s">
        <v>40</v>
      </c>
      <c r="S673" t="s">
        <v>55</v>
      </c>
      <c r="T673" t="s">
        <v>42</v>
      </c>
      <c r="U673" t="s">
        <v>40</v>
      </c>
      <c r="V673" t="s">
        <v>156</v>
      </c>
      <c r="W673" t="s">
        <v>157</v>
      </c>
      <c r="X673" t="s">
        <v>158</v>
      </c>
      <c r="Y673">
        <v>70</v>
      </c>
      <c r="Z673" t="s">
        <v>107</v>
      </c>
      <c r="AA673" t="s">
        <v>108</v>
      </c>
      <c r="AB673" s="1">
        <v>46324</v>
      </c>
      <c r="AC673" t="s">
        <v>40</v>
      </c>
      <c r="AD673" t="s">
        <v>40</v>
      </c>
      <c r="AE673" t="s">
        <v>60</v>
      </c>
      <c r="AF673" t="s">
        <v>40</v>
      </c>
      <c r="AG673">
        <v>0</v>
      </c>
      <c r="AH673" t="s">
        <v>70</v>
      </c>
    </row>
    <row r="674" spans="1:34" x14ac:dyDescent="0.3">
      <c r="A674" t="s">
        <v>1201</v>
      </c>
      <c r="B674" t="s">
        <v>1041</v>
      </c>
      <c r="C674" t="s">
        <v>73</v>
      </c>
      <c r="D674" t="s">
        <v>130</v>
      </c>
      <c r="E674" s="1">
        <v>45928</v>
      </c>
      <c r="F674" s="1">
        <v>45988</v>
      </c>
      <c r="G674" t="s">
        <v>64</v>
      </c>
      <c r="H674">
        <v>3343</v>
      </c>
      <c r="I674" t="s">
        <v>39</v>
      </c>
      <c r="J674" t="b">
        <v>0</v>
      </c>
      <c r="K674">
        <v>60</v>
      </c>
      <c r="L674">
        <v>11</v>
      </c>
      <c r="M674">
        <v>2025</v>
      </c>
      <c r="N674">
        <v>3</v>
      </c>
      <c r="O674">
        <v>9</v>
      </c>
      <c r="P674">
        <v>2025</v>
      </c>
      <c r="Q674">
        <v>6</v>
      </c>
      <c r="R674" t="s">
        <v>40</v>
      </c>
      <c r="S674" t="s">
        <v>55</v>
      </c>
      <c r="T674" t="s">
        <v>42</v>
      </c>
      <c r="U674" t="s">
        <v>40</v>
      </c>
      <c r="V674" t="s">
        <v>74</v>
      </c>
      <c r="W674" t="s">
        <v>75</v>
      </c>
      <c r="X674" t="s">
        <v>76</v>
      </c>
      <c r="Y674">
        <v>75</v>
      </c>
      <c r="Z674" t="s">
        <v>133</v>
      </c>
      <c r="AA674" t="s">
        <v>134</v>
      </c>
      <c r="AB674" s="1">
        <v>45988</v>
      </c>
      <c r="AC674" t="s">
        <v>40</v>
      </c>
      <c r="AD674" t="s">
        <v>40</v>
      </c>
      <c r="AE674" t="s">
        <v>86</v>
      </c>
      <c r="AF674" t="s">
        <v>40</v>
      </c>
      <c r="AG674">
        <v>0</v>
      </c>
      <c r="AH674" t="s">
        <v>61</v>
      </c>
    </row>
    <row r="675" spans="1:34" x14ac:dyDescent="0.3">
      <c r="A675" t="s">
        <v>1202</v>
      </c>
      <c r="B675" t="s">
        <v>820</v>
      </c>
      <c r="C675" t="s">
        <v>52</v>
      </c>
      <c r="D675" t="s">
        <v>90</v>
      </c>
      <c r="E675" s="1">
        <v>45671</v>
      </c>
      <c r="F675" s="1">
        <v>45731</v>
      </c>
      <c r="G675" t="s">
        <v>41</v>
      </c>
      <c r="H675">
        <v>6394</v>
      </c>
      <c r="I675" t="s">
        <v>39</v>
      </c>
      <c r="J675" t="b">
        <v>0</v>
      </c>
      <c r="K675">
        <v>60</v>
      </c>
      <c r="L675">
        <v>3</v>
      </c>
      <c r="M675">
        <v>2025</v>
      </c>
      <c r="N675">
        <v>5</v>
      </c>
      <c r="O675">
        <v>1</v>
      </c>
      <c r="P675">
        <v>2025</v>
      </c>
      <c r="Q675">
        <v>1</v>
      </c>
      <c r="R675" t="s">
        <v>66</v>
      </c>
      <c r="S675" t="s">
        <v>45</v>
      </c>
      <c r="T675" t="s">
        <v>42</v>
      </c>
      <c r="U675" t="s">
        <v>66</v>
      </c>
      <c r="V675" t="s">
        <v>56</v>
      </c>
      <c r="W675" t="s">
        <v>57</v>
      </c>
      <c r="X675" t="s">
        <v>45</v>
      </c>
      <c r="Y675">
        <v>120</v>
      </c>
      <c r="Z675" t="s">
        <v>93</v>
      </c>
      <c r="AA675" t="s">
        <v>94</v>
      </c>
      <c r="AB675" s="1">
        <v>45731</v>
      </c>
      <c r="AC675" t="s">
        <v>66</v>
      </c>
      <c r="AD675" t="s">
        <v>40</v>
      </c>
      <c r="AE675" t="s">
        <v>60</v>
      </c>
      <c r="AF675" t="s">
        <v>40</v>
      </c>
      <c r="AG675">
        <v>0</v>
      </c>
      <c r="AH675" t="s">
        <v>61</v>
      </c>
    </row>
    <row r="676" spans="1:34" x14ac:dyDescent="0.3">
      <c r="A676" t="s">
        <v>1203</v>
      </c>
      <c r="B676" t="s">
        <v>411</v>
      </c>
      <c r="C676" t="s">
        <v>169</v>
      </c>
      <c r="D676" t="s">
        <v>37</v>
      </c>
      <c r="E676" s="1">
        <v>46122</v>
      </c>
      <c r="F676" s="1">
        <v>46152</v>
      </c>
      <c r="G676" t="s">
        <v>64</v>
      </c>
      <c r="H676">
        <v>2648</v>
      </c>
      <c r="I676" t="s">
        <v>39</v>
      </c>
      <c r="J676" t="b">
        <v>0</v>
      </c>
      <c r="K676">
        <v>30</v>
      </c>
      <c r="L676">
        <v>5</v>
      </c>
      <c r="M676">
        <v>2026</v>
      </c>
      <c r="N676">
        <v>6</v>
      </c>
      <c r="O676">
        <v>4</v>
      </c>
      <c r="P676">
        <v>2026</v>
      </c>
      <c r="Q676">
        <v>4</v>
      </c>
      <c r="R676" t="s">
        <v>66</v>
      </c>
      <c r="S676" t="s">
        <v>41</v>
      </c>
      <c r="T676" t="s">
        <v>42</v>
      </c>
      <c r="U676" t="s">
        <v>40</v>
      </c>
      <c r="V676" t="s">
        <v>170</v>
      </c>
      <c r="W676" t="s">
        <v>171</v>
      </c>
      <c r="X676" t="s">
        <v>126</v>
      </c>
      <c r="Y676">
        <v>90</v>
      </c>
      <c r="Z676" t="s">
        <v>46</v>
      </c>
      <c r="AA676" t="s">
        <v>47</v>
      </c>
      <c r="AB676" s="1">
        <v>46152</v>
      </c>
      <c r="AC676" t="s">
        <v>66</v>
      </c>
      <c r="AD676" t="s">
        <v>40</v>
      </c>
      <c r="AE676" t="s">
        <v>69</v>
      </c>
      <c r="AF676" t="s">
        <v>40</v>
      </c>
      <c r="AG676">
        <v>0</v>
      </c>
      <c r="AH676" t="s">
        <v>70</v>
      </c>
    </row>
    <row r="677" spans="1:34" x14ac:dyDescent="0.3">
      <c r="A677" t="s">
        <v>1204</v>
      </c>
      <c r="B677" t="s">
        <v>1058</v>
      </c>
      <c r="C677" t="s">
        <v>73</v>
      </c>
      <c r="D677" t="s">
        <v>130</v>
      </c>
      <c r="E677" s="1">
        <v>45942</v>
      </c>
      <c r="F677" s="1">
        <v>45956</v>
      </c>
      <c r="G677" t="s">
        <v>81</v>
      </c>
      <c r="H677">
        <v>7706</v>
      </c>
      <c r="I677" t="s">
        <v>39</v>
      </c>
      <c r="J677" t="b">
        <v>0</v>
      </c>
      <c r="K677">
        <v>14</v>
      </c>
      <c r="L677">
        <v>10</v>
      </c>
      <c r="M677">
        <v>2025</v>
      </c>
      <c r="N677">
        <v>6</v>
      </c>
      <c r="O677">
        <v>10</v>
      </c>
      <c r="P677">
        <v>2025</v>
      </c>
      <c r="Q677">
        <v>6</v>
      </c>
      <c r="R677" t="s">
        <v>66</v>
      </c>
      <c r="S677" t="s">
        <v>41</v>
      </c>
      <c r="T677" t="s">
        <v>42</v>
      </c>
      <c r="U677" t="s">
        <v>40</v>
      </c>
      <c r="V677" t="s">
        <v>74</v>
      </c>
      <c r="W677" t="s">
        <v>75</v>
      </c>
      <c r="X677" t="s">
        <v>76</v>
      </c>
      <c r="Y677">
        <v>75</v>
      </c>
      <c r="Z677" t="s">
        <v>133</v>
      </c>
      <c r="AA677" t="s">
        <v>134</v>
      </c>
      <c r="AB677" s="1">
        <v>45956</v>
      </c>
      <c r="AC677" t="s">
        <v>66</v>
      </c>
      <c r="AD677" t="s">
        <v>40</v>
      </c>
      <c r="AE677" t="s">
        <v>60</v>
      </c>
      <c r="AF677" t="s">
        <v>40</v>
      </c>
      <c r="AG677">
        <v>0</v>
      </c>
      <c r="AH677" t="s">
        <v>70</v>
      </c>
    </row>
    <row r="678" spans="1:34" x14ac:dyDescent="0.3">
      <c r="A678" t="s">
        <v>1205</v>
      </c>
      <c r="B678" t="s">
        <v>550</v>
      </c>
      <c r="C678" t="s">
        <v>97</v>
      </c>
      <c r="D678" t="s">
        <v>53</v>
      </c>
      <c r="E678" s="1">
        <v>45687</v>
      </c>
      <c r="F678" s="1">
        <v>45701</v>
      </c>
      <c r="G678" t="s">
        <v>41</v>
      </c>
      <c r="H678">
        <v>5344</v>
      </c>
      <c r="I678" t="s">
        <v>54</v>
      </c>
      <c r="J678" t="b">
        <v>0</v>
      </c>
      <c r="K678">
        <v>14</v>
      </c>
      <c r="L678">
        <v>2</v>
      </c>
      <c r="M678">
        <v>2025</v>
      </c>
      <c r="N678">
        <v>3</v>
      </c>
      <c r="O678">
        <v>1</v>
      </c>
      <c r="P678">
        <v>2025</v>
      </c>
      <c r="Q678">
        <v>3</v>
      </c>
      <c r="R678" t="s">
        <v>40</v>
      </c>
      <c r="S678" t="s">
        <v>45</v>
      </c>
      <c r="T678" t="s">
        <v>42</v>
      </c>
      <c r="U678" t="s">
        <v>40</v>
      </c>
      <c r="V678" t="s">
        <v>98</v>
      </c>
      <c r="W678" t="s">
        <v>99</v>
      </c>
      <c r="X678" t="s">
        <v>76</v>
      </c>
      <c r="Y678">
        <v>80</v>
      </c>
      <c r="Z678" t="s">
        <v>58</v>
      </c>
      <c r="AA678" t="s">
        <v>59</v>
      </c>
      <c r="AB678" s="1">
        <v>45701</v>
      </c>
      <c r="AC678" t="s">
        <v>40</v>
      </c>
      <c r="AD678" t="s">
        <v>40</v>
      </c>
      <c r="AE678" t="s">
        <v>60</v>
      </c>
      <c r="AF678" t="s">
        <v>40</v>
      </c>
      <c r="AG678">
        <v>1</v>
      </c>
      <c r="AH678" t="s">
        <v>70</v>
      </c>
    </row>
    <row r="679" spans="1:34" x14ac:dyDescent="0.3">
      <c r="A679" t="s">
        <v>1206</v>
      </c>
      <c r="B679" t="s">
        <v>1154</v>
      </c>
      <c r="C679" t="s">
        <v>146</v>
      </c>
      <c r="D679" t="s">
        <v>104</v>
      </c>
      <c r="E679" s="1">
        <v>46178</v>
      </c>
      <c r="F679" s="1">
        <v>46192</v>
      </c>
      <c r="G679" t="s">
        <v>41</v>
      </c>
      <c r="H679">
        <v>7656</v>
      </c>
      <c r="I679" t="s">
        <v>39</v>
      </c>
      <c r="J679" t="b">
        <v>0</v>
      </c>
      <c r="K679">
        <v>14</v>
      </c>
      <c r="L679">
        <v>6</v>
      </c>
      <c r="M679">
        <v>2026</v>
      </c>
      <c r="N679">
        <v>4</v>
      </c>
      <c r="O679">
        <v>6</v>
      </c>
      <c r="P679">
        <v>2026</v>
      </c>
      <c r="Q679">
        <v>4</v>
      </c>
      <c r="R679" t="s">
        <v>40</v>
      </c>
      <c r="S679" t="s">
        <v>55</v>
      </c>
      <c r="T679" t="s">
        <v>42</v>
      </c>
      <c r="U679" t="s">
        <v>40</v>
      </c>
      <c r="V679" t="s">
        <v>147</v>
      </c>
      <c r="W679" t="s">
        <v>148</v>
      </c>
      <c r="X679" t="s">
        <v>45</v>
      </c>
      <c r="Y679">
        <v>160</v>
      </c>
      <c r="Z679" t="s">
        <v>107</v>
      </c>
      <c r="AA679" t="s">
        <v>108</v>
      </c>
      <c r="AB679" s="1">
        <v>46192</v>
      </c>
      <c r="AC679" t="s">
        <v>40</v>
      </c>
      <c r="AD679" t="s">
        <v>40</v>
      </c>
      <c r="AE679" t="s">
        <v>60</v>
      </c>
      <c r="AF679" t="s">
        <v>40</v>
      </c>
      <c r="AG679">
        <v>0</v>
      </c>
      <c r="AH679" t="s">
        <v>70</v>
      </c>
    </row>
    <row r="680" spans="1:34" x14ac:dyDescent="0.3">
      <c r="A680" t="s">
        <v>1207</v>
      </c>
      <c r="B680" t="s">
        <v>1208</v>
      </c>
      <c r="C680" t="s">
        <v>103</v>
      </c>
      <c r="D680" t="s">
        <v>90</v>
      </c>
      <c r="E680" s="1">
        <v>46266</v>
      </c>
      <c r="F680" s="1">
        <v>46273</v>
      </c>
      <c r="G680" t="s">
        <v>41</v>
      </c>
      <c r="H680">
        <v>7647</v>
      </c>
      <c r="I680" t="s">
        <v>54</v>
      </c>
      <c r="J680" t="b">
        <v>0</v>
      </c>
      <c r="K680">
        <v>7</v>
      </c>
      <c r="L680">
        <v>9</v>
      </c>
      <c r="M680">
        <v>2026</v>
      </c>
      <c r="N680">
        <v>1</v>
      </c>
      <c r="O680">
        <v>9</v>
      </c>
      <c r="P680">
        <v>2026</v>
      </c>
      <c r="Q680">
        <v>1</v>
      </c>
      <c r="R680" t="s">
        <v>40</v>
      </c>
      <c r="S680" t="s">
        <v>41</v>
      </c>
      <c r="T680" t="s">
        <v>42</v>
      </c>
      <c r="U680" t="s">
        <v>40</v>
      </c>
      <c r="V680" t="s">
        <v>105</v>
      </c>
      <c r="W680" t="s">
        <v>106</v>
      </c>
      <c r="X680" t="s">
        <v>45</v>
      </c>
      <c r="Y680">
        <v>140</v>
      </c>
      <c r="Z680" t="s">
        <v>93</v>
      </c>
      <c r="AA680" t="s">
        <v>94</v>
      </c>
      <c r="AB680" s="1">
        <v>46273</v>
      </c>
      <c r="AC680" t="s">
        <v>40</v>
      </c>
      <c r="AD680" t="s">
        <v>40</v>
      </c>
      <c r="AE680" t="s">
        <v>60</v>
      </c>
      <c r="AF680" t="s">
        <v>40</v>
      </c>
      <c r="AG680">
        <v>1</v>
      </c>
      <c r="AH680" t="s">
        <v>100</v>
      </c>
    </row>
    <row r="681" spans="1:34" x14ac:dyDescent="0.3">
      <c r="A681" t="s">
        <v>1209</v>
      </c>
      <c r="B681" t="s">
        <v>434</v>
      </c>
      <c r="C681" t="s">
        <v>52</v>
      </c>
      <c r="D681" t="s">
        <v>130</v>
      </c>
      <c r="E681" s="1">
        <v>46247</v>
      </c>
      <c r="F681" s="1">
        <v>46254</v>
      </c>
      <c r="G681" t="s">
        <v>64</v>
      </c>
      <c r="H681">
        <v>2406</v>
      </c>
      <c r="I681" t="s">
        <v>39</v>
      </c>
      <c r="J681" t="b">
        <v>0</v>
      </c>
      <c r="K681">
        <v>7</v>
      </c>
      <c r="L681">
        <v>8</v>
      </c>
      <c r="M681">
        <v>2026</v>
      </c>
      <c r="N681">
        <v>3</v>
      </c>
      <c r="O681">
        <v>8</v>
      </c>
      <c r="P681">
        <v>2026</v>
      </c>
      <c r="Q681">
        <v>3</v>
      </c>
      <c r="R681" t="s">
        <v>40</v>
      </c>
      <c r="S681" t="s">
        <v>45</v>
      </c>
      <c r="T681" t="s">
        <v>68</v>
      </c>
      <c r="U681" t="s">
        <v>66</v>
      </c>
      <c r="V681" t="s">
        <v>56</v>
      </c>
      <c r="W681" t="s">
        <v>57</v>
      </c>
      <c r="X681" t="s">
        <v>45</v>
      </c>
      <c r="Y681">
        <v>120</v>
      </c>
      <c r="Z681" t="s">
        <v>133</v>
      </c>
      <c r="AA681" t="s">
        <v>134</v>
      </c>
      <c r="AB681" s="1">
        <v>46254</v>
      </c>
      <c r="AC681" t="s">
        <v>40</v>
      </c>
      <c r="AD681" t="s">
        <v>40</v>
      </c>
      <c r="AE681" t="s">
        <v>86</v>
      </c>
      <c r="AF681" t="s">
        <v>40</v>
      </c>
      <c r="AG681">
        <v>0</v>
      </c>
      <c r="AH681" t="s">
        <v>100</v>
      </c>
    </row>
    <row r="682" spans="1:34" x14ac:dyDescent="0.3">
      <c r="A682" t="s">
        <v>1210</v>
      </c>
      <c r="B682" t="s">
        <v>938</v>
      </c>
      <c r="C682" t="s">
        <v>73</v>
      </c>
      <c r="D682" t="s">
        <v>37</v>
      </c>
      <c r="E682" s="1">
        <v>45932</v>
      </c>
      <c r="F682" s="1">
        <v>45962</v>
      </c>
      <c r="G682" t="s">
        <v>38</v>
      </c>
      <c r="H682">
        <v>4679</v>
      </c>
      <c r="I682" t="s">
        <v>39</v>
      </c>
      <c r="J682" t="b">
        <v>0</v>
      </c>
      <c r="K682">
        <v>30</v>
      </c>
      <c r="L682">
        <v>11</v>
      </c>
      <c r="M682">
        <v>2025</v>
      </c>
      <c r="N682">
        <v>5</v>
      </c>
      <c r="O682">
        <v>10</v>
      </c>
      <c r="P682">
        <v>2025</v>
      </c>
      <c r="Q682">
        <v>3</v>
      </c>
      <c r="R682" t="s">
        <v>66</v>
      </c>
      <c r="S682" t="s">
        <v>67</v>
      </c>
      <c r="T682" t="s">
        <v>139</v>
      </c>
      <c r="U682" t="s">
        <v>66</v>
      </c>
      <c r="V682" t="s">
        <v>74</v>
      </c>
      <c r="W682" t="s">
        <v>75</v>
      </c>
      <c r="X682" t="s">
        <v>76</v>
      </c>
      <c r="Y682">
        <v>75</v>
      </c>
      <c r="Z682" t="s">
        <v>46</v>
      </c>
      <c r="AA682" t="s">
        <v>47</v>
      </c>
      <c r="AB682" s="1">
        <v>45962</v>
      </c>
      <c r="AC682" t="s">
        <v>66</v>
      </c>
      <c r="AD682" t="s">
        <v>40</v>
      </c>
      <c r="AE682" t="s">
        <v>86</v>
      </c>
      <c r="AF682" t="s">
        <v>40</v>
      </c>
      <c r="AG682">
        <v>0</v>
      </c>
      <c r="AH682" t="s">
        <v>70</v>
      </c>
    </row>
    <row r="683" spans="1:34" x14ac:dyDescent="0.3">
      <c r="A683" t="s">
        <v>1211</v>
      </c>
      <c r="B683" t="s">
        <v>1212</v>
      </c>
      <c r="C683" t="s">
        <v>122</v>
      </c>
      <c r="D683" t="s">
        <v>37</v>
      </c>
      <c r="E683" s="1">
        <v>45970</v>
      </c>
      <c r="F683" s="1">
        <v>46070</v>
      </c>
      <c r="G683" t="s">
        <v>38</v>
      </c>
      <c r="H683">
        <v>3784</v>
      </c>
      <c r="I683" t="s">
        <v>212</v>
      </c>
      <c r="J683" t="b">
        <v>0</v>
      </c>
      <c r="K683">
        <v>100</v>
      </c>
      <c r="L683">
        <v>2</v>
      </c>
      <c r="M683">
        <v>2026</v>
      </c>
      <c r="N683">
        <v>1</v>
      </c>
      <c r="O683">
        <v>11</v>
      </c>
      <c r="P683">
        <v>2025</v>
      </c>
      <c r="Q683">
        <v>6</v>
      </c>
      <c r="R683" t="s">
        <v>40</v>
      </c>
      <c r="S683" t="s">
        <v>45</v>
      </c>
      <c r="T683" t="s">
        <v>42</v>
      </c>
      <c r="U683" t="s">
        <v>40</v>
      </c>
      <c r="V683" t="s">
        <v>124</v>
      </c>
      <c r="W683" t="s">
        <v>125</v>
      </c>
      <c r="X683" t="s">
        <v>126</v>
      </c>
      <c r="Y683">
        <v>85</v>
      </c>
      <c r="Z683" t="s">
        <v>46</v>
      </c>
      <c r="AA683" t="s">
        <v>47</v>
      </c>
      <c r="AB683" s="1">
        <v>46070</v>
      </c>
      <c r="AC683" t="s">
        <v>40</v>
      </c>
      <c r="AD683" t="s">
        <v>40</v>
      </c>
      <c r="AE683" t="s">
        <v>60</v>
      </c>
      <c r="AF683" t="s">
        <v>40</v>
      </c>
      <c r="AG683">
        <v>0</v>
      </c>
      <c r="AH683" t="s">
        <v>49</v>
      </c>
    </row>
    <row r="684" spans="1:34" x14ac:dyDescent="0.3">
      <c r="A684" t="s">
        <v>1213</v>
      </c>
      <c r="B684" t="s">
        <v>1214</v>
      </c>
      <c r="C684" t="s">
        <v>103</v>
      </c>
      <c r="D684" t="s">
        <v>53</v>
      </c>
      <c r="E684" s="1">
        <v>45679</v>
      </c>
      <c r="F684" s="1">
        <v>45682</v>
      </c>
      <c r="G684" t="s">
        <v>81</v>
      </c>
      <c r="H684">
        <v>11366</v>
      </c>
      <c r="I684" t="s">
        <v>39</v>
      </c>
      <c r="J684" t="b">
        <v>0</v>
      </c>
      <c r="K684">
        <v>3</v>
      </c>
      <c r="L684">
        <v>1</v>
      </c>
      <c r="M684">
        <v>2025</v>
      </c>
      <c r="N684">
        <v>5</v>
      </c>
      <c r="O684">
        <v>1</v>
      </c>
      <c r="P684">
        <v>2025</v>
      </c>
      <c r="Q684">
        <v>2</v>
      </c>
      <c r="R684" t="s">
        <v>66</v>
      </c>
      <c r="S684" t="s">
        <v>67</v>
      </c>
      <c r="T684" t="s">
        <v>42</v>
      </c>
      <c r="U684" t="s">
        <v>66</v>
      </c>
      <c r="V684" t="s">
        <v>105</v>
      </c>
      <c r="W684" t="s">
        <v>106</v>
      </c>
      <c r="X684" t="s">
        <v>45</v>
      </c>
      <c r="Y684">
        <v>140</v>
      </c>
      <c r="Z684" t="s">
        <v>58</v>
      </c>
      <c r="AA684" t="s">
        <v>59</v>
      </c>
      <c r="AB684" s="1">
        <v>45682</v>
      </c>
      <c r="AC684" t="s">
        <v>66</v>
      </c>
      <c r="AD684" t="s">
        <v>40</v>
      </c>
      <c r="AE684" t="s">
        <v>86</v>
      </c>
      <c r="AF684" t="s">
        <v>40</v>
      </c>
      <c r="AG684">
        <v>0</v>
      </c>
      <c r="AH684" t="s">
        <v>100</v>
      </c>
    </row>
    <row r="685" spans="1:34" x14ac:dyDescent="0.3">
      <c r="A685" t="s">
        <v>1215</v>
      </c>
      <c r="B685" t="s">
        <v>1091</v>
      </c>
      <c r="C685" t="s">
        <v>122</v>
      </c>
      <c r="D685" t="s">
        <v>130</v>
      </c>
      <c r="E685" s="1">
        <v>45704</v>
      </c>
      <c r="F685" s="1">
        <v>45804</v>
      </c>
      <c r="G685" t="s">
        <v>81</v>
      </c>
      <c r="H685">
        <v>7870</v>
      </c>
      <c r="I685" t="s">
        <v>54</v>
      </c>
      <c r="J685" t="b">
        <v>0</v>
      </c>
      <c r="K685">
        <v>100</v>
      </c>
      <c r="L685">
        <v>5</v>
      </c>
      <c r="M685">
        <v>2025</v>
      </c>
      <c r="N685">
        <v>1</v>
      </c>
      <c r="O685">
        <v>2</v>
      </c>
      <c r="P685">
        <v>2025</v>
      </c>
      <c r="Q685">
        <v>6</v>
      </c>
      <c r="R685" t="s">
        <v>40</v>
      </c>
      <c r="S685" t="s">
        <v>55</v>
      </c>
      <c r="T685" t="s">
        <v>113</v>
      </c>
      <c r="U685" t="s">
        <v>40</v>
      </c>
      <c r="V685" t="s">
        <v>124</v>
      </c>
      <c r="W685" t="s">
        <v>125</v>
      </c>
      <c r="X685" t="s">
        <v>126</v>
      </c>
      <c r="Y685">
        <v>85</v>
      </c>
      <c r="Z685" t="s">
        <v>133</v>
      </c>
      <c r="AA685" t="s">
        <v>134</v>
      </c>
      <c r="AB685" s="1">
        <v>45804</v>
      </c>
      <c r="AC685" t="s">
        <v>40</v>
      </c>
      <c r="AD685" t="s">
        <v>40</v>
      </c>
      <c r="AE685" t="s">
        <v>69</v>
      </c>
      <c r="AF685" t="s">
        <v>40</v>
      </c>
      <c r="AG685">
        <v>1</v>
      </c>
      <c r="AH685" t="s">
        <v>49</v>
      </c>
    </row>
    <row r="686" spans="1:34" x14ac:dyDescent="0.3">
      <c r="A686" t="s">
        <v>1216</v>
      </c>
      <c r="B686" t="s">
        <v>173</v>
      </c>
      <c r="C686" t="s">
        <v>89</v>
      </c>
      <c r="D686" t="s">
        <v>53</v>
      </c>
      <c r="E686" s="1">
        <v>46121</v>
      </c>
      <c r="F686" s="1">
        <v>46151</v>
      </c>
      <c r="G686" t="s">
        <v>81</v>
      </c>
      <c r="H686">
        <v>8576</v>
      </c>
      <c r="I686" t="s">
        <v>39</v>
      </c>
      <c r="J686" t="b">
        <v>0</v>
      </c>
      <c r="K686">
        <v>30</v>
      </c>
      <c r="L686">
        <v>5</v>
      </c>
      <c r="M686">
        <v>2026</v>
      </c>
      <c r="N686">
        <v>5</v>
      </c>
      <c r="O686">
        <v>4</v>
      </c>
      <c r="P686">
        <v>2026</v>
      </c>
      <c r="Q686">
        <v>3</v>
      </c>
      <c r="R686" t="s">
        <v>66</v>
      </c>
      <c r="S686" t="s">
        <v>55</v>
      </c>
      <c r="T686" t="s">
        <v>42</v>
      </c>
      <c r="U686" t="s">
        <v>40</v>
      </c>
      <c r="V686" t="s">
        <v>91</v>
      </c>
      <c r="W686" t="s">
        <v>92</v>
      </c>
      <c r="X686" t="s">
        <v>76</v>
      </c>
      <c r="Y686">
        <v>65</v>
      </c>
      <c r="Z686" t="s">
        <v>58</v>
      </c>
      <c r="AA686" t="s">
        <v>59</v>
      </c>
      <c r="AB686" s="1">
        <v>46151</v>
      </c>
      <c r="AC686" t="s">
        <v>66</v>
      </c>
      <c r="AD686" t="s">
        <v>40</v>
      </c>
      <c r="AE686" t="s">
        <v>69</v>
      </c>
      <c r="AF686" t="s">
        <v>40</v>
      </c>
      <c r="AG686">
        <v>0</v>
      </c>
      <c r="AH686" t="s">
        <v>70</v>
      </c>
    </row>
    <row r="687" spans="1:34" x14ac:dyDescent="0.3">
      <c r="A687" t="s">
        <v>1217</v>
      </c>
      <c r="B687" t="s">
        <v>1218</v>
      </c>
      <c r="C687" t="s">
        <v>146</v>
      </c>
      <c r="D687" t="s">
        <v>37</v>
      </c>
      <c r="E687" s="1">
        <v>46268</v>
      </c>
      <c r="F687" s="1">
        <v>46282</v>
      </c>
      <c r="G687" t="s">
        <v>81</v>
      </c>
      <c r="H687">
        <v>7711</v>
      </c>
      <c r="I687" t="s">
        <v>39</v>
      </c>
      <c r="J687" t="b">
        <v>0</v>
      </c>
      <c r="K687">
        <v>14</v>
      </c>
      <c r="L687">
        <v>9</v>
      </c>
      <c r="M687">
        <v>2026</v>
      </c>
      <c r="N687">
        <v>3</v>
      </c>
      <c r="O687">
        <v>9</v>
      </c>
      <c r="P687">
        <v>2026</v>
      </c>
      <c r="Q687">
        <v>3</v>
      </c>
      <c r="R687" t="s">
        <v>40</v>
      </c>
      <c r="S687" t="s">
        <v>55</v>
      </c>
      <c r="T687" t="s">
        <v>42</v>
      </c>
      <c r="U687" t="s">
        <v>40</v>
      </c>
      <c r="V687" t="s">
        <v>147</v>
      </c>
      <c r="W687" t="s">
        <v>148</v>
      </c>
      <c r="X687" t="s">
        <v>45</v>
      </c>
      <c r="Y687">
        <v>160</v>
      </c>
      <c r="Z687" t="s">
        <v>46</v>
      </c>
      <c r="AA687" t="s">
        <v>47</v>
      </c>
      <c r="AB687" s="1">
        <v>46282</v>
      </c>
      <c r="AC687" t="s">
        <v>40</v>
      </c>
      <c r="AD687" t="s">
        <v>40</v>
      </c>
      <c r="AE687" t="s">
        <v>60</v>
      </c>
      <c r="AF687" t="s">
        <v>40</v>
      </c>
      <c r="AG687">
        <v>0</v>
      </c>
      <c r="AH687" t="s">
        <v>70</v>
      </c>
    </row>
    <row r="688" spans="1:34" x14ac:dyDescent="0.3">
      <c r="A688" t="s">
        <v>1219</v>
      </c>
      <c r="B688" t="s">
        <v>1220</v>
      </c>
      <c r="C688" t="s">
        <v>52</v>
      </c>
      <c r="D688" t="s">
        <v>90</v>
      </c>
      <c r="E688" s="1">
        <v>46249</v>
      </c>
      <c r="F688" s="1">
        <v>46309</v>
      </c>
      <c r="G688" t="s">
        <v>41</v>
      </c>
      <c r="H688">
        <v>8770</v>
      </c>
      <c r="I688" t="s">
        <v>212</v>
      </c>
      <c r="J688" t="b">
        <v>0</v>
      </c>
      <c r="K688">
        <v>60</v>
      </c>
      <c r="L688">
        <v>10</v>
      </c>
      <c r="M688">
        <v>2026</v>
      </c>
      <c r="N688">
        <v>2</v>
      </c>
      <c r="O688">
        <v>8</v>
      </c>
      <c r="P688">
        <v>2026</v>
      </c>
      <c r="Q688">
        <v>5</v>
      </c>
      <c r="R688" t="s">
        <v>40</v>
      </c>
      <c r="S688" t="s">
        <v>55</v>
      </c>
      <c r="T688" t="s">
        <v>42</v>
      </c>
      <c r="U688" t="s">
        <v>40</v>
      </c>
      <c r="V688" t="s">
        <v>56</v>
      </c>
      <c r="W688" t="s">
        <v>57</v>
      </c>
      <c r="X688" t="s">
        <v>45</v>
      </c>
      <c r="Y688">
        <v>120</v>
      </c>
      <c r="Z688" t="s">
        <v>93</v>
      </c>
      <c r="AA688" t="s">
        <v>94</v>
      </c>
      <c r="AB688" s="1">
        <v>46309</v>
      </c>
      <c r="AC688" t="s">
        <v>40</v>
      </c>
      <c r="AD688" t="s">
        <v>40</v>
      </c>
      <c r="AE688" t="s">
        <v>60</v>
      </c>
      <c r="AF688" t="s">
        <v>40</v>
      </c>
      <c r="AG688">
        <v>0</v>
      </c>
      <c r="AH688" t="s">
        <v>61</v>
      </c>
    </row>
    <row r="689" spans="1:34" x14ac:dyDescent="0.3">
      <c r="A689" t="s">
        <v>1221</v>
      </c>
      <c r="B689" t="s">
        <v>424</v>
      </c>
      <c r="C689" t="s">
        <v>129</v>
      </c>
      <c r="D689" t="s">
        <v>80</v>
      </c>
      <c r="E689" s="1">
        <v>46118</v>
      </c>
      <c r="F689" s="1">
        <v>46338</v>
      </c>
      <c r="G689" t="s">
        <v>38</v>
      </c>
      <c r="H689">
        <v>4928</v>
      </c>
      <c r="I689" t="s">
        <v>39</v>
      </c>
      <c r="J689" t="b">
        <v>0</v>
      </c>
      <c r="K689">
        <v>220</v>
      </c>
      <c r="L689">
        <v>11</v>
      </c>
      <c r="M689">
        <v>2026</v>
      </c>
      <c r="N689">
        <v>3</v>
      </c>
      <c r="O689">
        <v>4</v>
      </c>
      <c r="P689">
        <v>2026</v>
      </c>
      <c r="Q689">
        <v>0</v>
      </c>
      <c r="R689" t="s">
        <v>40</v>
      </c>
      <c r="S689" t="s">
        <v>45</v>
      </c>
      <c r="T689" t="s">
        <v>42</v>
      </c>
      <c r="U689" t="s">
        <v>40</v>
      </c>
      <c r="V689" t="s">
        <v>131</v>
      </c>
      <c r="W689" t="s">
        <v>132</v>
      </c>
      <c r="X689" t="s">
        <v>45</v>
      </c>
      <c r="Y689">
        <v>110</v>
      </c>
      <c r="Z689" t="s">
        <v>84</v>
      </c>
      <c r="AA689" t="s">
        <v>85</v>
      </c>
      <c r="AB689" s="1">
        <v>46338</v>
      </c>
      <c r="AC689" t="s">
        <v>40</v>
      </c>
      <c r="AD689" t="s">
        <v>40</v>
      </c>
      <c r="AE689" t="s">
        <v>86</v>
      </c>
      <c r="AF689" t="s">
        <v>40</v>
      </c>
      <c r="AG689">
        <v>0</v>
      </c>
      <c r="AH689" t="s">
        <v>142</v>
      </c>
    </row>
    <row r="690" spans="1:34" x14ac:dyDescent="0.3">
      <c r="A690" t="s">
        <v>1222</v>
      </c>
      <c r="B690" t="s">
        <v>960</v>
      </c>
      <c r="C690" t="s">
        <v>52</v>
      </c>
      <c r="D690" t="s">
        <v>80</v>
      </c>
      <c r="E690" s="1">
        <v>46190</v>
      </c>
      <c r="F690" s="1">
        <v>46250</v>
      </c>
      <c r="G690" t="s">
        <v>64</v>
      </c>
      <c r="H690">
        <v>3828</v>
      </c>
      <c r="I690" t="s">
        <v>39</v>
      </c>
      <c r="J690" t="b">
        <v>0</v>
      </c>
      <c r="K690">
        <v>60</v>
      </c>
      <c r="L690">
        <v>8</v>
      </c>
      <c r="M690">
        <v>2026</v>
      </c>
      <c r="N690">
        <v>6</v>
      </c>
      <c r="O690">
        <v>6</v>
      </c>
      <c r="P690">
        <v>2026</v>
      </c>
      <c r="Q690">
        <v>2</v>
      </c>
      <c r="R690" t="s">
        <v>66</v>
      </c>
      <c r="S690" t="s">
        <v>55</v>
      </c>
      <c r="T690" t="s">
        <v>42</v>
      </c>
      <c r="U690" t="s">
        <v>40</v>
      </c>
      <c r="V690" t="s">
        <v>56</v>
      </c>
      <c r="W690" t="s">
        <v>57</v>
      </c>
      <c r="X690" t="s">
        <v>45</v>
      </c>
      <c r="Y690">
        <v>120</v>
      </c>
      <c r="Z690" t="s">
        <v>84</v>
      </c>
      <c r="AA690" t="s">
        <v>85</v>
      </c>
      <c r="AB690" s="1">
        <v>46250</v>
      </c>
      <c r="AC690" t="s">
        <v>66</v>
      </c>
      <c r="AD690" t="s">
        <v>40</v>
      </c>
      <c r="AE690" t="s">
        <v>86</v>
      </c>
      <c r="AF690" t="s">
        <v>40</v>
      </c>
      <c r="AG690">
        <v>0</v>
      </c>
      <c r="AH690" t="s">
        <v>61</v>
      </c>
    </row>
    <row r="691" spans="1:34" x14ac:dyDescent="0.3">
      <c r="A691" t="s">
        <v>1223</v>
      </c>
      <c r="B691" t="s">
        <v>259</v>
      </c>
      <c r="C691" t="s">
        <v>122</v>
      </c>
      <c r="D691" t="s">
        <v>37</v>
      </c>
      <c r="E691" s="1">
        <v>45808</v>
      </c>
      <c r="F691" s="1">
        <v>45822</v>
      </c>
      <c r="G691" t="s">
        <v>38</v>
      </c>
      <c r="H691">
        <v>4686</v>
      </c>
      <c r="I691" t="s">
        <v>39</v>
      </c>
      <c r="J691" t="b">
        <v>0</v>
      </c>
      <c r="K691">
        <v>14</v>
      </c>
      <c r="L691">
        <v>6</v>
      </c>
      <c r="M691">
        <v>2025</v>
      </c>
      <c r="N691">
        <v>5</v>
      </c>
      <c r="O691">
        <v>5</v>
      </c>
      <c r="P691">
        <v>2025</v>
      </c>
      <c r="Q691">
        <v>5</v>
      </c>
      <c r="R691" t="s">
        <v>66</v>
      </c>
      <c r="S691" t="s">
        <v>67</v>
      </c>
      <c r="T691" t="s">
        <v>42</v>
      </c>
      <c r="U691" t="s">
        <v>66</v>
      </c>
      <c r="V691" t="s">
        <v>124</v>
      </c>
      <c r="W691" t="s">
        <v>125</v>
      </c>
      <c r="X691" t="s">
        <v>126</v>
      </c>
      <c r="Y691">
        <v>85</v>
      </c>
      <c r="Z691" t="s">
        <v>46</v>
      </c>
      <c r="AA691" t="s">
        <v>47</v>
      </c>
      <c r="AB691" s="1">
        <v>45822</v>
      </c>
      <c r="AC691" t="s">
        <v>66</v>
      </c>
      <c r="AD691" t="s">
        <v>40</v>
      </c>
      <c r="AE691" t="s">
        <v>60</v>
      </c>
      <c r="AF691" t="s">
        <v>40</v>
      </c>
      <c r="AG691">
        <v>0</v>
      </c>
      <c r="AH691" t="s">
        <v>70</v>
      </c>
    </row>
    <row r="692" spans="1:34" x14ac:dyDescent="0.3">
      <c r="A692" t="s">
        <v>1224</v>
      </c>
      <c r="B692" t="s">
        <v>646</v>
      </c>
      <c r="C692" t="s">
        <v>52</v>
      </c>
      <c r="D692" t="s">
        <v>104</v>
      </c>
      <c r="E692" s="1">
        <v>45699</v>
      </c>
      <c r="F692" s="1">
        <v>45706</v>
      </c>
      <c r="G692" t="s">
        <v>64</v>
      </c>
      <c r="H692">
        <v>3200</v>
      </c>
      <c r="I692" t="s">
        <v>39</v>
      </c>
      <c r="J692" t="b">
        <v>0</v>
      </c>
      <c r="K692">
        <v>7</v>
      </c>
      <c r="L692">
        <v>2</v>
      </c>
      <c r="M692">
        <v>2025</v>
      </c>
      <c r="N692">
        <v>1</v>
      </c>
      <c r="O692">
        <v>2</v>
      </c>
      <c r="P692">
        <v>2025</v>
      </c>
      <c r="Q692">
        <v>1</v>
      </c>
      <c r="R692" t="s">
        <v>40</v>
      </c>
      <c r="S692" t="s">
        <v>41</v>
      </c>
      <c r="T692" t="s">
        <v>42</v>
      </c>
      <c r="U692" t="s">
        <v>40</v>
      </c>
      <c r="V692" t="s">
        <v>56</v>
      </c>
      <c r="W692" t="s">
        <v>57</v>
      </c>
      <c r="X692" t="s">
        <v>45</v>
      </c>
      <c r="Y692">
        <v>120</v>
      </c>
      <c r="Z692" t="s">
        <v>107</v>
      </c>
      <c r="AA692" t="s">
        <v>108</v>
      </c>
      <c r="AB692" s="1">
        <v>45706</v>
      </c>
      <c r="AC692" t="s">
        <v>40</v>
      </c>
      <c r="AD692" t="s">
        <v>40</v>
      </c>
      <c r="AE692" t="s">
        <v>60</v>
      </c>
      <c r="AF692" t="s">
        <v>40</v>
      </c>
      <c r="AG692">
        <v>0</v>
      </c>
      <c r="AH692" t="s">
        <v>100</v>
      </c>
    </row>
    <row r="693" spans="1:34" x14ac:dyDescent="0.3">
      <c r="A693" t="s">
        <v>1225</v>
      </c>
      <c r="B693" t="s">
        <v>203</v>
      </c>
      <c r="C693" t="s">
        <v>79</v>
      </c>
      <c r="D693" t="s">
        <v>53</v>
      </c>
      <c r="E693" s="1">
        <v>46172</v>
      </c>
      <c r="F693" s="1">
        <v>46202</v>
      </c>
      <c r="G693" t="s">
        <v>38</v>
      </c>
      <c r="H693">
        <v>4608</v>
      </c>
      <c r="I693" t="s">
        <v>39</v>
      </c>
      <c r="J693" t="b">
        <v>0</v>
      </c>
      <c r="K693">
        <v>30</v>
      </c>
      <c r="L693">
        <v>6</v>
      </c>
      <c r="M693">
        <v>2026</v>
      </c>
      <c r="N693">
        <v>0</v>
      </c>
      <c r="O693">
        <v>5</v>
      </c>
      <c r="P693">
        <v>2026</v>
      </c>
      <c r="Q693">
        <v>5</v>
      </c>
      <c r="R693" t="s">
        <v>40</v>
      </c>
      <c r="S693" t="s">
        <v>41</v>
      </c>
      <c r="T693" t="s">
        <v>42</v>
      </c>
      <c r="U693" t="s">
        <v>66</v>
      </c>
      <c r="V693" t="s">
        <v>82</v>
      </c>
      <c r="W693" t="s">
        <v>83</v>
      </c>
      <c r="X693" t="s">
        <v>76</v>
      </c>
      <c r="Y693">
        <v>100</v>
      </c>
      <c r="Z693" t="s">
        <v>58</v>
      </c>
      <c r="AA693" t="s">
        <v>59</v>
      </c>
      <c r="AB693" s="1">
        <v>46202</v>
      </c>
      <c r="AC693" t="s">
        <v>40</v>
      </c>
      <c r="AD693" t="s">
        <v>40</v>
      </c>
      <c r="AE693" t="s">
        <v>60</v>
      </c>
      <c r="AF693" t="s">
        <v>40</v>
      </c>
      <c r="AG693">
        <v>0</v>
      </c>
      <c r="AH693" t="s">
        <v>70</v>
      </c>
    </row>
    <row r="694" spans="1:34" x14ac:dyDescent="0.3">
      <c r="A694" t="s">
        <v>1226</v>
      </c>
      <c r="B694" t="s">
        <v>288</v>
      </c>
      <c r="C694" t="s">
        <v>52</v>
      </c>
      <c r="D694" t="s">
        <v>104</v>
      </c>
      <c r="E694" s="1">
        <v>46021</v>
      </c>
      <c r="F694" s="1">
        <v>46028</v>
      </c>
      <c r="G694" t="s">
        <v>41</v>
      </c>
      <c r="H694">
        <v>8769</v>
      </c>
      <c r="I694" t="s">
        <v>39</v>
      </c>
      <c r="J694" t="b">
        <v>0</v>
      </c>
      <c r="K694">
        <v>7</v>
      </c>
      <c r="L694">
        <v>1</v>
      </c>
      <c r="M694">
        <v>2026</v>
      </c>
      <c r="N694">
        <v>1</v>
      </c>
      <c r="O694">
        <v>12</v>
      </c>
      <c r="P694">
        <v>2025</v>
      </c>
      <c r="Q694">
        <v>1</v>
      </c>
      <c r="R694" t="s">
        <v>40</v>
      </c>
      <c r="S694" t="s">
        <v>67</v>
      </c>
      <c r="T694" t="s">
        <v>42</v>
      </c>
      <c r="U694" t="s">
        <v>40</v>
      </c>
      <c r="V694" t="s">
        <v>56</v>
      </c>
      <c r="W694" t="s">
        <v>57</v>
      </c>
      <c r="X694" t="s">
        <v>45</v>
      </c>
      <c r="Y694">
        <v>120</v>
      </c>
      <c r="Z694" t="s">
        <v>107</v>
      </c>
      <c r="AA694" t="s">
        <v>108</v>
      </c>
      <c r="AB694" s="1">
        <v>46028</v>
      </c>
      <c r="AC694" t="s">
        <v>40</v>
      </c>
      <c r="AD694" t="s">
        <v>40</v>
      </c>
      <c r="AE694" t="s">
        <v>86</v>
      </c>
      <c r="AF694" t="s">
        <v>40</v>
      </c>
      <c r="AG694">
        <v>0</v>
      </c>
      <c r="AH694" t="s">
        <v>100</v>
      </c>
    </row>
    <row r="695" spans="1:34" x14ac:dyDescent="0.3">
      <c r="A695" t="s">
        <v>1227</v>
      </c>
      <c r="B695" t="s">
        <v>417</v>
      </c>
      <c r="C695" t="s">
        <v>155</v>
      </c>
      <c r="D695" t="s">
        <v>90</v>
      </c>
      <c r="E695" s="1">
        <v>46357</v>
      </c>
      <c r="F695" s="1">
        <v>46417</v>
      </c>
      <c r="G695" t="s">
        <v>81</v>
      </c>
      <c r="H695">
        <v>8134</v>
      </c>
      <c r="I695" t="s">
        <v>65</v>
      </c>
      <c r="J695" t="b">
        <v>0</v>
      </c>
      <c r="K695">
        <v>60</v>
      </c>
      <c r="L695">
        <v>1</v>
      </c>
      <c r="M695">
        <v>2027</v>
      </c>
      <c r="N695">
        <v>5</v>
      </c>
      <c r="O695">
        <v>12</v>
      </c>
      <c r="P695">
        <v>2026</v>
      </c>
      <c r="Q695">
        <v>1</v>
      </c>
      <c r="R695" t="s">
        <v>66</v>
      </c>
      <c r="S695" t="s">
        <v>45</v>
      </c>
      <c r="T695" t="s">
        <v>42</v>
      </c>
      <c r="U695" t="s">
        <v>40</v>
      </c>
      <c r="V695" t="s">
        <v>156</v>
      </c>
      <c r="W695" t="s">
        <v>157</v>
      </c>
      <c r="X695" t="s">
        <v>158</v>
      </c>
      <c r="Y695">
        <v>70</v>
      </c>
      <c r="Z695" t="s">
        <v>93</v>
      </c>
      <c r="AA695" t="s">
        <v>94</v>
      </c>
      <c r="AB695" s="1"/>
      <c r="AC695" t="s">
        <v>48</v>
      </c>
      <c r="AD695" t="s">
        <v>48</v>
      </c>
      <c r="AE695" t="s">
        <v>48</v>
      </c>
      <c r="AF695" t="s">
        <v>48</v>
      </c>
      <c r="AG695">
        <v>0</v>
      </c>
      <c r="AH695" t="s">
        <v>61</v>
      </c>
    </row>
    <row r="696" spans="1:34" x14ac:dyDescent="0.3">
      <c r="A696" t="s">
        <v>1228</v>
      </c>
      <c r="B696" t="s">
        <v>1229</v>
      </c>
      <c r="C696" t="s">
        <v>146</v>
      </c>
      <c r="D696" t="s">
        <v>90</v>
      </c>
      <c r="E696" s="1">
        <v>46042</v>
      </c>
      <c r="F696" s="1">
        <v>46102</v>
      </c>
      <c r="G696" t="s">
        <v>41</v>
      </c>
      <c r="H696">
        <v>7843</v>
      </c>
      <c r="I696" t="s">
        <v>65</v>
      </c>
      <c r="J696" t="b">
        <v>0</v>
      </c>
      <c r="K696">
        <v>60</v>
      </c>
      <c r="L696">
        <v>3</v>
      </c>
      <c r="M696">
        <v>2026</v>
      </c>
      <c r="N696">
        <v>5</v>
      </c>
      <c r="O696">
        <v>1</v>
      </c>
      <c r="P696">
        <v>2026</v>
      </c>
      <c r="Q696">
        <v>1</v>
      </c>
      <c r="R696" t="s">
        <v>66</v>
      </c>
      <c r="S696" t="s">
        <v>41</v>
      </c>
      <c r="T696" t="s">
        <v>42</v>
      </c>
      <c r="U696" t="s">
        <v>40</v>
      </c>
      <c r="V696" t="s">
        <v>147</v>
      </c>
      <c r="W696" t="s">
        <v>148</v>
      </c>
      <c r="X696" t="s">
        <v>45</v>
      </c>
      <c r="Y696">
        <v>160</v>
      </c>
      <c r="Z696" t="s">
        <v>93</v>
      </c>
      <c r="AA696" t="s">
        <v>94</v>
      </c>
      <c r="AB696" s="1">
        <v>46102</v>
      </c>
      <c r="AC696" t="s">
        <v>66</v>
      </c>
      <c r="AD696" t="s">
        <v>40</v>
      </c>
      <c r="AE696" t="s">
        <v>60</v>
      </c>
      <c r="AF696" t="s">
        <v>40</v>
      </c>
      <c r="AG696">
        <v>0</v>
      </c>
      <c r="AH696" t="s">
        <v>61</v>
      </c>
    </row>
    <row r="697" spans="1:34" x14ac:dyDescent="0.3">
      <c r="A697" t="s">
        <v>1230</v>
      </c>
      <c r="B697" t="s">
        <v>963</v>
      </c>
      <c r="C697" t="s">
        <v>79</v>
      </c>
      <c r="D697" t="s">
        <v>104</v>
      </c>
      <c r="E697" s="1">
        <v>46135</v>
      </c>
      <c r="F697" s="1">
        <v>46149</v>
      </c>
      <c r="G697" t="s">
        <v>41</v>
      </c>
      <c r="H697">
        <v>8921</v>
      </c>
      <c r="I697" t="s">
        <v>54</v>
      </c>
      <c r="J697" t="b">
        <v>0</v>
      </c>
      <c r="K697">
        <v>14</v>
      </c>
      <c r="L697">
        <v>5</v>
      </c>
      <c r="M697">
        <v>2026</v>
      </c>
      <c r="N697">
        <v>3</v>
      </c>
      <c r="O697">
        <v>4</v>
      </c>
      <c r="P697">
        <v>2026</v>
      </c>
      <c r="Q697">
        <v>3</v>
      </c>
      <c r="R697" t="s">
        <v>40</v>
      </c>
      <c r="S697" t="s">
        <v>55</v>
      </c>
      <c r="T697" t="s">
        <v>42</v>
      </c>
      <c r="U697" t="s">
        <v>40</v>
      </c>
      <c r="V697" t="s">
        <v>82</v>
      </c>
      <c r="W697" t="s">
        <v>83</v>
      </c>
      <c r="X697" t="s">
        <v>76</v>
      </c>
      <c r="Y697">
        <v>100</v>
      </c>
      <c r="Z697" t="s">
        <v>107</v>
      </c>
      <c r="AA697" t="s">
        <v>108</v>
      </c>
      <c r="AB697" s="1">
        <v>46149</v>
      </c>
      <c r="AC697" t="s">
        <v>40</v>
      </c>
      <c r="AD697" t="s">
        <v>40</v>
      </c>
      <c r="AE697" t="s">
        <v>69</v>
      </c>
      <c r="AF697" t="s">
        <v>40</v>
      </c>
      <c r="AG697">
        <v>1</v>
      </c>
      <c r="AH697" t="s">
        <v>70</v>
      </c>
    </row>
    <row r="698" spans="1:34" x14ac:dyDescent="0.3">
      <c r="A698" t="s">
        <v>1231</v>
      </c>
      <c r="B698" t="s">
        <v>235</v>
      </c>
      <c r="C698" t="s">
        <v>155</v>
      </c>
      <c r="D698" t="s">
        <v>53</v>
      </c>
      <c r="E698" s="1">
        <v>45906</v>
      </c>
      <c r="F698" s="1">
        <v>45936</v>
      </c>
      <c r="G698" t="s">
        <v>81</v>
      </c>
      <c r="H698">
        <v>11133</v>
      </c>
      <c r="I698" t="s">
        <v>39</v>
      </c>
      <c r="J698" t="b">
        <v>0</v>
      </c>
      <c r="K698">
        <v>30</v>
      </c>
      <c r="L698">
        <v>10</v>
      </c>
      <c r="M698">
        <v>2025</v>
      </c>
      <c r="N698">
        <v>0</v>
      </c>
      <c r="O698">
        <v>9</v>
      </c>
      <c r="P698">
        <v>2025</v>
      </c>
      <c r="Q698">
        <v>5</v>
      </c>
      <c r="R698" t="s">
        <v>40</v>
      </c>
      <c r="S698" t="s">
        <v>41</v>
      </c>
      <c r="T698" t="s">
        <v>42</v>
      </c>
      <c r="U698" t="s">
        <v>40</v>
      </c>
      <c r="V698" t="s">
        <v>156</v>
      </c>
      <c r="W698" t="s">
        <v>157</v>
      </c>
      <c r="X698" t="s">
        <v>158</v>
      </c>
      <c r="Y698">
        <v>70</v>
      </c>
      <c r="Z698" t="s">
        <v>58</v>
      </c>
      <c r="AA698" t="s">
        <v>59</v>
      </c>
      <c r="AB698" s="1">
        <v>45936</v>
      </c>
      <c r="AC698" t="s">
        <v>40</v>
      </c>
      <c r="AD698" t="s">
        <v>40</v>
      </c>
      <c r="AE698" t="s">
        <v>60</v>
      </c>
      <c r="AF698" t="s">
        <v>40</v>
      </c>
      <c r="AG698">
        <v>0</v>
      </c>
      <c r="AH698" t="s">
        <v>70</v>
      </c>
    </row>
    <row r="699" spans="1:34" x14ac:dyDescent="0.3">
      <c r="A699" t="s">
        <v>1232</v>
      </c>
      <c r="B699" t="s">
        <v>1233</v>
      </c>
      <c r="C699" t="s">
        <v>129</v>
      </c>
      <c r="D699" t="s">
        <v>130</v>
      </c>
      <c r="E699" s="1">
        <v>46131</v>
      </c>
      <c r="F699" s="1">
        <v>46191</v>
      </c>
      <c r="G699" t="s">
        <v>41</v>
      </c>
      <c r="H699">
        <v>8399</v>
      </c>
      <c r="I699" t="s">
        <v>54</v>
      </c>
      <c r="J699" t="b">
        <v>0</v>
      </c>
      <c r="K699">
        <v>60</v>
      </c>
      <c r="L699">
        <v>6</v>
      </c>
      <c r="M699">
        <v>2026</v>
      </c>
      <c r="N699">
        <v>3</v>
      </c>
      <c r="O699">
        <v>4</v>
      </c>
      <c r="P699">
        <v>2026</v>
      </c>
      <c r="Q699">
        <v>6</v>
      </c>
      <c r="R699" t="s">
        <v>40</v>
      </c>
      <c r="S699" t="s">
        <v>55</v>
      </c>
      <c r="T699" t="s">
        <v>42</v>
      </c>
      <c r="U699" t="s">
        <v>40</v>
      </c>
      <c r="V699" t="s">
        <v>131</v>
      </c>
      <c r="W699" t="s">
        <v>132</v>
      </c>
      <c r="X699" t="s">
        <v>45</v>
      </c>
      <c r="Y699">
        <v>110</v>
      </c>
      <c r="Z699" t="s">
        <v>133</v>
      </c>
      <c r="AA699" t="s">
        <v>134</v>
      </c>
      <c r="AB699" s="1">
        <v>46191</v>
      </c>
      <c r="AC699" t="s">
        <v>40</v>
      </c>
      <c r="AD699" t="s">
        <v>40</v>
      </c>
      <c r="AE699" t="s">
        <v>60</v>
      </c>
      <c r="AF699" t="s">
        <v>40</v>
      </c>
      <c r="AG699">
        <v>1</v>
      </c>
      <c r="AH699" t="s">
        <v>61</v>
      </c>
    </row>
    <row r="700" spans="1:34" x14ac:dyDescent="0.3">
      <c r="A700" t="s">
        <v>1234</v>
      </c>
      <c r="B700" t="s">
        <v>368</v>
      </c>
      <c r="C700" t="s">
        <v>36</v>
      </c>
      <c r="D700" t="s">
        <v>53</v>
      </c>
      <c r="E700" s="1">
        <v>46237</v>
      </c>
      <c r="F700" s="1">
        <v>46251</v>
      </c>
      <c r="G700" t="s">
        <v>81</v>
      </c>
      <c r="H700">
        <v>10684</v>
      </c>
      <c r="I700" t="s">
        <v>39</v>
      </c>
      <c r="J700" t="b">
        <v>0</v>
      </c>
      <c r="K700">
        <v>14</v>
      </c>
      <c r="L700">
        <v>8</v>
      </c>
      <c r="M700">
        <v>2026</v>
      </c>
      <c r="N700">
        <v>0</v>
      </c>
      <c r="O700">
        <v>8</v>
      </c>
      <c r="P700">
        <v>2026</v>
      </c>
      <c r="Q700">
        <v>0</v>
      </c>
      <c r="R700" t="s">
        <v>40</v>
      </c>
      <c r="S700" t="s">
        <v>67</v>
      </c>
      <c r="T700" t="s">
        <v>42</v>
      </c>
      <c r="U700" t="s">
        <v>40</v>
      </c>
      <c r="V700" t="s">
        <v>43</v>
      </c>
      <c r="W700" t="s">
        <v>44</v>
      </c>
      <c r="X700" t="s">
        <v>45</v>
      </c>
      <c r="Y700">
        <v>150</v>
      </c>
      <c r="Z700" t="s">
        <v>58</v>
      </c>
      <c r="AA700" t="s">
        <v>59</v>
      </c>
      <c r="AB700" s="1">
        <v>46251</v>
      </c>
      <c r="AC700" t="s">
        <v>40</v>
      </c>
      <c r="AD700" t="s">
        <v>40</v>
      </c>
      <c r="AE700" t="s">
        <v>86</v>
      </c>
      <c r="AF700" t="s">
        <v>40</v>
      </c>
      <c r="AG700">
        <v>0</v>
      </c>
      <c r="AH700" t="s">
        <v>70</v>
      </c>
    </row>
    <row r="701" spans="1:34" x14ac:dyDescent="0.3">
      <c r="A701" t="s">
        <v>1235</v>
      </c>
      <c r="B701" t="s">
        <v>102</v>
      </c>
      <c r="C701" t="s">
        <v>89</v>
      </c>
      <c r="D701" t="s">
        <v>104</v>
      </c>
      <c r="E701" s="1">
        <v>45797</v>
      </c>
      <c r="F701" s="1">
        <v>45804</v>
      </c>
      <c r="G701" t="s">
        <v>38</v>
      </c>
      <c r="H701">
        <v>4773</v>
      </c>
      <c r="I701" t="s">
        <v>39</v>
      </c>
      <c r="J701" t="b">
        <v>0</v>
      </c>
      <c r="K701">
        <v>7</v>
      </c>
      <c r="L701">
        <v>5</v>
      </c>
      <c r="M701">
        <v>2025</v>
      </c>
      <c r="N701">
        <v>1</v>
      </c>
      <c r="O701">
        <v>5</v>
      </c>
      <c r="P701">
        <v>2025</v>
      </c>
      <c r="Q701">
        <v>1</v>
      </c>
      <c r="R701" t="s">
        <v>40</v>
      </c>
      <c r="S701" t="s">
        <v>41</v>
      </c>
      <c r="T701" t="s">
        <v>42</v>
      </c>
      <c r="U701" t="s">
        <v>40</v>
      </c>
      <c r="V701" t="s">
        <v>91</v>
      </c>
      <c r="W701" t="s">
        <v>92</v>
      </c>
      <c r="X701" t="s">
        <v>76</v>
      </c>
      <c r="Y701">
        <v>65</v>
      </c>
      <c r="Z701" t="s">
        <v>107</v>
      </c>
      <c r="AA701" t="s">
        <v>108</v>
      </c>
      <c r="AB701" s="1">
        <v>45804</v>
      </c>
      <c r="AC701" t="s">
        <v>40</v>
      </c>
      <c r="AD701" t="s">
        <v>40</v>
      </c>
      <c r="AE701" t="s">
        <v>69</v>
      </c>
      <c r="AF701" t="s">
        <v>40</v>
      </c>
      <c r="AG701">
        <v>0</v>
      </c>
      <c r="AH701" t="s">
        <v>100</v>
      </c>
    </row>
    <row r="702" spans="1:34" x14ac:dyDescent="0.3">
      <c r="A702" t="s">
        <v>1236</v>
      </c>
      <c r="B702" t="s">
        <v>1237</v>
      </c>
      <c r="C702" t="s">
        <v>97</v>
      </c>
      <c r="D702" t="s">
        <v>80</v>
      </c>
      <c r="E702" s="1">
        <v>45781</v>
      </c>
      <c r="F702" s="1">
        <v>45811</v>
      </c>
      <c r="G702" t="s">
        <v>38</v>
      </c>
      <c r="H702">
        <v>5440</v>
      </c>
      <c r="I702" t="s">
        <v>65</v>
      </c>
      <c r="J702" t="b">
        <v>0</v>
      </c>
      <c r="K702">
        <v>30</v>
      </c>
      <c r="L702">
        <v>6</v>
      </c>
      <c r="M702">
        <v>2025</v>
      </c>
      <c r="N702">
        <v>1</v>
      </c>
      <c r="O702">
        <v>5</v>
      </c>
      <c r="P702">
        <v>2025</v>
      </c>
      <c r="Q702">
        <v>6</v>
      </c>
      <c r="R702" t="s">
        <v>40</v>
      </c>
      <c r="S702" t="s">
        <v>41</v>
      </c>
      <c r="T702" t="s">
        <v>42</v>
      </c>
      <c r="U702" t="s">
        <v>40</v>
      </c>
      <c r="V702" t="s">
        <v>98</v>
      </c>
      <c r="W702" t="s">
        <v>99</v>
      </c>
      <c r="X702" t="s">
        <v>76</v>
      </c>
      <c r="Y702">
        <v>80</v>
      </c>
      <c r="Z702" t="s">
        <v>84</v>
      </c>
      <c r="AA702" t="s">
        <v>85</v>
      </c>
      <c r="AB702" s="1">
        <v>45811</v>
      </c>
      <c r="AC702" t="s">
        <v>40</v>
      </c>
      <c r="AD702" t="s">
        <v>40</v>
      </c>
      <c r="AE702" t="s">
        <v>60</v>
      </c>
      <c r="AF702" t="s">
        <v>40</v>
      </c>
      <c r="AG702">
        <v>0</v>
      </c>
      <c r="AH702" t="s">
        <v>70</v>
      </c>
    </row>
    <row r="703" spans="1:34" x14ac:dyDescent="0.3">
      <c r="A703" t="s">
        <v>1238</v>
      </c>
      <c r="B703" t="s">
        <v>175</v>
      </c>
      <c r="C703" t="s">
        <v>103</v>
      </c>
      <c r="D703" t="s">
        <v>104</v>
      </c>
      <c r="E703" s="1">
        <v>45846</v>
      </c>
      <c r="F703" s="1">
        <v>45946</v>
      </c>
      <c r="G703" t="s">
        <v>81</v>
      </c>
      <c r="H703">
        <v>11891</v>
      </c>
      <c r="I703" t="s">
        <v>54</v>
      </c>
      <c r="J703" t="b">
        <v>0</v>
      </c>
      <c r="K703">
        <v>100</v>
      </c>
      <c r="L703">
        <v>10</v>
      </c>
      <c r="M703">
        <v>2025</v>
      </c>
      <c r="N703">
        <v>3</v>
      </c>
      <c r="O703">
        <v>7</v>
      </c>
      <c r="P703">
        <v>2025</v>
      </c>
      <c r="Q703">
        <v>1</v>
      </c>
      <c r="R703" t="s">
        <v>40</v>
      </c>
      <c r="S703" t="s">
        <v>41</v>
      </c>
      <c r="T703" t="s">
        <v>42</v>
      </c>
      <c r="U703" t="s">
        <v>40</v>
      </c>
      <c r="V703" t="s">
        <v>105</v>
      </c>
      <c r="W703" t="s">
        <v>106</v>
      </c>
      <c r="X703" t="s">
        <v>45</v>
      </c>
      <c r="Y703">
        <v>140</v>
      </c>
      <c r="Z703" t="s">
        <v>107</v>
      </c>
      <c r="AA703" t="s">
        <v>108</v>
      </c>
      <c r="AB703" s="1">
        <v>45946</v>
      </c>
      <c r="AC703" t="s">
        <v>40</v>
      </c>
      <c r="AD703" t="s">
        <v>40</v>
      </c>
      <c r="AE703" t="s">
        <v>60</v>
      </c>
      <c r="AF703" t="s">
        <v>40</v>
      </c>
      <c r="AG703">
        <v>1</v>
      </c>
      <c r="AH703" t="s">
        <v>49</v>
      </c>
    </row>
    <row r="704" spans="1:34" x14ac:dyDescent="0.3">
      <c r="A704" t="s">
        <v>1239</v>
      </c>
      <c r="B704" t="s">
        <v>1240</v>
      </c>
      <c r="C704" t="s">
        <v>97</v>
      </c>
      <c r="D704" t="s">
        <v>90</v>
      </c>
      <c r="E704" s="1">
        <v>46331</v>
      </c>
      <c r="F704" s="1">
        <v>46338</v>
      </c>
      <c r="G704" t="s">
        <v>38</v>
      </c>
      <c r="H704">
        <v>4687</v>
      </c>
      <c r="I704" t="s">
        <v>39</v>
      </c>
      <c r="J704" t="b">
        <v>0</v>
      </c>
      <c r="K704">
        <v>7</v>
      </c>
      <c r="L704">
        <v>11</v>
      </c>
      <c r="M704">
        <v>2026</v>
      </c>
      <c r="N704">
        <v>3</v>
      </c>
      <c r="O704">
        <v>11</v>
      </c>
      <c r="P704">
        <v>2026</v>
      </c>
      <c r="Q704">
        <v>3</v>
      </c>
      <c r="R704" t="s">
        <v>40</v>
      </c>
      <c r="S704" t="s">
        <v>55</v>
      </c>
      <c r="T704" t="s">
        <v>42</v>
      </c>
      <c r="U704" t="s">
        <v>40</v>
      </c>
      <c r="V704" t="s">
        <v>98</v>
      </c>
      <c r="W704" t="s">
        <v>99</v>
      </c>
      <c r="X704" t="s">
        <v>76</v>
      </c>
      <c r="Y704">
        <v>80</v>
      </c>
      <c r="Z704" t="s">
        <v>93</v>
      </c>
      <c r="AA704" t="s">
        <v>94</v>
      </c>
      <c r="AB704" s="1">
        <v>46338</v>
      </c>
      <c r="AC704" t="s">
        <v>40</v>
      </c>
      <c r="AD704" t="s">
        <v>40</v>
      </c>
      <c r="AE704" t="s">
        <v>86</v>
      </c>
      <c r="AF704" t="s">
        <v>40</v>
      </c>
      <c r="AG704">
        <v>0</v>
      </c>
      <c r="AH704" t="s">
        <v>100</v>
      </c>
    </row>
    <row r="705" spans="1:34" x14ac:dyDescent="0.3">
      <c r="A705" t="s">
        <v>1241</v>
      </c>
      <c r="B705" t="s">
        <v>1195</v>
      </c>
      <c r="C705" t="s">
        <v>103</v>
      </c>
      <c r="D705" t="s">
        <v>104</v>
      </c>
      <c r="E705" s="1">
        <v>45767</v>
      </c>
      <c r="F705" s="1">
        <v>45781</v>
      </c>
      <c r="G705" t="s">
        <v>41</v>
      </c>
      <c r="H705">
        <v>5492</v>
      </c>
      <c r="I705" t="s">
        <v>54</v>
      </c>
      <c r="J705" t="b">
        <v>0</v>
      </c>
      <c r="K705">
        <v>14</v>
      </c>
      <c r="L705">
        <v>5</v>
      </c>
      <c r="M705">
        <v>2025</v>
      </c>
      <c r="N705">
        <v>6</v>
      </c>
      <c r="O705">
        <v>4</v>
      </c>
      <c r="P705">
        <v>2025</v>
      </c>
      <c r="Q705">
        <v>6</v>
      </c>
      <c r="R705" t="s">
        <v>66</v>
      </c>
      <c r="S705" t="s">
        <v>67</v>
      </c>
      <c r="T705" t="s">
        <v>286</v>
      </c>
      <c r="U705" t="s">
        <v>40</v>
      </c>
      <c r="V705" t="s">
        <v>105</v>
      </c>
      <c r="W705" t="s">
        <v>106</v>
      </c>
      <c r="X705" t="s">
        <v>45</v>
      </c>
      <c r="Y705">
        <v>140</v>
      </c>
      <c r="Z705" t="s">
        <v>107</v>
      </c>
      <c r="AA705" t="s">
        <v>108</v>
      </c>
      <c r="AB705" s="1">
        <v>45781</v>
      </c>
      <c r="AC705" t="s">
        <v>66</v>
      </c>
      <c r="AD705" t="s">
        <v>40</v>
      </c>
      <c r="AE705" t="s">
        <v>69</v>
      </c>
      <c r="AF705" t="s">
        <v>40</v>
      </c>
      <c r="AG705">
        <v>1</v>
      </c>
      <c r="AH705" t="s">
        <v>70</v>
      </c>
    </row>
    <row r="706" spans="1:34" x14ac:dyDescent="0.3">
      <c r="A706" t="s">
        <v>1242</v>
      </c>
      <c r="B706" t="s">
        <v>112</v>
      </c>
      <c r="C706" t="s">
        <v>52</v>
      </c>
      <c r="D706" t="s">
        <v>37</v>
      </c>
      <c r="E706" s="1">
        <v>46324</v>
      </c>
      <c r="F706" s="1">
        <v>46424</v>
      </c>
      <c r="G706" t="s">
        <v>41</v>
      </c>
      <c r="H706">
        <v>6916</v>
      </c>
      <c r="I706" t="s">
        <v>39</v>
      </c>
      <c r="J706" t="b">
        <v>0</v>
      </c>
      <c r="K706">
        <v>100</v>
      </c>
      <c r="L706">
        <v>2</v>
      </c>
      <c r="M706">
        <v>2027</v>
      </c>
      <c r="N706">
        <v>5</v>
      </c>
      <c r="O706">
        <v>10</v>
      </c>
      <c r="P706">
        <v>2026</v>
      </c>
      <c r="Q706">
        <v>3</v>
      </c>
      <c r="R706" t="s">
        <v>66</v>
      </c>
      <c r="S706" t="s">
        <v>55</v>
      </c>
      <c r="T706" t="s">
        <v>113</v>
      </c>
      <c r="U706" t="s">
        <v>66</v>
      </c>
      <c r="V706" t="s">
        <v>56</v>
      </c>
      <c r="W706" t="s">
        <v>57</v>
      </c>
      <c r="X706" t="s">
        <v>45</v>
      </c>
      <c r="Y706">
        <v>120</v>
      </c>
      <c r="Z706" t="s">
        <v>46</v>
      </c>
      <c r="AA706" t="s">
        <v>47</v>
      </c>
      <c r="AB706" s="1"/>
      <c r="AC706" t="s">
        <v>48</v>
      </c>
      <c r="AD706" t="s">
        <v>48</v>
      </c>
      <c r="AE706" t="s">
        <v>48</v>
      </c>
      <c r="AF706" t="s">
        <v>48</v>
      </c>
      <c r="AG706">
        <v>0</v>
      </c>
      <c r="AH706" t="s">
        <v>49</v>
      </c>
    </row>
    <row r="707" spans="1:34" x14ac:dyDescent="0.3">
      <c r="A707" t="s">
        <v>1243</v>
      </c>
      <c r="B707" t="s">
        <v>1244</v>
      </c>
      <c r="C707" t="s">
        <v>79</v>
      </c>
      <c r="D707" t="s">
        <v>80</v>
      </c>
      <c r="E707" s="1">
        <v>46173</v>
      </c>
      <c r="F707" s="1">
        <v>46180</v>
      </c>
      <c r="G707" t="s">
        <v>41</v>
      </c>
      <c r="H707">
        <v>5620</v>
      </c>
      <c r="I707" t="s">
        <v>39</v>
      </c>
      <c r="J707" t="b">
        <v>0</v>
      </c>
      <c r="K707">
        <v>7</v>
      </c>
      <c r="L707">
        <v>6</v>
      </c>
      <c r="M707">
        <v>2026</v>
      </c>
      <c r="N707">
        <v>6</v>
      </c>
      <c r="O707">
        <v>5</v>
      </c>
      <c r="P707">
        <v>2026</v>
      </c>
      <c r="Q707">
        <v>6</v>
      </c>
      <c r="R707" t="s">
        <v>66</v>
      </c>
      <c r="S707" t="s">
        <v>45</v>
      </c>
      <c r="T707" t="s">
        <v>113</v>
      </c>
      <c r="U707" t="s">
        <v>40</v>
      </c>
      <c r="V707" t="s">
        <v>82</v>
      </c>
      <c r="W707" t="s">
        <v>83</v>
      </c>
      <c r="X707" t="s">
        <v>76</v>
      </c>
      <c r="Y707">
        <v>100</v>
      </c>
      <c r="Z707" t="s">
        <v>84</v>
      </c>
      <c r="AA707" t="s">
        <v>85</v>
      </c>
      <c r="AB707" s="1">
        <v>46180</v>
      </c>
      <c r="AC707" t="s">
        <v>66</v>
      </c>
      <c r="AD707" t="s">
        <v>40</v>
      </c>
      <c r="AE707" t="s">
        <v>60</v>
      </c>
      <c r="AF707" t="s">
        <v>40</v>
      </c>
      <c r="AG707">
        <v>0</v>
      </c>
      <c r="AH707" t="s">
        <v>100</v>
      </c>
    </row>
    <row r="708" spans="1:34" x14ac:dyDescent="0.3">
      <c r="A708" t="s">
        <v>1245</v>
      </c>
      <c r="B708" t="s">
        <v>235</v>
      </c>
      <c r="C708" t="s">
        <v>169</v>
      </c>
      <c r="D708" t="s">
        <v>37</v>
      </c>
      <c r="E708" s="1">
        <v>45968</v>
      </c>
      <c r="F708" s="1">
        <v>46118</v>
      </c>
      <c r="G708" t="s">
        <v>64</v>
      </c>
      <c r="H708">
        <v>2971</v>
      </c>
      <c r="I708" t="s">
        <v>39</v>
      </c>
      <c r="J708" t="b">
        <v>0</v>
      </c>
      <c r="K708">
        <v>150</v>
      </c>
      <c r="L708">
        <v>4</v>
      </c>
      <c r="M708">
        <v>2026</v>
      </c>
      <c r="N708">
        <v>0</v>
      </c>
      <c r="O708">
        <v>11</v>
      </c>
      <c r="P708">
        <v>2025</v>
      </c>
      <c r="Q708">
        <v>4</v>
      </c>
      <c r="R708" t="s">
        <v>40</v>
      </c>
      <c r="S708" t="s">
        <v>41</v>
      </c>
      <c r="T708" t="s">
        <v>42</v>
      </c>
      <c r="U708" t="s">
        <v>40</v>
      </c>
      <c r="V708" t="s">
        <v>170</v>
      </c>
      <c r="W708" t="s">
        <v>171</v>
      </c>
      <c r="X708" t="s">
        <v>126</v>
      </c>
      <c r="Y708">
        <v>90</v>
      </c>
      <c r="Z708" t="s">
        <v>46</v>
      </c>
      <c r="AA708" t="s">
        <v>47</v>
      </c>
      <c r="AB708" s="1">
        <v>46118</v>
      </c>
      <c r="AC708" t="s">
        <v>40</v>
      </c>
      <c r="AD708" t="s">
        <v>40</v>
      </c>
      <c r="AE708" t="s">
        <v>69</v>
      </c>
      <c r="AF708" t="s">
        <v>40</v>
      </c>
      <c r="AG708">
        <v>0</v>
      </c>
      <c r="AH708" t="s">
        <v>49</v>
      </c>
    </row>
    <row r="709" spans="1:34" x14ac:dyDescent="0.3">
      <c r="A709" t="s">
        <v>1246</v>
      </c>
      <c r="B709" t="s">
        <v>1247</v>
      </c>
      <c r="C709" t="s">
        <v>169</v>
      </c>
      <c r="D709" t="s">
        <v>90</v>
      </c>
      <c r="E709" s="1">
        <v>45989</v>
      </c>
      <c r="F709" s="1">
        <v>46019</v>
      </c>
      <c r="G709" t="s">
        <v>81</v>
      </c>
      <c r="H709">
        <v>7053</v>
      </c>
      <c r="I709" t="s">
        <v>39</v>
      </c>
      <c r="J709" t="b">
        <v>0</v>
      </c>
      <c r="K709">
        <v>30</v>
      </c>
      <c r="L709">
        <v>12</v>
      </c>
      <c r="M709">
        <v>2025</v>
      </c>
      <c r="N709">
        <v>6</v>
      </c>
      <c r="O709">
        <v>11</v>
      </c>
      <c r="P709">
        <v>2025</v>
      </c>
      <c r="Q709">
        <v>4</v>
      </c>
      <c r="R709" t="s">
        <v>66</v>
      </c>
      <c r="S709" t="s">
        <v>45</v>
      </c>
      <c r="T709" t="s">
        <v>42</v>
      </c>
      <c r="U709" t="s">
        <v>40</v>
      </c>
      <c r="V709" t="s">
        <v>170</v>
      </c>
      <c r="W709" t="s">
        <v>171</v>
      </c>
      <c r="X709" t="s">
        <v>126</v>
      </c>
      <c r="Y709">
        <v>90</v>
      </c>
      <c r="Z709" t="s">
        <v>93</v>
      </c>
      <c r="AA709" t="s">
        <v>94</v>
      </c>
      <c r="AB709" s="1">
        <v>46019</v>
      </c>
      <c r="AC709" t="s">
        <v>66</v>
      </c>
      <c r="AD709" t="s">
        <v>40</v>
      </c>
      <c r="AE709" t="s">
        <v>69</v>
      </c>
      <c r="AF709" t="s">
        <v>40</v>
      </c>
      <c r="AG709">
        <v>0</v>
      </c>
      <c r="AH709" t="s">
        <v>70</v>
      </c>
    </row>
    <row r="710" spans="1:34" x14ac:dyDescent="0.3">
      <c r="A710" t="s">
        <v>1248</v>
      </c>
      <c r="B710" t="s">
        <v>692</v>
      </c>
      <c r="C710" t="s">
        <v>122</v>
      </c>
      <c r="D710" t="s">
        <v>37</v>
      </c>
      <c r="E710" s="1">
        <v>46145</v>
      </c>
      <c r="F710" s="1">
        <v>46159</v>
      </c>
      <c r="G710" t="s">
        <v>38</v>
      </c>
      <c r="H710">
        <v>4212</v>
      </c>
      <c r="I710" t="s">
        <v>39</v>
      </c>
      <c r="J710" t="b">
        <v>0</v>
      </c>
      <c r="K710">
        <v>14</v>
      </c>
      <c r="L710">
        <v>5</v>
      </c>
      <c r="M710">
        <v>2026</v>
      </c>
      <c r="N710">
        <v>6</v>
      </c>
      <c r="O710">
        <v>5</v>
      </c>
      <c r="P710">
        <v>2026</v>
      </c>
      <c r="Q710">
        <v>6</v>
      </c>
      <c r="R710" t="s">
        <v>66</v>
      </c>
      <c r="S710" t="s">
        <v>55</v>
      </c>
      <c r="T710" t="s">
        <v>113</v>
      </c>
      <c r="U710" t="s">
        <v>40</v>
      </c>
      <c r="V710" t="s">
        <v>124</v>
      </c>
      <c r="W710" t="s">
        <v>125</v>
      </c>
      <c r="X710" t="s">
        <v>126</v>
      </c>
      <c r="Y710">
        <v>85</v>
      </c>
      <c r="Z710" t="s">
        <v>46</v>
      </c>
      <c r="AA710" t="s">
        <v>47</v>
      </c>
      <c r="AB710" s="1">
        <v>46159</v>
      </c>
      <c r="AC710" t="s">
        <v>66</v>
      </c>
      <c r="AD710" t="s">
        <v>40</v>
      </c>
      <c r="AE710" t="s">
        <v>69</v>
      </c>
      <c r="AF710" t="s">
        <v>40</v>
      </c>
      <c r="AG710">
        <v>0</v>
      </c>
      <c r="AH710" t="s">
        <v>70</v>
      </c>
    </row>
    <row r="711" spans="1:34" x14ac:dyDescent="0.3">
      <c r="A711" t="s">
        <v>1249</v>
      </c>
      <c r="B711" t="s">
        <v>1250</v>
      </c>
      <c r="C711" t="s">
        <v>36</v>
      </c>
      <c r="D711" t="s">
        <v>130</v>
      </c>
      <c r="E711" s="1">
        <v>45732</v>
      </c>
      <c r="F711" s="1">
        <v>45746</v>
      </c>
      <c r="G711" t="s">
        <v>81</v>
      </c>
      <c r="H711">
        <v>7925</v>
      </c>
      <c r="I711" t="s">
        <v>39</v>
      </c>
      <c r="J711" t="b">
        <v>0</v>
      </c>
      <c r="K711">
        <v>14</v>
      </c>
      <c r="L711">
        <v>3</v>
      </c>
      <c r="M711">
        <v>2025</v>
      </c>
      <c r="N711">
        <v>6</v>
      </c>
      <c r="O711">
        <v>3</v>
      </c>
      <c r="P711">
        <v>2025</v>
      </c>
      <c r="Q711">
        <v>6</v>
      </c>
      <c r="R711" t="s">
        <v>66</v>
      </c>
      <c r="S711" t="s">
        <v>55</v>
      </c>
      <c r="T711" t="s">
        <v>48</v>
      </c>
      <c r="U711" t="s">
        <v>40</v>
      </c>
      <c r="V711" t="s">
        <v>43</v>
      </c>
      <c r="W711" t="s">
        <v>44</v>
      </c>
      <c r="X711" t="s">
        <v>45</v>
      </c>
      <c r="Y711">
        <v>150</v>
      </c>
      <c r="Z711" t="s">
        <v>133</v>
      </c>
      <c r="AA711" t="s">
        <v>134</v>
      </c>
      <c r="AB711" s="1">
        <v>45746</v>
      </c>
      <c r="AC711" t="s">
        <v>66</v>
      </c>
      <c r="AD711" t="s">
        <v>40</v>
      </c>
      <c r="AE711" t="s">
        <v>60</v>
      </c>
      <c r="AF711" t="s">
        <v>40</v>
      </c>
      <c r="AG711">
        <v>0</v>
      </c>
      <c r="AH711" t="s">
        <v>70</v>
      </c>
    </row>
    <row r="712" spans="1:34" x14ac:dyDescent="0.3">
      <c r="A712" t="s">
        <v>1251</v>
      </c>
      <c r="B712" t="s">
        <v>1252</v>
      </c>
      <c r="C712" t="s">
        <v>146</v>
      </c>
      <c r="D712" t="s">
        <v>90</v>
      </c>
      <c r="E712" s="1">
        <v>45858</v>
      </c>
      <c r="F712" s="1">
        <v>45865</v>
      </c>
      <c r="G712" t="s">
        <v>41</v>
      </c>
      <c r="H712">
        <v>6777</v>
      </c>
      <c r="I712" t="s">
        <v>39</v>
      </c>
      <c r="J712" t="b">
        <v>0</v>
      </c>
      <c r="K712">
        <v>7</v>
      </c>
      <c r="L712">
        <v>7</v>
      </c>
      <c r="M712">
        <v>2025</v>
      </c>
      <c r="N712">
        <v>6</v>
      </c>
      <c r="O712">
        <v>7</v>
      </c>
      <c r="P712">
        <v>2025</v>
      </c>
      <c r="Q712">
        <v>6</v>
      </c>
      <c r="R712" t="s">
        <v>66</v>
      </c>
      <c r="S712" t="s">
        <v>41</v>
      </c>
      <c r="T712" t="s">
        <v>42</v>
      </c>
      <c r="U712" t="s">
        <v>66</v>
      </c>
      <c r="V712" t="s">
        <v>147</v>
      </c>
      <c r="W712" t="s">
        <v>148</v>
      </c>
      <c r="X712" t="s">
        <v>45</v>
      </c>
      <c r="Y712">
        <v>160</v>
      </c>
      <c r="Z712" t="s">
        <v>93</v>
      </c>
      <c r="AA712" t="s">
        <v>94</v>
      </c>
      <c r="AB712" s="1">
        <v>45865</v>
      </c>
      <c r="AC712" t="s">
        <v>66</v>
      </c>
      <c r="AD712" t="s">
        <v>40</v>
      </c>
      <c r="AE712" t="s">
        <v>86</v>
      </c>
      <c r="AF712" t="s">
        <v>40</v>
      </c>
      <c r="AG712">
        <v>0</v>
      </c>
      <c r="AH712" t="s">
        <v>100</v>
      </c>
    </row>
    <row r="713" spans="1:34" x14ac:dyDescent="0.3">
      <c r="A713" t="s">
        <v>1253</v>
      </c>
      <c r="B713" t="s">
        <v>1254</v>
      </c>
      <c r="C713" t="s">
        <v>52</v>
      </c>
      <c r="D713" t="s">
        <v>37</v>
      </c>
      <c r="E713" s="1">
        <v>46342</v>
      </c>
      <c r="F713" s="1">
        <v>46345</v>
      </c>
      <c r="G713" t="s">
        <v>64</v>
      </c>
      <c r="H713">
        <v>4029</v>
      </c>
      <c r="I713" t="s">
        <v>39</v>
      </c>
      <c r="J713" t="b">
        <v>0</v>
      </c>
      <c r="K713">
        <v>3</v>
      </c>
      <c r="L713">
        <v>11</v>
      </c>
      <c r="M713">
        <v>2026</v>
      </c>
      <c r="N713">
        <v>3</v>
      </c>
      <c r="O713">
        <v>11</v>
      </c>
      <c r="P713">
        <v>2026</v>
      </c>
      <c r="Q713">
        <v>0</v>
      </c>
      <c r="R713" t="s">
        <v>40</v>
      </c>
      <c r="S713" t="s">
        <v>45</v>
      </c>
      <c r="T713" t="s">
        <v>42</v>
      </c>
      <c r="U713" t="s">
        <v>40</v>
      </c>
      <c r="V713" t="s">
        <v>56</v>
      </c>
      <c r="W713" t="s">
        <v>57</v>
      </c>
      <c r="X713" t="s">
        <v>45</v>
      </c>
      <c r="Y713">
        <v>120</v>
      </c>
      <c r="Z713" t="s">
        <v>46</v>
      </c>
      <c r="AA713" t="s">
        <v>47</v>
      </c>
      <c r="AB713" s="1">
        <v>46345</v>
      </c>
      <c r="AC713" t="s">
        <v>40</v>
      </c>
      <c r="AD713" t="s">
        <v>40</v>
      </c>
      <c r="AE713" t="s">
        <v>86</v>
      </c>
      <c r="AF713" t="s">
        <v>40</v>
      </c>
      <c r="AG713">
        <v>0</v>
      </c>
      <c r="AH713" t="s">
        <v>100</v>
      </c>
    </row>
    <row r="714" spans="1:34" x14ac:dyDescent="0.3">
      <c r="A714" t="s">
        <v>1255</v>
      </c>
      <c r="B714" t="s">
        <v>601</v>
      </c>
      <c r="C714" t="s">
        <v>129</v>
      </c>
      <c r="D714" t="s">
        <v>37</v>
      </c>
      <c r="E714" s="1">
        <v>46315</v>
      </c>
      <c r="F714" s="1">
        <v>46345</v>
      </c>
      <c r="G714" t="s">
        <v>38</v>
      </c>
      <c r="H714">
        <v>5440</v>
      </c>
      <c r="I714" t="s">
        <v>65</v>
      </c>
      <c r="J714" t="b">
        <v>0</v>
      </c>
      <c r="K714">
        <v>30</v>
      </c>
      <c r="L714">
        <v>11</v>
      </c>
      <c r="M714">
        <v>2026</v>
      </c>
      <c r="N714">
        <v>3</v>
      </c>
      <c r="O714">
        <v>10</v>
      </c>
      <c r="P714">
        <v>2026</v>
      </c>
      <c r="Q714">
        <v>1</v>
      </c>
      <c r="R714" t="s">
        <v>40</v>
      </c>
      <c r="S714" t="s">
        <v>67</v>
      </c>
      <c r="T714" t="s">
        <v>42</v>
      </c>
      <c r="U714" t="s">
        <v>40</v>
      </c>
      <c r="V714" t="s">
        <v>131</v>
      </c>
      <c r="W714" t="s">
        <v>132</v>
      </c>
      <c r="X714" t="s">
        <v>45</v>
      </c>
      <c r="Y714">
        <v>110</v>
      </c>
      <c r="Z714" t="s">
        <v>46</v>
      </c>
      <c r="AA714" t="s">
        <v>47</v>
      </c>
      <c r="AB714" s="1">
        <v>46345</v>
      </c>
      <c r="AC714" t="s">
        <v>40</v>
      </c>
      <c r="AD714" t="s">
        <v>40</v>
      </c>
      <c r="AE714" t="s">
        <v>86</v>
      </c>
      <c r="AF714" t="s">
        <v>40</v>
      </c>
      <c r="AG714">
        <v>0</v>
      </c>
      <c r="AH714" t="s">
        <v>70</v>
      </c>
    </row>
    <row r="715" spans="1:34" x14ac:dyDescent="0.3">
      <c r="A715" t="s">
        <v>1256</v>
      </c>
      <c r="B715" t="s">
        <v>1257</v>
      </c>
      <c r="C715" t="s">
        <v>122</v>
      </c>
      <c r="D715" t="s">
        <v>104</v>
      </c>
      <c r="E715" s="1">
        <v>46298</v>
      </c>
      <c r="F715" s="1">
        <v>46312</v>
      </c>
      <c r="G715" t="s">
        <v>64</v>
      </c>
      <c r="H715">
        <v>2360</v>
      </c>
      <c r="I715" t="s">
        <v>39</v>
      </c>
      <c r="J715" t="b">
        <v>0</v>
      </c>
      <c r="K715">
        <v>14</v>
      </c>
      <c r="L715">
        <v>10</v>
      </c>
      <c r="M715">
        <v>2026</v>
      </c>
      <c r="N715">
        <v>5</v>
      </c>
      <c r="O715">
        <v>10</v>
      </c>
      <c r="P715">
        <v>2026</v>
      </c>
      <c r="Q715">
        <v>5</v>
      </c>
      <c r="R715" t="s">
        <v>66</v>
      </c>
      <c r="S715" t="s">
        <v>45</v>
      </c>
      <c r="T715" t="s">
        <v>42</v>
      </c>
      <c r="U715" t="s">
        <v>40</v>
      </c>
      <c r="V715" t="s">
        <v>124</v>
      </c>
      <c r="W715" t="s">
        <v>125</v>
      </c>
      <c r="X715" t="s">
        <v>126</v>
      </c>
      <c r="Y715">
        <v>85</v>
      </c>
      <c r="Z715" t="s">
        <v>107</v>
      </c>
      <c r="AA715" t="s">
        <v>108</v>
      </c>
      <c r="AB715" s="1">
        <v>46312</v>
      </c>
      <c r="AC715" t="s">
        <v>66</v>
      </c>
      <c r="AD715" t="s">
        <v>40</v>
      </c>
      <c r="AE715" t="s">
        <v>60</v>
      </c>
      <c r="AF715" t="s">
        <v>40</v>
      </c>
      <c r="AG715">
        <v>0</v>
      </c>
      <c r="AH715" t="s">
        <v>70</v>
      </c>
    </row>
    <row r="716" spans="1:34" x14ac:dyDescent="0.3">
      <c r="A716" t="s">
        <v>1258</v>
      </c>
      <c r="B716" t="s">
        <v>152</v>
      </c>
      <c r="C716" t="s">
        <v>79</v>
      </c>
      <c r="D716" t="s">
        <v>130</v>
      </c>
      <c r="E716" s="1">
        <v>45887</v>
      </c>
      <c r="F716" s="1">
        <v>45987</v>
      </c>
      <c r="G716" t="s">
        <v>81</v>
      </c>
      <c r="H716">
        <v>7056</v>
      </c>
      <c r="I716" t="s">
        <v>39</v>
      </c>
      <c r="J716" t="b">
        <v>0</v>
      </c>
      <c r="K716">
        <v>100</v>
      </c>
      <c r="L716">
        <v>11</v>
      </c>
      <c r="M716">
        <v>2025</v>
      </c>
      <c r="N716">
        <v>2</v>
      </c>
      <c r="O716">
        <v>8</v>
      </c>
      <c r="P716">
        <v>2025</v>
      </c>
      <c r="Q716">
        <v>0</v>
      </c>
      <c r="R716" t="s">
        <v>40</v>
      </c>
      <c r="S716" t="s">
        <v>45</v>
      </c>
      <c r="T716" t="s">
        <v>68</v>
      </c>
      <c r="U716" t="s">
        <v>66</v>
      </c>
      <c r="V716" t="s">
        <v>82</v>
      </c>
      <c r="W716" t="s">
        <v>83</v>
      </c>
      <c r="X716" t="s">
        <v>76</v>
      </c>
      <c r="Y716">
        <v>100</v>
      </c>
      <c r="Z716" t="s">
        <v>133</v>
      </c>
      <c r="AA716" t="s">
        <v>134</v>
      </c>
      <c r="AB716" s="1">
        <v>45987</v>
      </c>
      <c r="AC716" t="s">
        <v>40</v>
      </c>
      <c r="AD716" t="s">
        <v>40</v>
      </c>
      <c r="AE716" t="s">
        <v>86</v>
      </c>
      <c r="AF716" t="s">
        <v>40</v>
      </c>
      <c r="AG716">
        <v>0</v>
      </c>
      <c r="AH716" t="s">
        <v>49</v>
      </c>
    </row>
    <row r="717" spans="1:34" x14ac:dyDescent="0.3">
      <c r="A717" t="s">
        <v>1259</v>
      </c>
      <c r="B717" t="s">
        <v>78</v>
      </c>
      <c r="C717" t="s">
        <v>73</v>
      </c>
      <c r="D717" t="s">
        <v>80</v>
      </c>
      <c r="E717" s="1">
        <v>46283</v>
      </c>
      <c r="F717" s="1">
        <v>46313</v>
      </c>
      <c r="G717" t="s">
        <v>41</v>
      </c>
      <c r="H717">
        <v>7387</v>
      </c>
      <c r="I717" t="s">
        <v>39</v>
      </c>
      <c r="J717" t="b">
        <v>0</v>
      </c>
      <c r="K717">
        <v>30</v>
      </c>
      <c r="L717">
        <v>10</v>
      </c>
      <c r="M717">
        <v>2026</v>
      </c>
      <c r="N717">
        <v>6</v>
      </c>
      <c r="O717">
        <v>9</v>
      </c>
      <c r="P717">
        <v>2026</v>
      </c>
      <c r="Q717">
        <v>4</v>
      </c>
      <c r="R717" t="s">
        <v>66</v>
      </c>
      <c r="S717" t="s">
        <v>67</v>
      </c>
      <c r="T717" t="s">
        <v>42</v>
      </c>
      <c r="U717" t="s">
        <v>40</v>
      </c>
      <c r="V717" t="s">
        <v>74</v>
      </c>
      <c r="W717" t="s">
        <v>75</v>
      </c>
      <c r="X717" t="s">
        <v>76</v>
      </c>
      <c r="Y717">
        <v>75</v>
      </c>
      <c r="Z717" t="s">
        <v>84</v>
      </c>
      <c r="AA717" t="s">
        <v>85</v>
      </c>
      <c r="AB717" s="1">
        <v>46313</v>
      </c>
      <c r="AC717" t="s">
        <v>66</v>
      </c>
      <c r="AD717" t="s">
        <v>40</v>
      </c>
      <c r="AE717" t="s">
        <v>60</v>
      </c>
      <c r="AF717" t="s">
        <v>40</v>
      </c>
      <c r="AG717">
        <v>0</v>
      </c>
      <c r="AH717" t="s">
        <v>70</v>
      </c>
    </row>
    <row r="718" spans="1:34" x14ac:dyDescent="0.3">
      <c r="A718" t="s">
        <v>1260</v>
      </c>
      <c r="B718" t="s">
        <v>1261</v>
      </c>
      <c r="C718" t="s">
        <v>52</v>
      </c>
      <c r="D718" t="s">
        <v>53</v>
      </c>
      <c r="E718" s="1">
        <v>46089</v>
      </c>
      <c r="F718" s="1">
        <v>46096</v>
      </c>
      <c r="G718" t="s">
        <v>81</v>
      </c>
      <c r="H718">
        <v>10981</v>
      </c>
      <c r="I718" t="s">
        <v>65</v>
      </c>
      <c r="J718" t="b">
        <v>0</v>
      </c>
      <c r="K718">
        <v>7</v>
      </c>
      <c r="L718">
        <v>3</v>
      </c>
      <c r="M718">
        <v>2026</v>
      </c>
      <c r="N718">
        <v>6</v>
      </c>
      <c r="O718">
        <v>3</v>
      </c>
      <c r="P718">
        <v>2026</v>
      </c>
      <c r="Q718">
        <v>6</v>
      </c>
      <c r="R718" t="s">
        <v>66</v>
      </c>
      <c r="S718" t="s">
        <v>55</v>
      </c>
      <c r="T718" t="s">
        <v>42</v>
      </c>
      <c r="U718" t="s">
        <v>40</v>
      </c>
      <c r="V718" t="s">
        <v>56</v>
      </c>
      <c r="W718" t="s">
        <v>57</v>
      </c>
      <c r="X718" t="s">
        <v>45</v>
      </c>
      <c r="Y718">
        <v>120</v>
      </c>
      <c r="Z718" t="s">
        <v>58</v>
      </c>
      <c r="AA718" t="s">
        <v>59</v>
      </c>
      <c r="AB718" s="1">
        <v>46096</v>
      </c>
      <c r="AC718" t="s">
        <v>66</v>
      </c>
      <c r="AD718" t="s">
        <v>40</v>
      </c>
      <c r="AE718" t="s">
        <v>60</v>
      </c>
      <c r="AF718" t="s">
        <v>40</v>
      </c>
      <c r="AG718">
        <v>0</v>
      </c>
      <c r="AH718" t="s">
        <v>100</v>
      </c>
    </row>
    <row r="719" spans="1:34" x14ac:dyDescent="0.3">
      <c r="A719" t="s">
        <v>1262</v>
      </c>
      <c r="B719" t="s">
        <v>1263</v>
      </c>
      <c r="C719" t="s">
        <v>73</v>
      </c>
      <c r="D719" t="s">
        <v>104</v>
      </c>
      <c r="E719" s="1">
        <v>45732</v>
      </c>
      <c r="F719" s="1">
        <v>45792</v>
      </c>
      <c r="G719" t="s">
        <v>64</v>
      </c>
      <c r="H719">
        <v>2344</v>
      </c>
      <c r="I719" t="s">
        <v>54</v>
      </c>
      <c r="J719" t="b">
        <v>0</v>
      </c>
      <c r="K719">
        <v>60</v>
      </c>
      <c r="L719">
        <v>5</v>
      </c>
      <c r="M719">
        <v>2025</v>
      </c>
      <c r="N719">
        <v>3</v>
      </c>
      <c r="O719">
        <v>3</v>
      </c>
      <c r="P719">
        <v>2025</v>
      </c>
      <c r="Q719">
        <v>6</v>
      </c>
      <c r="R719" t="s">
        <v>40</v>
      </c>
      <c r="S719" t="s">
        <v>45</v>
      </c>
      <c r="T719" t="s">
        <v>42</v>
      </c>
      <c r="U719" t="s">
        <v>40</v>
      </c>
      <c r="V719" t="s">
        <v>74</v>
      </c>
      <c r="W719" t="s">
        <v>75</v>
      </c>
      <c r="X719" t="s">
        <v>76</v>
      </c>
      <c r="Y719">
        <v>75</v>
      </c>
      <c r="Z719" t="s">
        <v>107</v>
      </c>
      <c r="AA719" t="s">
        <v>108</v>
      </c>
      <c r="AB719" s="1">
        <v>45792</v>
      </c>
      <c r="AC719" t="s">
        <v>40</v>
      </c>
      <c r="AD719" t="s">
        <v>40</v>
      </c>
      <c r="AE719" t="s">
        <v>69</v>
      </c>
      <c r="AF719" t="s">
        <v>40</v>
      </c>
      <c r="AG719">
        <v>1</v>
      </c>
      <c r="AH719" t="s">
        <v>61</v>
      </c>
    </row>
    <row r="720" spans="1:34" x14ac:dyDescent="0.3">
      <c r="A720" t="s">
        <v>1264</v>
      </c>
      <c r="B720" t="s">
        <v>1265</v>
      </c>
      <c r="C720" t="s">
        <v>122</v>
      </c>
      <c r="D720" t="s">
        <v>90</v>
      </c>
      <c r="E720" s="1">
        <v>45935</v>
      </c>
      <c r="F720" s="1">
        <v>45995</v>
      </c>
      <c r="G720" t="s">
        <v>64</v>
      </c>
      <c r="H720">
        <v>3217</v>
      </c>
      <c r="I720" t="s">
        <v>65</v>
      </c>
      <c r="J720" t="b">
        <v>0</v>
      </c>
      <c r="K720">
        <v>60</v>
      </c>
      <c r="L720">
        <v>12</v>
      </c>
      <c r="M720">
        <v>2025</v>
      </c>
      <c r="N720">
        <v>3</v>
      </c>
      <c r="O720">
        <v>10</v>
      </c>
      <c r="P720">
        <v>2025</v>
      </c>
      <c r="Q720">
        <v>6</v>
      </c>
      <c r="R720" t="s">
        <v>40</v>
      </c>
      <c r="S720" t="s">
        <v>55</v>
      </c>
      <c r="T720" t="s">
        <v>42</v>
      </c>
      <c r="U720" t="s">
        <v>40</v>
      </c>
      <c r="V720" t="s">
        <v>124</v>
      </c>
      <c r="W720" t="s">
        <v>125</v>
      </c>
      <c r="X720" t="s">
        <v>126</v>
      </c>
      <c r="Y720">
        <v>85</v>
      </c>
      <c r="Z720" t="s">
        <v>93</v>
      </c>
      <c r="AA720" t="s">
        <v>94</v>
      </c>
      <c r="AB720" s="1">
        <v>45995</v>
      </c>
      <c r="AC720" t="s">
        <v>40</v>
      </c>
      <c r="AD720" t="s">
        <v>40</v>
      </c>
      <c r="AE720" t="s">
        <v>69</v>
      </c>
      <c r="AF720" t="s">
        <v>40</v>
      </c>
      <c r="AG720">
        <v>0</v>
      </c>
      <c r="AH720" t="s">
        <v>61</v>
      </c>
    </row>
    <row r="721" spans="1:34" x14ac:dyDescent="0.3">
      <c r="A721" t="s">
        <v>1266</v>
      </c>
      <c r="B721" t="s">
        <v>427</v>
      </c>
      <c r="C721" t="s">
        <v>52</v>
      </c>
      <c r="D721" t="s">
        <v>130</v>
      </c>
      <c r="E721" s="1">
        <v>45684</v>
      </c>
      <c r="F721" s="1">
        <v>45744</v>
      </c>
      <c r="G721" t="s">
        <v>38</v>
      </c>
      <c r="H721">
        <v>5053</v>
      </c>
      <c r="I721" t="s">
        <v>39</v>
      </c>
      <c r="J721" t="b">
        <v>0</v>
      </c>
      <c r="K721">
        <v>60</v>
      </c>
      <c r="L721">
        <v>3</v>
      </c>
      <c r="M721">
        <v>2025</v>
      </c>
      <c r="N721">
        <v>4</v>
      </c>
      <c r="O721">
        <v>1</v>
      </c>
      <c r="P721">
        <v>2025</v>
      </c>
      <c r="Q721">
        <v>0</v>
      </c>
      <c r="R721" t="s">
        <v>40</v>
      </c>
      <c r="S721" t="s">
        <v>45</v>
      </c>
      <c r="T721" t="s">
        <v>42</v>
      </c>
      <c r="U721" t="s">
        <v>40</v>
      </c>
      <c r="V721" t="s">
        <v>56</v>
      </c>
      <c r="W721" t="s">
        <v>57</v>
      </c>
      <c r="X721" t="s">
        <v>45</v>
      </c>
      <c r="Y721">
        <v>120</v>
      </c>
      <c r="Z721" t="s">
        <v>133</v>
      </c>
      <c r="AA721" t="s">
        <v>134</v>
      </c>
      <c r="AB721" s="1">
        <v>45744</v>
      </c>
      <c r="AC721" t="s">
        <v>40</v>
      </c>
      <c r="AD721" t="s">
        <v>40</v>
      </c>
      <c r="AE721" t="s">
        <v>60</v>
      </c>
      <c r="AF721" t="s">
        <v>40</v>
      </c>
      <c r="AG721">
        <v>0</v>
      </c>
      <c r="AH721" t="s">
        <v>61</v>
      </c>
    </row>
    <row r="722" spans="1:34" x14ac:dyDescent="0.3">
      <c r="A722" t="s">
        <v>1267</v>
      </c>
      <c r="B722" t="s">
        <v>1268</v>
      </c>
      <c r="C722" t="s">
        <v>103</v>
      </c>
      <c r="D722" t="s">
        <v>37</v>
      </c>
      <c r="E722" s="1">
        <v>46095</v>
      </c>
      <c r="F722" s="1">
        <v>46125</v>
      </c>
      <c r="G722" t="s">
        <v>64</v>
      </c>
      <c r="H722">
        <v>2441</v>
      </c>
      <c r="I722" t="s">
        <v>39</v>
      </c>
      <c r="J722" t="b">
        <v>0</v>
      </c>
      <c r="K722">
        <v>30</v>
      </c>
      <c r="L722">
        <v>4</v>
      </c>
      <c r="M722">
        <v>2026</v>
      </c>
      <c r="N722">
        <v>0</v>
      </c>
      <c r="O722">
        <v>3</v>
      </c>
      <c r="P722">
        <v>2026</v>
      </c>
      <c r="Q722">
        <v>5</v>
      </c>
      <c r="R722" t="s">
        <v>40</v>
      </c>
      <c r="S722" t="s">
        <v>45</v>
      </c>
      <c r="T722" t="s">
        <v>42</v>
      </c>
      <c r="U722" t="s">
        <v>66</v>
      </c>
      <c r="V722" t="s">
        <v>105</v>
      </c>
      <c r="W722" t="s">
        <v>106</v>
      </c>
      <c r="X722" t="s">
        <v>45</v>
      </c>
      <c r="Y722">
        <v>140</v>
      </c>
      <c r="Z722" t="s">
        <v>46</v>
      </c>
      <c r="AA722" t="s">
        <v>47</v>
      </c>
      <c r="AB722" s="1">
        <v>46125</v>
      </c>
      <c r="AC722" t="s">
        <v>40</v>
      </c>
      <c r="AD722" t="s">
        <v>40</v>
      </c>
      <c r="AE722" t="s">
        <v>69</v>
      </c>
      <c r="AF722" t="s">
        <v>40</v>
      </c>
      <c r="AG722">
        <v>0</v>
      </c>
      <c r="AH722" t="s">
        <v>70</v>
      </c>
    </row>
    <row r="723" spans="1:34" x14ac:dyDescent="0.3">
      <c r="A723" t="s">
        <v>1269</v>
      </c>
      <c r="B723" t="s">
        <v>1270</v>
      </c>
      <c r="C723" t="s">
        <v>155</v>
      </c>
      <c r="D723" t="s">
        <v>130</v>
      </c>
      <c r="E723" s="1">
        <v>45890</v>
      </c>
      <c r="F723" s="1">
        <v>45904</v>
      </c>
      <c r="G723" t="s">
        <v>64</v>
      </c>
      <c r="H723">
        <v>3988</v>
      </c>
      <c r="I723" t="s">
        <v>39</v>
      </c>
      <c r="J723" t="b">
        <v>0</v>
      </c>
      <c r="K723">
        <v>14</v>
      </c>
      <c r="L723">
        <v>9</v>
      </c>
      <c r="M723">
        <v>2025</v>
      </c>
      <c r="N723">
        <v>3</v>
      </c>
      <c r="O723">
        <v>8</v>
      </c>
      <c r="P723">
        <v>2025</v>
      </c>
      <c r="Q723">
        <v>3</v>
      </c>
      <c r="R723" t="s">
        <v>40</v>
      </c>
      <c r="S723" t="s">
        <v>41</v>
      </c>
      <c r="T723" t="s">
        <v>42</v>
      </c>
      <c r="U723" t="s">
        <v>40</v>
      </c>
      <c r="V723" t="s">
        <v>156</v>
      </c>
      <c r="W723" t="s">
        <v>157</v>
      </c>
      <c r="X723" t="s">
        <v>158</v>
      </c>
      <c r="Y723">
        <v>70</v>
      </c>
      <c r="Z723" t="s">
        <v>133</v>
      </c>
      <c r="AA723" t="s">
        <v>134</v>
      </c>
      <c r="AB723" s="1">
        <v>45904</v>
      </c>
      <c r="AC723" t="s">
        <v>40</v>
      </c>
      <c r="AD723" t="s">
        <v>40</v>
      </c>
      <c r="AE723" t="s">
        <v>60</v>
      </c>
      <c r="AF723" t="s">
        <v>40</v>
      </c>
      <c r="AG723">
        <v>0</v>
      </c>
      <c r="AH723" t="s">
        <v>70</v>
      </c>
    </row>
    <row r="724" spans="1:34" x14ac:dyDescent="0.3">
      <c r="A724" t="s">
        <v>1271</v>
      </c>
      <c r="B724" t="s">
        <v>1051</v>
      </c>
      <c r="C724" t="s">
        <v>79</v>
      </c>
      <c r="D724" t="s">
        <v>80</v>
      </c>
      <c r="E724" s="1">
        <v>46328</v>
      </c>
      <c r="F724" s="1">
        <v>46428</v>
      </c>
      <c r="G724" t="s">
        <v>81</v>
      </c>
      <c r="H724">
        <v>10421</v>
      </c>
      <c r="I724" t="s">
        <v>54</v>
      </c>
      <c r="J724" t="b">
        <v>0</v>
      </c>
      <c r="K724">
        <v>100</v>
      </c>
      <c r="L724">
        <v>2</v>
      </c>
      <c r="M724">
        <v>2027</v>
      </c>
      <c r="N724">
        <v>2</v>
      </c>
      <c r="O724">
        <v>11</v>
      </c>
      <c r="P724">
        <v>2026</v>
      </c>
      <c r="Q724">
        <v>0</v>
      </c>
      <c r="R724" t="s">
        <v>40</v>
      </c>
      <c r="S724" t="s">
        <v>67</v>
      </c>
      <c r="T724" t="s">
        <v>42</v>
      </c>
      <c r="U724" t="s">
        <v>66</v>
      </c>
      <c r="V724" t="s">
        <v>82</v>
      </c>
      <c r="W724" t="s">
        <v>83</v>
      </c>
      <c r="X724" t="s">
        <v>76</v>
      </c>
      <c r="Y724">
        <v>100</v>
      </c>
      <c r="Z724" t="s">
        <v>84</v>
      </c>
      <c r="AA724" t="s">
        <v>85</v>
      </c>
      <c r="AB724" s="1"/>
      <c r="AC724" t="s">
        <v>48</v>
      </c>
      <c r="AD724" t="s">
        <v>48</v>
      </c>
      <c r="AE724" t="s">
        <v>48</v>
      </c>
      <c r="AF724" t="s">
        <v>48</v>
      </c>
      <c r="AG724">
        <v>1</v>
      </c>
      <c r="AH724" t="s">
        <v>49</v>
      </c>
    </row>
    <row r="725" spans="1:34" x14ac:dyDescent="0.3">
      <c r="A725" t="s">
        <v>1272</v>
      </c>
      <c r="B725" t="s">
        <v>1250</v>
      </c>
      <c r="C725" t="s">
        <v>146</v>
      </c>
      <c r="D725" t="s">
        <v>90</v>
      </c>
      <c r="E725" s="1">
        <v>46164</v>
      </c>
      <c r="F725" s="1">
        <v>46224</v>
      </c>
      <c r="G725" t="s">
        <v>81</v>
      </c>
      <c r="H725">
        <v>9505</v>
      </c>
      <c r="I725" t="s">
        <v>39</v>
      </c>
      <c r="J725" t="b">
        <v>0</v>
      </c>
      <c r="K725">
        <v>60</v>
      </c>
      <c r="L725">
        <v>7</v>
      </c>
      <c r="M725">
        <v>2026</v>
      </c>
      <c r="N725">
        <v>1</v>
      </c>
      <c r="O725">
        <v>5</v>
      </c>
      <c r="P725">
        <v>2026</v>
      </c>
      <c r="Q725">
        <v>4</v>
      </c>
      <c r="R725" t="s">
        <v>40</v>
      </c>
      <c r="S725" t="s">
        <v>55</v>
      </c>
      <c r="T725" t="s">
        <v>48</v>
      </c>
      <c r="U725" t="s">
        <v>40</v>
      </c>
      <c r="V725" t="s">
        <v>147</v>
      </c>
      <c r="W725" t="s">
        <v>148</v>
      </c>
      <c r="X725" t="s">
        <v>45</v>
      </c>
      <c r="Y725">
        <v>160</v>
      </c>
      <c r="Z725" t="s">
        <v>93</v>
      </c>
      <c r="AA725" t="s">
        <v>94</v>
      </c>
      <c r="AB725" s="1">
        <v>46224</v>
      </c>
      <c r="AC725" t="s">
        <v>40</v>
      </c>
      <c r="AD725" t="s">
        <v>40</v>
      </c>
      <c r="AE725" t="s">
        <v>86</v>
      </c>
      <c r="AF725" t="s">
        <v>40</v>
      </c>
      <c r="AG725">
        <v>0</v>
      </c>
      <c r="AH725" t="s">
        <v>61</v>
      </c>
    </row>
    <row r="726" spans="1:34" x14ac:dyDescent="0.3">
      <c r="A726" t="s">
        <v>1273</v>
      </c>
      <c r="B726" t="s">
        <v>1274</v>
      </c>
      <c r="C726" t="s">
        <v>79</v>
      </c>
      <c r="D726" t="s">
        <v>37</v>
      </c>
      <c r="E726" s="1">
        <v>46212</v>
      </c>
      <c r="F726" s="1">
        <v>46242</v>
      </c>
      <c r="G726" t="s">
        <v>64</v>
      </c>
      <c r="H726">
        <v>4044</v>
      </c>
      <c r="I726" t="s">
        <v>39</v>
      </c>
      <c r="J726" t="b">
        <v>0</v>
      </c>
      <c r="K726">
        <v>30</v>
      </c>
      <c r="L726">
        <v>8</v>
      </c>
      <c r="M726">
        <v>2026</v>
      </c>
      <c r="N726">
        <v>5</v>
      </c>
      <c r="O726">
        <v>7</v>
      </c>
      <c r="P726">
        <v>2026</v>
      </c>
      <c r="Q726">
        <v>3</v>
      </c>
      <c r="R726" t="s">
        <v>66</v>
      </c>
      <c r="S726" t="s">
        <v>41</v>
      </c>
      <c r="T726" t="s">
        <v>123</v>
      </c>
      <c r="U726" t="s">
        <v>40</v>
      </c>
      <c r="V726" t="s">
        <v>82</v>
      </c>
      <c r="W726" t="s">
        <v>83</v>
      </c>
      <c r="X726" t="s">
        <v>76</v>
      </c>
      <c r="Y726">
        <v>100</v>
      </c>
      <c r="Z726" t="s">
        <v>46</v>
      </c>
      <c r="AA726" t="s">
        <v>47</v>
      </c>
      <c r="AB726" s="1">
        <v>46242</v>
      </c>
      <c r="AC726" t="s">
        <v>66</v>
      </c>
      <c r="AD726" t="s">
        <v>40</v>
      </c>
      <c r="AE726" t="s">
        <v>86</v>
      </c>
      <c r="AF726" t="s">
        <v>40</v>
      </c>
      <c r="AG726">
        <v>0</v>
      </c>
      <c r="AH726" t="s">
        <v>70</v>
      </c>
    </row>
    <row r="727" spans="1:34" x14ac:dyDescent="0.3">
      <c r="A727" t="s">
        <v>1275</v>
      </c>
      <c r="B727" t="s">
        <v>589</v>
      </c>
      <c r="C727" t="s">
        <v>73</v>
      </c>
      <c r="D727" t="s">
        <v>53</v>
      </c>
      <c r="E727" s="1">
        <v>46224</v>
      </c>
      <c r="F727" s="1">
        <v>46231</v>
      </c>
      <c r="G727" t="s">
        <v>81</v>
      </c>
      <c r="H727">
        <v>10106</v>
      </c>
      <c r="I727" t="s">
        <v>39</v>
      </c>
      <c r="J727" t="b">
        <v>0</v>
      </c>
      <c r="K727">
        <v>7</v>
      </c>
      <c r="L727">
        <v>7</v>
      </c>
      <c r="M727">
        <v>2026</v>
      </c>
      <c r="N727">
        <v>1</v>
      </c>
      <c r="O727">
        <v>7</v>
      </c>
      <c r="P727">
        <v>2026</v>
      </c>
      <c r="Q727">
        <v>1</v>
      </c>
      <c r="R727" t="s">
        <v>40</v>
      </c>
      <c r="S727" t="s">
        <v>55</v>
      </c>
      <c r="T727" t="s">
        <v>68</v>
      </c>
      <c r="U727" t="s">
        <v>66</v>
      </c>
      <c r="V727" t="s">
        <v>74</v>
      </c>
      <c r="W727" t="s">
        <v>75</v>
      </c>
      <c r="X727" t="s">
        <v>76</v>
      </c>
      <c r="Y727">
        <v>75</v>
      </c>
      <c r="Z727" t="s">
        <v>58</v>
      </c>
      <c r="AA727" t="s">
        <v>59</v>
      </c>
      <c r="AB727" s="1">
        <v>46231</v>
      </c>
      <c r="AC727" t="s">
        <v>40</v>
      </c>
      <c r="AD727" t="s">
        <v>40</v>
      </c>
      <c r="AE727" t="s">
        <v>86</v>
      </c>
      <c r="AF727" t="s">
        <v>40</v>
      </c>
      <c r="AG727">
        <v>0</v>
      </c>
      <c r="AH727" t="s">
        <v>100</v>
      </c>
    </row>
    <row r="728" spans="1:34" x14ac:dyDescent="0.3">
      <c r="A728" t="s">
        <v>1276</v>
      </c>
      <c r="B728" t="s">
        <v>713</v>
      </c>
      <c r="C728" t="s">
        <v>169</v>
      </c>
      <c r="D728" t="s">
        <v>53</v>
      </c>
      <c r="E728" s="1">
        <v>46260</v>
      </c>
      <c r="F728" s="1">
        <v>46274</v>
      </c>
      <c r="G728" t="s">
        <v>64</v>
      </c>
      <c r="H728">
        <v>2771</v>
      </c>
      <c r="I728" t="s">
        <v>39</v>
      </c>
      <c r="J728" t="b">
        <v>0</v>
      </c>
      <c r="K728">
        <v>14</v>
      </c>
      <c r="L728">
        <v>9</v>
      </c>
      <c r="M728">
        <v>2026</v>
      </c>
      <c r="N728">
        <v>2</v>
      </c>
      <c r="O728">
        <v>8</v>
      </c>
      <c r="P728">
        <v>2026</v>
      </c>
      <c r="Q728">
        <v>2</v>
      </c>
      <c r="R728" t="s">
        <v>40</v>
      </c>
      <c r="S728" t="s">
        <v>41</v>
      </c>
      <c r="T728" t="s">
        <v>42</v>
      </c>
      <c r="U728" t="s">
        <v>66</v>
      </c>
      <c r="V728" t="s">
        <v>170</v>
      </c>
      <c r="W728" t="s">
        <v>171</v>
      </c>
      <c r="X728" t="s">
        <v>126</v>
      </c>
      <c r="Y728">
        <v>90</v>
      </c>
      <c r="Z728" t="s">
        <v>58</v>
      </c>
      <c r="AA728" t="s">
        <v>59</v>
      </c>
      <c r="AB728" s="1">
        <v>46274</v>
      </c>
      <c r="AC728" t="s">
        <v>40</v>
      </c>
      <c r="AD728" t="s">
        <v>40</v>
      </c>
      <c r="AE728" t="s">
        <v>60</v>
      </c>
      <c r="AF728" t="s">
        <v>40</v>
      </c>
      <c r="AG728">
        <v>0</v>
      </c>
      <c r="AH728" t="s">
        <v>70</v>
      </c>
    </row>
    <row r="729" spans="1:34" x14ac:dyDescent="0.3">
      <c r="A729" t="s">
        <v>1277</v>
      </c>
      <c r="B729" t="s">
        <v>344</v>
      </c>
      <c r="C729" t="s">
        <v>73</v>
      </c>
      <c r="D729" t="s">
        <v>104</v>
      </c>
      <c r="E729" s="1">
        <v>45846</v>
      </c>
      <c r="F729" s="1">
        <v>45876</v>
      </c>
      <c r="G729" t="s">
        <v>64</v>
      </c>
      <c r="H729">
        <v>2264</v>
      </c>
      <c r="I729" t="s">
        <v>65</v>
      </c>
      <c r="J729" t="b">
        <v>0</v>
      </c>
      <c r="K729">
        <v>30</v>
      </c>
      <c r="L729">
        <v>8</v>
      </c>
      <c r="M729">
        <v>2025</v>
      </c>
      <c r="N729">
        <v>3</v>
      </c>
      <c r="O729">
        <v>7</v>
      </c>
      <c r="P729">
        <v>2025</v>
      </c>
      <c r="Q729">
        <v>1</v>
      </c>
      <c r="R729" t="s">
        <v>40</v>
      </c>
      <c r="S729" t="s">
        <v>55</v>
      </c>
      <c r="T729" t="s">
        <v>42</v>
      </c>
      <c r="U729" t="s">
        <v>40</v>
      </c>
      <c r="V729" t="s">
        <v>74</v>
      </c>
      <c r="W729" t="s">
        <v>75</v>
      </c>
      <c r="X729" t="s">
        <v>76</v>
      </c>
      <c r="Y729">
        <v>75</v>
      </c>
      <c r="Z729" t="s">
        <v>107</v>
      </c>
      <c r="AA729" t="s">
        <v>108</v>
      </c>
      <c r="AB729" s="1">
        <v>45876</v>
      </c>
      <c r="AC729" t="s">
        <v>40</v>
      </c>
      <c r="AD729" t="s">
        <v>40</v>
      </c>
      <c r="AE729" t="s">
        <v>86</v>
      </c>
      <c r="AF729" t="s">
        <v>40</v>
      </c>
      <c r="AG729">
        <v>0</v>
      </c>
      <c r="AH729" t="s">
        <v>70</v>
      </c>
    </row>
    <row r="730" spans="1:34" x14ac:dyDescent="0.3">
      <c r="A730" t="s">
        <v>1278</v>
      </c>
      <c r="B730" t="s">
        <v>507</v>
      </c>
      <c r="C730" t="s">
        <v>155</v>
      </c>
      <c r="D730" t="s">
        <v>90</v>
      </c>
      <c r="E730" s="1">
        <v>45686</v>
      </c>
      <c r="F730" s="1">
        <v>45700</v>
      </c>
      <c r="G730" t="s">
        <v>41</v>
      </c>
      <c r="H730">
        <v>7266</v>
      </c>
      <c r="I730" t="s">
        <v>65</v>
      </c>
      <c r="J730" t="b">
        <v>0</v>
      </c>
      <c r="K730">
        <v>14</v>
      </c>
      <c r="L730">
        <v>2</v>
      </c>
      <c r="M730">
        <v>2025</v>
      </c>
      <c r="N730">
        <v>2</v>
      </c>
      <c r="O730">
        <v>1</v>
      </c>
      <c r="P730">
        <v>2025</v>
      </c>
      <c r="Q730">
        <v>2</v>
      </c>
      <c r="R730" t="s">
        <v>40</v>
      </c>
      <c r="S730" t="s">
        <v>45</v>
      </c>
      <c r="T730" t="s">
        <v>42</v>
      </c>
      <c r="U730" t="s">
        <v>40</v>
      </c>
      <c r="V730" t="s">
        <v>156</v>
      </c>
      <c r="W730" t="s">
        <v>157</v>
      </c>
      <c r="X730" t="s">
        <v>158</v>
      </c>
      <c r="Y730">
        <v>70</v>
      </c>
      <c r="Z730" t="s">
        <v>93</v>
      </c>
      <c r="AA730" t="s">
        <v>94</v>
      </c>
      <c r="AB730" s="1">
        <v>45700</v>
      </c>
      <c r="AC730" t="s">
        <v>40</v>
      </c>
      <c r="AD730" t="s">
        <v>40</v>
      </c>
      <c r="AE730" t="s">
        <v>60</v>
      </c>
      <c r="AF730" t="s">
        <v>40</v>
      </c>
      <c r="AG730">
        <v>0</v>
      </c>
      <c r="AH730" t="s">
        <v>70</v>
      </c>
    </row>
    <row r="731" spans="1:34" x14ac:dyDescent="0.3">
      <c r="A731" t="s">
        <v>1279</v>
      </c>
      <c r="B731" t="s">
        <v>1280</v>
      </c>
      <c r="C731" t="s">
        <v>122</v>
      </c>
      <c r="D731" t="s">
        <v>104</v>
      </c>
      <c r="E731" s="1">
        <v>46244</v>
      </c>
      <c r="F731" s="1">
        <v>46304</v>
      </c>
      <c r="G731" t="s">
        <v>81</v>
      </c>
      <c r="H731">
        <v>10328</v>
      </c>
      <c r="I731" t="s">
        <v>65</v>
      </c>
      <c r="J731" t="b">
        <v>0</v>
      </c>
      <c r="K731">
        <v>60</v>
      </c>
      <c r="L731">
        <v>10</v>
      </c>
      <c r="M731">
        <v>2026</v>
      </c>
      <c r="N731">
        <v>4</v>
      </c>
      <c r="O731">
        <v>8</v>
      </c>
      <c r="P731">
        <v>2026</v>
      </c>
      <c r="Q731">
        <v>0</v>
      </c>
      <c r="R731" t="s">
        <v>40</v>
      </c>
      <c r="S731" t="s">
        <v>55</v>
      </c>
      <c r="T731" t="s">
        <v>42</v>
      </c>
      <c r="U731" t="s">
        <v>40</v>
      </c>
      <c r="V731" t="s">
        <v>124</v>
      </c>
      <c r="W731" t="s">
        <v>125</v>
      </c>
      <c r="X731" t="s">
        <v>126</v>
      </c>
      <c r="Y731">
        <v>85</v>
      </c>
      <c r="Z731" t="s">
        <v>107</v>
      </c>
      <c r="AA731" t="s">
        <v>108</v>
      </c>
      <c r="AB731" s="1">
        <v>46304</v>
      </c>
      <c r="AC731" t="s">
        <v>40</v>
      </c>
      <c r="AD731" t="s">
        <v>40</v>
      </c>
      <c r="AE731" t="s">
        <v>60</v>
      </c>
      <c r="AF731" t="s">
        <v>40</v>
      </c>
      <c r="AG731">
        <v>0</v>
      </c>
      <c r="AH731" t="s">
        <v>61</v>
      </c>
    </row>
    <row r="732" spans="1:34" x14ac:dyDescent="0.3">
      <c r="A732" t="s">
        <v>1281</v>
      </c>
      <c r="B732" t="s">
        <v>214</v>
      </c>
      <c r="C732" t="s">
        <v>129</v>
      </c>
      <c r="D732" t="s">
        <v>53</v>
      </c>
      <c r="E732" s="1">
        <v>45745</v>
      </c>
      <c r="F732" s="1">
        <v>45965</v>
      </c>
      <c r="G732" t="s">
        <v>81</v>
      </c>
      <c r="H732">
        <v>6816</v>
      </c>
      <c r="I732" t="s">
        <v>54</v>
      </c>
      <c r="J732" t="b">
        <v>0</v>
      </c>
      <c r="K732">
        <v>220</v>
      </c>
      <c r="L732">
        <v>11</v>
      </c>
      <c r="M732">
        <v>2025</v>
      </c>
      <c r="N732">
        <v>1</v>
      </c>
      <c r="O732">
        <v>3</v>
      </c>
      <c r="P732">
        <v>2025</v>
      </c>
      <c r="Q732">
        <v>5</v>
      </c>
      <c r="R732" t="s">
        <v>40</v>
      </c>
      <c r="S732" t="s">
        <v>45</v>
      </c>
      <c r="T732" t="s">
        <v>113</v>
      </c>
      <c r="U732" t="s">
        <v>40</v>
      </c>
      <c r="V732" t="s">
        <v>131</v>
      </c>
      <c r="W732" t="s">
        <v>132</v>
      </c>
      <c r="X732" t="s">
        <v>45</v>
      </c>
      <c r="Y732">
        <v>110</v>
      </c>
      <c r="Z732" t="s">
        <v>58</v>
      </c>
      <c r="AA732" t="s">
        <v>59</v>
      </c>
      <c r="AB732" s="1">
        <v>45965</v>
      </c>
      <c r="AC732" t="s">
        <v>40</v>
      </c>
      <c r="AD732" t="s">
        <v>40</v>
      </c>
      <c r="AE732" t="s">
        <v>86</v>
      </c>
      <c r="AF732" t="s">
        <v>40</v>
      </c>
      <c r="AG732">
        <v>1</v>
      </c>
      <c r="AH732" t="s">
        <v>142</v>
      </c>
    </row>
    <row r="733" spans="1:34" x14ac:dyDescent="0.3">
      <c r="A733" t="s">
        <v>1282</v>
      </c>
      <c r="B733" t="s">
        <v>1250</v>
      </c>
      <c r="C733" t="s">
        <v>129</v>
      </c>
      <c r="D733" t="s">
        <v>80</v>
      </c>
      <c r="E733" s="1">
        <v>45670</v>
      </c>
      <c r="F733" s="1">
        <v>45673</v>
      </c>
      <c r="G733" t="s">
        <v>81</v>
      </c>
      <c r="H733">
        <v>10135</v>
      </c>
      <c r="I733" t="s">
        <v>54</v>
      </c>
      <c r="J733" t="b">
        <v>0</v>
      </c>
      <c r="K733">
        <v>3</v>
      </c>
      <c r="L733">
        <v>1</v>
      </c>
      <c r="M733">
        <v>2025</v>
      </c>
      <c r="N733">
        <v>3</v>
      </c>
      <c r="O733">
        <v>1</v>
      </c>
      <c r="P733">
        <v>2025</v>
      </c>
      <c r="Q733">
        <v>0</v>
      </c>
      <c r="R733" t="s">
        <v>40</v>
      </c>
      <c r="S733" t="s">
        <v>55</v>
      </c>
      <c r="T733" t="s">
        <v>48</v>
      </c>
      <c r="U733" t="s">
        <v>40</v>
      </c>
      <c r="V733" t="s">
        <v>131</v>
      </c>
      <c r="W733" t="s">
        <v>132</v>
      </c>
      <c r="X733" t="s">
        <v>45</v>
      </c>
      <c r="Y733">
        <v>110</v>
      </c>
      <c r="Z733" t="s">
        <v>84</v>
      </c>
      <c r="AA733" t="s">
        <v>85</v>
      </c>
      <c r="AB733" s="1">
        <v>45673</v>
      </c>
      <c r="AC733" t="s">
        <v>40</v>
      </c>
      <c r="AD733" t="s">
        <v>40</v>
      </c>
      <c r="AE733" t="s">
        <v>86</v>
      </c>
      <c r="AF733" t="s">
        <v>40</v>
      </c>
      <c r="AG733">
        <v>1</v>
      </c>
      <c r="AH733" t="s">
        <v>100</v>
      </c>
    </row>
    <row r="734" spans="1:34" x14ac:dyDescent="0.3">
      <c r="A734" t="s">
        <v>1283</v>
      </c>
      <c r="B734" t="s">
        <v>1284</v>
      </c>
      <c r="C734" t="s">
        <v>79</v>
      </c>
      <c r="D734" t="s">
        <v>104</v>
      </c>
      <c r="E734" s="1">
        <v>46311</v>
      </c>
      <c r="F734" s="1">
        <v>46411</v>
      </c>
      <c r="G734" t="s">
        <v>38</v>
      </c>
      <c r="H734">
        <v>5873</v>
      </c>
      <c r="I734" t="s">
        <v>212</v>
      </c>
      <c r="J734" t="b">
        <v>0</v>
      </c>
      <c r="K734">
        <v>100</v>
      </c>
      <c r="L734">
        <v>1</v>
      </c>
      <c r="M734">
        <v>2027</v>
      </c>
      <c r="N734">
        <v>6</v>
      </c>
      <c r="O734">
        <v>10</v>
      </c>
      <c r="P734">
        <v>2026</v>
      </c>
      <c r="Q734">
        <v>4</v>
      </c>
      <c r="R734" t="s">
        <v>66</v>
      </c>
      <c r="S734" t="s">
        <v>55</v>
      </c>
      <c r="T734" t="s">
        <v>42</v>
      </c>
      <c r="U734" t="s">
        <v>66</v>
      </c>
      <c r="V734" t="s">
        <v>82</v>
      </c>
      <c r="W734" t="s">
        <v>83</v>
      </c>
      <c r="X734" t="s">
        <v>76</v>
      </c>
      <c r="Y734">
        <v>100</v>
      </c>
      <c r="Z734" t="s">
        <v>107</v>
      </c>
      <c r="AA734" t="s">
        <v>108</v>
      </c>
      <c r="AB734" s="1"/>
      <c r="AC734" t="s">
        <v>48</v>
      </c>
      <c r="AD734" t="s">
        <v>48</v>
      </c>
      <c r="AE734" t="s">
        <v>48</v>
      </c>
      <c r="AF734" t="s">
        <v>48</v>
      </c>
      <c r="AG734">
        <v>0</v>
      </c>
      <c r="AH734" t="s">
        <v>49</v>
      </c>
    </row>
    <row r="735" spans="1:34" x14ac:dyDescent="0.3">
      <c r="A735" t="s">
        <v>1285</v>
      </c>
      <c r="B735" t="s">
        <v>998</v>
      </c>
      <c r="C735" t="s">
        <v>97</v>
      </c>
      <c r="D735" t="s">
        <v>53</v>
      </c>
      <c r="E735" s="1">
        <v>45940</v>
      </c>
      <c r="F735" s="1">
        <v>45947</v>
      </c>
      <c r="G735" t="s">
        <v>41</v>
      </c>
      <c r="H735">
        <v>8568</v>
      </c>
      <c r="I735" t="s">
        <v>54</v>
      </c>
      <c r="J735" t="b">
        <v>0</v>
      </c>
      <c r="K735">
        <v>7</v>
      </c>
      <c r="L735">
        <v>10</v>
      </c>
      <c r="M735">
        <v>2025</v>
      </c>
      <c r="N735">
        <v>4</v>
      </c>
      <c r="O735">
        <v>10</v>
      </c>
      <c r="P735">
        <v>2025</v>
      </c>
      <c r="Q735">
        <v>4</v>
      </c>
      <c r="R735" t="s">
        <v>40</v>
      </c>
      <c r="S735" t="s">
        <v>41</v>
      </c>
      <c r="T735" t="s">
        <v>123</v>
      </c>
      <c r="U735" t="s">
        <v>66</v>
      </c>
      <c r="V735" t="s">
        <v>98</v>
      </c>
      <c r="W735" t="s">
        <v>99</v>
      </c>
      <c r="X735" t="s">
        <v>76</v>
      </c>
      <c r="Y735">
        <v>80</v>
      </c>
      <c r="Z735" t="s">
        <v>58</v>
      </c>
      <c r="AA735" t="s">
        <v>59</v>
      </c>
      <c r="AB735" s="1">
        <v>45947</v>
      </c>
      <c r="AC735" t="s">
        <v>40</v>
      </c>
      <c r="AD735" t="s">
        <v>40</v>
      </c>
      <c r="AE735" t="s">
        <v>60</v>
      </c>
      <c r="AF735" t="s">
        <v>40</v>
      </c>
      <c r="AG735">
        <v>1</v>
      </c>
      <c r="AH735" t="s">
        <v>100</v>
      </c>
    </row>
    <row r="736" spans="1:34" x14ac:dyDescent="0.3">
      <c r="A736" t="s">
        <v>1286</v>
      </c>
      <c r="B736" t="s">
        <v>434</v>
      </c>
      <c r="C736" t="s">
        <v>129</v>
      </c>
      <c r="D736" t="s">
        <v>130</v>
      </c>
      <c r="E736" s="1">
        <v>45846</v>
      </c>
      <c r="F736" s="1">
        <v>45906</v>
      </c>
      <c r="G736" t="s">
        <v>41</v>
      </c>
      <c r="H736">
        <v>7938</v>
      </c>
      <c r="I736" t="s">
        <v>212</v>
      </c>
      <c r="J736" t="b">
        <v>0</v>
      </c>
      <c r="K736">
        <v>60</v>
      </c>
      <c r="L736">
        <v>9</v>
      </c>
      <c r="M736">
        <v>2025</v>
      </c>
      <c r="N736">
        <v>5</v>
      </c>
      <c r="O736">
        <v>7</v>
      </c>
      <c r="P736">
        <v>2025</v>
      </c>
      <c r="Q736">
        <v>1</v>
      </c>
      <c r="R736" t="s">
        <v>66</v>
      </c>
      <c r="S736" t="s">
        <v>45</v>
      </c>
      <c r="T736" t="s">
        <v>68</v>
      </c>
      <c r="U736" t="s">
        <v>66</v>
      </c>
      <c r="V736" t="s">
        <v>131</v>
      </c>
      <c r="W736" t="s">
        <v>132</v>
      </c>
      <c r="X736" t="s">
        <v>45</v>
      </c>
      <c r="Y736">
        <v>110</v>
      </c>
      <c r="Z736" t="s">
        <v>133</v>
      </c>
      <c r="AA736" t="s">
        <v>134</v>
      </c>
      <c r="AB736" s="1">
        <v>45906</v>
      </c>
      <c r="AC736" t="s">
        <v>66</v>
      </c>
      <c r="AD736" t="s">
        <v>40</v>
      </c>
      <c r="AE736" t="s">
        <v>60</v>
      </c>
      <c r="AF736" t="s">
        <v>40</v>
      </c>
      <c r="AG736">
        <v>0</v>
      </c>
      <c r="AH736" t="s">
        <v>61</v>
      </c>
    </row>
    <row r="737" spans="1:34" x14ac:dyDescent="0.3">
      <c r="A737" t="s">
        <v>1287</v>
      </c>
      <c r="B737" t="s">
        <v>1288</v>
      </c>
      <c r="C737" t="s">
        <v>52</v>
      </c>
      <c r="D737" t="s">
        <v>37</v>
      </c>
      <c r="E737" s="1">
        <v>46019</v>
      </c>
      <c r="F737" s="1">
        <v>46049</v>
      </c>
      <c r="G737" t="s">
        <v>64</v>
      </c>
      <c r="H737">
        <v>2680</v>
      </c>
      <c r="I737" t="s">
        <v>54</v>
      </c>
      <c r="J737" t="b">
        <v>0</v>
      </c>
      <c r="K737">
        <v>30</v>
      </c>
      <c r="L737">
        <v>1</v>
      </c>
      <c r="M737">
        <v>2026</v>
      </c>
      <c r="N737">
        <v>1</v>
      </c>
      <c r="O737">
        <v>12</v>
      </c>
      <c r="P737">
        <v>2025</v>
      </c>
      <c r="Q737">
        <v>6</v>
      </c>
      <c r="R737" t="s">
        <v>40</v>
      </c>
      <c r="S737" t="s">
        <v>45</v>
      </c>
      <c r="T737" t="s">
        <v>139</v>
      </c>
      <c r="U737" t="s">
        <v>40</v>
      </c>
      <c r="V737" t="s">
        <v>56</v>
      </c>
      <c r="W737" t="s">
        <v>57</v>
      </c>
      <c r="X737" t="s">
        <v>45</v>
      </c>
      <c r="Y737">
        <v>120</v>
      </c>
      <c r="Z737" t="s">
        <v>46</v>
      </c>
      <c r="AA737" t="s">
        <v>47</v>
      </c>
      <c r="AB737" s="1">
        <v>46049</v>
      </c>
      <c r="AC737" t="s">
        <v>40</v>
      </c>
      <c r="AD737" t="s">
        <v>40</v>
      </c>
      <c r="AE737" t="s">
        <v>86</v>
      </c>
      <c r="AF737" t="s">
        <v>40</v>
      </c>
      <c r="AG737">
        <v>1</v>
      </c>
      <c r="AH737" t="s">
        <v>70</v>
      </c>
    </row>
    <row r="738" spans="1:34" x14ac:dyDescent="0.3">
      <c r="A738" t="s">
        <v>1289</v>
      </c>
      <c r="B738" t="s">
        <v>920</v>
      </c>
      <c r="C738" t="s">
        <v>73</v>
      </c>
      <c r="D738" t="s">
        <v>90</v>
      </c>
      <c r="E738" s="1">
        <v>45991</v>
      </c>
      <c r="F738" s="1">
        <v>46021</v>
      </c>
      <c r="G738" t="s">
        <v>41</v>
      </c>
      <c r="H738">
        <v>5586</v>
      </c>
      <c r="I738" t="s">
        <v>39</v>
      </c>
      <c r="J738" t="b">
        <v>0</v>
      </c>
      <c r="K738">
        <v>30</v>
      </c>
      <c r="L738">
        <v>12</v>
      </c>
      <c r="M738">
        <v>2025</v>
      </c>
      <c r="N738">
        <v>1</v>
      </c>
      <c r="O738">
        <v>11</v>
      </c>
      <c r="P738">
        <v>2025</v>
      </c>
      <c r="Q738">
        <v>6</v>
      </c>
      <c r="R738" t="s">
        <v>40</v>
      </c>
      <c r="S738" t="s">
        <v>55</v>
      </c>
      <c r="T738" t="s">
        <v>42</v>
      </c>
      <c r="U738" t="s">
        <v>40</v>
      </c>
      <c r="V738" t="s">
        <v>74</v>
      </c>
      <c r="W738" t="s">
        <v>75</v>
      </c>
      <c r="X738" t="s">
        <v>76</v>
      </c>
      <c r="Y738">
        <v>75</v>
      </c>
      <c r="Z738" t="s">
        <v>93</v>
      </c>
      <c r="AA738" t="s">
        <v>94</v>
      </c>
      <c r="AB738" s="1">
        <v>46021</v>
      </c>
      <c r="AC738" t="s">
        <v>40</v>
      </c>
      <c r="AD738" t="s">
        <v>40</v>
      </c>
      <c r="AE738" t="s">
        <v>69</v>
      </c>
      <c r="AF738" t="s">
        <v>40</v>
      </c>
      <c r="AG738">
        <v>0</v>
      </c>
      <c r="AH738" t="s">
        <v>70</v>
      </c>
    </row>
    <row r="739" spans="1:34" x14ac:dyDescent="0.3">
      <c r="A739" t="s">
        <v>1290</v>
      </c>
      <c r="B739" t="s">
        <v>1291</v>
      </c>
      <c r="C739" t="s">
        <v>129</v>
      </c>
      <c r="D739" t="s">
        <v>53</v>
      </c>
      <c r="E739" s="1">
        <v>46139</v>
      </c>
      <c r="F739" s="1">
        <v>46289</v>
      </c>
      <c r="G739" t="s">
        <v>81</v>
      </c>
      <c r="H739">
        <v>9517</v>
      </c>
      <c r="I739" t="s">
        <v>54</v>
      </c>
      <c r="J739" t="b">
        <v>0</v>
      </c>
      <c r="K739">
        <v>150</v>
      </c>
      <c r="L739">
        <v>9</v>
      </c>
      <c r="M739">
        <v>2026</v>
      </c>
      <c r="N739">
        <v>3</v>
      </c>
      <c r="O739">
        <v>4</v>
      </c>
      <c r="P739">
        <v>2026</v>
      </c>
      <c r="Q739">
        <v>0</v>
      </c>
      <c r="R739" t="s">
        <v>40</v>
      </c>
      <c r="S739" t="s">
        <v>45</v>
      </c>
      <c r="T739" t="s">
        <v>42</v>
      </c>
      <c r="U739" t="s">
        <v>40</v>
      </c>
      <c r="V739" t="s">
        <v>131</v>
      </c>
      <c r="W739" t="s">
        <v>132</v>
      </c>
      <c r="X739" t="s">
        <v>45</v>
      </c>
      <c r="Y739">
        <v>110</v>
      </c>
      <c r="Z739" t="s">
        <v>58</v>
      </c>
      <c r="AA739" t="s">
        <v>59</v>
      </c>
      <c r="AB739" s="1">
        <v>46289</v>
      </c>
      <c r="AC739" t="s">
        <v>40</v>
      </c>
      <c r="AD739" t="s">
        <v>40</v>
      </c>
      <c r="AE739" t="s">
        <v>60</v>
      </c>
      <c r="AF739" t="s">
        <v>40</v>
      </c>
      <c r="AG739">
        <v>1</v>
      </c>
      <c r="AH739" t="s">
        <v>49</v>
      </c>
    </row>
    <row r="740" spans="1:34" x14ac:dyDescent="0.3">
      <c r="A740" t="s">
        <v>1292</v>
      </c>
      <c r="B740" t="s">
        <v>88</v>
      </c>
      <c r="C740" t="s">
        <v>52</v>
      </c>
      <c r="D740" t="s">
        <v>130</v>
      </c>
      <c r="E740" s="1">
        <v>46281</v>
      </c>
      <c r="F740" s="1">
        <v>46288</v>
      </c>
      <c r="G740" t="s">
        <v>81</v>
      </c>
      <c r="H740">
        <v>11263</v>
      </c>
      <c r="I740" t="s">
        <v>65</v>
      </c>
      <c r="J740" t="b">
        <v>0</v>
      </c>
      <c r="K740">
        <v>7</v>
      </c>
      <c r="L740">
        <v>9</v>
      </c>
      <c r="M740">
        <v>2026</v>
      </c>
      <c r="N740">
        <v>2</v>
      </c>
      <c r="O740">
        <v>9</v>
      </c>
      <c r="P740">
        <v>2026</v>
      </c>
      <c r="Q740">
        <v>2</v>
      </c>
      <c r="R740" t="s">
        <v>40</v>
      </c>
      <c r="S740" t="s">
        <v>67</v>
      </c>
      <c r="T740" t="s">
        <v>42</v>
      </c>
      <c r="U740" t="s">
        <v>40</v>
      </c>
      <c r="V740" t="s">
        <v>56</v>
      </c>
      <c r="W740" t="s">
        <v>57</v>
      </c>
      <c r="X740" t="s">
        <v>45</v>
      </c>
      <c r="Y740">
        <v>120</v>
      </c>
      <c r="Z740" t="s">
        <v>133</v>
      </c>
      <c r="AA740" t="s">
        <v>134</v>
      </c>
      <c r="AB740" s="1">
        <v>46288</v>
      </c>
      <c r="AC740" t="s">
        <v>40</v>
      </c>
      <c r="AD740" t="s">
        <v>40</v>
      </c>
      <c r="AE740" t="s">
        <v>60</v>
      </c>
      <c r="AF740" t="s">
        <v>40</v>
      </c>
      <c r="AG740">
        <v>0</v>
      </c>
      <c r="AH740" t="s">
        <v>100</v>
      </c>
    </row>
    <row r="741" spans="1:34" x14ac:dyDescent="0.3">
      <c r="A741" t="s">
        <v>1293</v>
      </c>
      <c r="B741" t="s">
        <v>489</v>
      </c>
      <c r="C741" t="s">
        <v>129</v>
      </c>
      <c r="D741" t="s">
        <v>37</v>
      </c>
      <c r="E741" s="1">
        <v>45811</v>
      </c>
      <c r="F741" s="1">
        <v>45825</v>
      </c>
      <c r="G741" t="s">
        <v>64</v>
      </c>
      <c r="H741">
        <v>4163</v>
      </c>
      <c r="I741" t="s">
        <v>65</v>
      </c>
      <c r="J741" t="b">
        <v>0</v>
      </c>
      <c r="K741">
        <v>14</v>
      </c>
      <c r="L741">
        <v>6</v>
      </c>
      <c r="M741">
        <v>2025</v>
      </c>
      <c r="N741">
        <v>1</v>
      </c>
      <c r="O741">
        <v>6</v>
      </c>
      <c r="P741">
        <v>2025</v>
      </c>
      <c r="Q741">
        <v>1</v>
      </c>
      <c r="R741" t="s">
        <v>40</v>
      </c>
      <c r="S741" t="s">
        <v>67</v>
      </c>
      <c r="T741" t="s">
        <v>42</v>
      </c>
      <c r="U741" t="s">
        <v>40</v>
      </c>
      <c r="V741" t="s">
        <v>131</v>
      </c>
      <c r="W741" t="s">
        <v>132</v>
      </c>
      <c r="X741" t="s">
        <v>45</v>
      </c>
      <c r="Y741">
        <v>110</v>
      </c>
      <c r="Z741" t="s">
        <v>46</v>
      </c>
      <c r="AA741" t="s">
        <v>47</v>
      </c>
      <c r="AB741" s="1">
        <v>45825</v>
      </c>
      <c r="AC741" t="s">
        <v>40</v>
      </c>
      <c r="AD741" t="s">
        <v>40</v>
      </c>
      <c r="AE741" t="s">
        <v>60</v>
      </c>
      <c r="AF741" t="s">
        <v>40</v>
      </c>
      <c r="AG741">
        <v>0</v>
      </c>
      <c r="AH741" t="s">
        <v>70</v>
      </c>
    </row>
    <row r="742" spans="1:34" x14ac:dyDescent="0.3">
      <c r="A742" t="s">
        <v>1294</v>
      </c>
      <c r="B742" t="s">
        <v>856</v>
      </c>
      <c r="C742" t="s">
        <v>89</v>
      </c>
      <c r="D742" t="s">
        <v>130</v>
      </c>
      <c r="E742" s="1">
        <v>46198</v>
      </c>
      <c r="F742" s="1">
        <v>46258</v>
      </c>
      <c r="G742" t="s">
        <v>41</v>
      </c>
      <c r="H742">
        <v>6102</v>
      </c>
      <c r="I742" t="s">
        <v>65</v>
      </c>
      <c r="J742" t="b">
        <v>0</v>
      </c>
      <c r="K742">
        <v>60</v>
      </c>
      <c r="L742">
        <v>8</v>
      </c>
      <c r="M742">
        <v>2026</v>
      </c>
      <c r="N742">
        <v>0</v>
      </c>
      <c r="O742">
        <v>6</v>
      </c>
      <c r="P742">
        <v>2026</v>
      </c>
      <c r="Q742">
        <v>3</v>
      </c>
      <c r="R742" t="s">
        <v>40</v>
      </c>
      <c r="S742" t="s">
        <v>45</v>
      </c>
      <c r="T742" t="s">
        <v>42</v>
      </c>
      <c r="U742" t="s">
        <v>40</v>
      </c>
      <c r="V742" t="s">
        <v>91</v>
      </c>
      <c r="W742" t="s">
        <v>92</v>
      </c>
      <c r="X742" t="s">
        <v>76</v>
      </c>
      <c r="Y742">
        <v>65</v>
      </c>
      <c r="Z742" t="s">
        <v>133</v>
      </c>
      <c r="AA742" t="s">
        <v>134</v>
      </c>
      <c r="AB742" s="1">
        <v>46258</v>
      </c>
      <c r="AC742" t="s">
        <v>40</v>
      </c>
      <c r="AD742" t="s">
        <v>40</v>
      </c>
      <c r="AE742" t="s">
        <v>86</v>
      </c>
      <c r="AF742" t="s">
        <v>40</v>
      </c>
      <c r="AG742">
        <v>0</v>
      </c>
      <c r="AH742" t="s">
        <v>61</v>
      </c>
    </row>
    <row r="743" spans="1:34" x14ac:dyDescent="0.3">
      <c r="A743" t="s">
        <v>1295</v>
      </c>
      <c r="B743" t="s">
        <v>1191</v>
      </c>
      <c r="C743" t="s">
        <v>73</v>
      </c>
      <c r="D743" t="s">
        <v>53</v>
      </c>
      <c r="E743" s="1">
        <v>45894</v>
      </c>
      <c r="F743" s="1">
        <v>45908</v>
      </c>
      <c r="G743" t="s">
        <v>64</v>
      </c>
      <c r="H743">
        <v>3111</v>
      </c>
      <c r="I743" t="s">
        <v>65</v>
      </c>
      <c r="J743" t="b">
        <v>0</v>
      </c>
      <c r="K743">
        <v>14</v>
      </c>
      <c r="L743">
        <v>9</v>
      </c>
      <c r="M743">
        <v>2025</v>
      </c>
      <c r="N743">
        <v>0</v>
      </c>
      <c r="O743">
        <v>8</v>
      </c>
      <c r="P743">
        <v>2025</v>
      </c>
      <c r="Q743">
        <v>0</v>
      </c>
      <c r="R743" t="s">
        <v>40</v>
      </c>
      <c r="S743" t="s">
        <v>41</v>
      </c>
      <c r="T743" t="s">
        <v>42</v>
      </c>
      <c r="U743" t="s">
        <v>40</v>
      </c>
      <c r="V743" t="s">
        <v>74</v>
      </c>
      <c r="W743" t="s">
        <v>75</v>
      </c>
      <c r="X743" t="s">
        <v>76</v>
      </c>
      <c r="Y743">
        <v>75</v>
      </c>
      <c r="Z743" t="s">
        <v>58</v>
      </c>
      <c r="AA743" t="s">
        <v>59</v>
      </c>
      <c r="AB743" s="1">
        <v>45908</v>
      </c>
      <c r="AC743" t="s">
        <v>40</v>
      </c>
      <c r="AD743" t="s">
        <v>40</v>
      </c>
      <c r="AE743" t="s">
        <v>60</v>
      </c>
      <c r="AF743" t="s">
        <v>40</v>
      </c>
      <c r="AG743">
        <v>0</v>
      </c>
      <c r="AH743" t="s">
        <v>70</v>
      </c>
    </row>
    <row r="744" spans="1:34" x14ac:dyDescent="0.3">
      <c r="A744" t="s">
        <v>1296</v>
      </c>
      <c r="B744" t="s">
        <v>620</v>
      </c>
      <c r="C744" t="s">
        <v>155</v>
      </c>
      <c r="D744" t="s">
        <v>90</v>
      </c>
      <c r="E744" s="1">
        <v>46117</v>
      </c>
      <c r="F744" s="1">
        <v>46177</v>
      </c>
      <c r="G744" t="s">
        <v>38</v>
      </c>
      <c r="H744">
        <v>4013</v>
      </c>
      <c r="I744" t="s">
        <v>39</v>
      </c>
      <c r="J744" t="b">
        <v>0</v>
      </c>
      <c r="K744">
        <v>60</v>
      </c>
      <c r="L744">
        <v>6</v>
      </c>
      <c r="M744">
        <v>2026</v>
      </c>
      <c r="N744">
        <v>3</v>
      </c>
      <c r="O744">
        <v>4</v>
      </c>
      <c r="P744">
        <v>2026</v>
      </c>
      <c r="Q744">
        <v>6</v>
      </c>
      <c r="R744" t="s">
        <v>40</v>
      </c>
      <c r="S744" t="s">
        <v>45</v>
      </c>
      <c r="T744" t="s">
        <v>42</v>
      </c>
      <c r="U744" t="s">
        <v>40</v>
      </c>
      <c r="V744" t="s">
        <v>156</v>
      </c>
      <c r="W744" t="s">
        <v>157</v>
      </c>
      <c r="X744" t="s">
        <v>158</v>
      </c>
      <c r="Y744">
        <v>70</v>
      </c>
      <c r="Z744" t="s">
        <v>93</v>
      </c>
      <c r="AA744" t="s">
        <v>94</v>
      </c>
      <c r="AB744" s="1">
        <v>46177</v>
      </c>
      <c r="AC744" t="s">
        <v>40</v>
      </c>
      <c r="AD744" t="s">
        <v>40</v>
      </c>
      <c r="AE744" t="s">
        <v>60</v>
      </c>
      <c r="AF744" t="s">
        <v>40</v>
      </c>
      <c r="AG744">
        <v>0</v>
      </c>
      <c r="AH744" t="s">
        <v>61</v>
      </c>
    </row>
    <row r="745" spans="1:34" x14ac:dyDescent="0.3">
      <c r="A745" t="s">
        <v>1297</v>
      </c>
      <c r="B745" t="s">
        <v>203</v>
      </c>
      <c r="C745" t="s">
        <v>155</v>
      </c>
      <c r="D745" t="s">
        <v>53</v>
      </c>
      <c r="E745" s="1">
        <v>45951</v>
      </c>
      <c r="F745" s="1">
        <v>45965</v>
      </c>
      <c r="G745" t="s">
        <v>64</v>
      </c>
      <c r="H745">
        <v>3036</v>
      </c>
      <c r="I745" t="s">
        <v>65</v>
      </c>
      <c r="J745" t="b">
        <v>0</v>
      </c>
      <c r="K745">
        <v>14</v>
      </c>
      <c r="L745">
        <v>11</v>
      </c>
      <c r="M745">
        <v>2025</v>
      </c>
      <c r="N745">
        <v>1</v>
      </c>
      <c r="O745">
        <v>10</v>
      </c>
      <c r="P745">
        <v>2025</v>
      </c>
      <c r="Q745">
        <v>1</v>
      </c>
      <c r="R745" t="s">
        <v>40</v>
      </c>
      <c r="S745" t="s">
        <v>41</v>
      </c>
      <c r="T745" t="s">
        <v>42</v>
      </c>
      <c r="U745" t="s">
        <v>66</v>
      </c>
      <c r="V745" t="s">
        <v>156</v>
      </c>
      <c r="W745" t="s">
        <v>157</v>
      </c>
      <c r="X745" t="s">
        <v>158</v>
      </c>
      <c r="Y745">
        <v>70</v>
      </c>
      <c r="Z745" t="s">
        <v>58</v>
      </c>
      <c r="AA745" t="s">
        <v>59</v>
      </c>
      <c r="AB745" s="1">
        <v>45965</v>
      </c>
      <c r="AC745" t="s">
        <v>40</v>
      </c>
      <c r="AD745" t="s">
        <v>40</v>
      </c>
      <c r="AE745" t="s">
        <v>86</v>
      </c>
      <c r="AF745" t="s">
        <v>40</v>
      </c>
      <c r="AG745">
        <v>0</v>
      </c>
      <c r="AH745" t="s">
        <v>70</v>
      </c>
    </row>
    <row r="746" spans="1:34" x14ac:dyDescent="0.3">
      <c r="A746" t="s">
        <v>1298</v>
      </c>
      <c r="B746" t="s">
        <v>456</v>
      </c>
      <c r="C746" t="s">
        <v>122</v>
      </c>
      <c r="D746" t="s">
        <v>130</v>
      </c>
      <c r="E746" s="1">
        <v>45828</v>
      </c>
      <c r="F746" s="1">
        <v>45831</v>
      </c>
      <c r="G746" t="s">
        <v>81</v>
      </c>
      <c r="H746">
        <v>7327</v>
      </c>
      <c r="I746" t="s">
        <v>39</v>
      </c>
      <c r="J746" t="b">
        <v>0</v>
      </c>
      <c r="K746">
        <v>3</v>
      </c>
      <c r="L746">
        <v>6</v>
      </c>
      <c r="M746">
        <v>2025</v>
      </c>
      <c r="N746">
        <v>0</v>
      </c>
      <c r="O746">
        <v>6</v>
      </c>
      <c r="P746">
        <v>2025</v>
      </c>
      <c r="Q746">
        <v>4</v>
      </c>
      <c r="R746" t="s">
        <v>40</v>
      </c>
      <c r="S746" t="s">
        <v>55</v>
      </c>
      <c r="T746" t="s">
        <v>123</v>
      </c>
      <c r="U746" t="s">
        <v>40</v>
      </c>
      <c r="V746" t="s">
        <v>124</v>
      </c>
      <c r="W746" t="s">
        <v>125</v>
      </c>
      <c r="X746" t="s">
        <v>126</v>
      </c>
      <c r="Y746">
        <v>85</v>
      </c>
      <c r="Z746" t="s">
        <v>133</v>
      </c>
      <c r="AA746" t="s">
        <v>134</v>
      </c>
      <c r="AB746" s="1">
        <v>45831</v>
      </c>
      <c r="AC746" t="s">
        <v>40</v>
      </c>
      <c r="AD746" t="s">
        <v>40</v>
      </c>
      <c r="AE746" t="s">
        <v>60</v>
      </c>
      <c r="AF746" t="s">
        <v>40</v>
      </c>
      <c r="AG746">
        <v>0</v>
      </c>
      <c r="AH746" t="s">
        <v>100</v>
      </c>
    </row>
    <row r="747" spans="1:34" x14ac:dyDescent="0.3">
      <c r="A747" t="s">
        <v>1299</v>
      </c>
      <c r="B747" t="s">
        <v>505</v>
      </c>
      <c r="C747" t="s">
        <v>36</v>
      </c>
      <c r="D747" t="s">
        <v>90</v>
      </c>
      <c r="E747" s="1">
        <v>46185</v>
      </c>
      <c r="F747" s="1">
        <v>46285</v>
      </c>
      <c r="G747" t="s">
        <v>41</v>
      </c>
      <c r="H747">
        <v>7854</v>
      </c>
      <c r="I747" t="s">
        <v>39</v>
      </c>
      <c r="J747" t="b">
        <v>0</v>
      </c>
      <c r="K747">
        <v>100</v>
      </c>
      <c r="L747">
        <v>9</v>
      </c>
      <c r="M747">
        <v>2026</v>
      </c>
      <c r="N747">
        <v>6</v>
      </c>
      <c r="O747">
        <v>6</v>
      </c>
      <c r="P747">
        <v>2026</v>
      </c>
      <c r="Q747">
        <v>4</v>
      </c>
      <c r="R747" t="s">
        <v>66</v>
      </c>
      <c r="S747" t="s">
        <v>55</v>
      </c>
      <c r="T747" t="s">
        <v>42</v>
      </c>
      <c r="U747" t="s">
        <v>40</v>
      </c>
      <c r="V747" t="s">
        <v>43</v>
      </c>
      <c r="W747" t="s">
        <v>44</v>
      </c>
      <c r="X747" t="s">
        <v>45</v>
      </c>
      <c r="Y747">
        <v>150</v>
      </c>
      <c r="Z747" t="s">
        <v>93</v>
      </c>
      <c r="AA747" t="s">
        <v>94</v>
      </c>
      <c r="AB747" s="1">
        <v>46285</v>
      </c>
      <c r="AC747" t="s">
        <v>66</v>
      </c>
      <c r="AD747" t="s">
        <v>40</v>
      </c>
      <c r="AE747" t="s">
        <v>60</v>
      </c>
      <c r="AF747" t="s">
        <v>40</v>
      </c>
      <c r="AG747">
        <v>0</v>
      </c>
      <c r="AH747" t="s">
        <v>49</v>
      </c>
    </row>
    <row r="748" spans="1:34" x14ac:dyDescent="0.3">
      <c r="A748" t="s">
        <v>1300</v>
      </c>
      <c r="B748" t="s">
        <v>1301</v>
      </c>
      <c r="C748" t="s">
        <v>155</v>
      </c>
      <c r="D748" t="s">
        <v>80</v>
      </c>
      <c r="E748" s="1">
        <v>46289</v>
      </c>
      <c r="F748" s="1">
        <v>46292</v>
      </c>
      <c r="G748" t="s">
        <v>64</v>
      </c>
      <c r="H748">
        <v>3712</v>
      </c>
      <c r="I748" t="s">
        <v>65</v>
      </c>
      <c r="J748" t="b">
        <v>0</v>
      </c>
      <c r="K748">
        <v>3</v>
      </c>
      <c r="L748">
        <v>9</v>
      </c>
      <c r="M748">
        <v>2026</v>
      </c>
      <c r="N748">
        <v>6</v>
      </c>
      <c r="O748">
        <v>9</v>
      </c>
      <c r="P748">
        <v>2026</v>
      </c>
      <c r="Q748">
        <v>3</v>
      </c>
      <c r="R748" t="s">
        <v>66</v>
      </c>
      <c r="S748" t="s">
        <v>41</v>
      </c>
      <c r="T748" t="s">
        <v>42</v>
      </c>
      <c r="U748" t="s">
        <v>66</v>
      </c>
      <c r="V748" t="s">
        <v>156</v>
      </c>
      <c r="W748" t="s">
        <v>157</v>
      </c>
      <c r="X748" t="s">
        <v>158</v>
      </c>
      <c r="Y748">
        <v>70</v>
      </c>
      <c r="Z748" t="s">
        <v>84</v>
      </c>
      <c r="AA748" t="s">
        <v>85</v>
      </c>
      <c r="AB748" s="1">
        <v>46292</v>
      </c>
      <c r="AC748" t="s">
        <v>66</v>
      </c>
      <c r="AD748" t="s">
        <v>40</v>
      </c>
      <c r="AE748" t="s">
        <v>60</v>
      </c>
      <c r="AF748" t="s">
        <v>40</v>
      </c>
      <c r="AG748">
        <v>0</v>
      </c>
      <c r="AH748" t="s">
        <v>100</v>
      </c>
    </row>
    <row r="749" spans="1:34" x14ac:dyDescent="0.3">
      <c r="A749" t="s">
        <v>1302</v>
      </c>
      <c r="B749" t="s">
        <v>558</v>
      </c>
      <c r="C749" t="s">
        <v>122</v>
      </c>
      <c r="D749" t="s">
        <v>37</v>
      </c>
      <c r="E749" s="1">
        <v>45795</v>
      </c>
      <c r="F749" s="1">
        <v>45855</v>
      </c>
      <c r="G749" t="s">
        <v>64</v>
      </c>
      <c r="H749">
        <v>4034</v>
      </c>
      <c r="I749" t="s">
        <v>39</v>
      </c>
      <c r="J749" t="b">
        <v>0</v>
      </c>
      <c r="K749">
        <v>60</v>
      </c>
      <c r="L749">
        <v>7</v>
      </c>
      <c r="M749">
        <v>2025</v>
      </c>
      <c r="N749">
        <v>3</v>
      </c>
      <c r="O749">
        <v>5</v>
      </c>
      <c r="P749">
        <v>2025</v>
      </c>
      <c r="Q749">
        <v>6</v>
      </c>
      <c r="R749" t="s">
        <v>40</v>
      </c>
      <c r="S749" t="s">
        <v>55</v>
      </c>
      <c r="T749" t="s">
        <v>48</v>
      </c>
      <c r="U749" t="s">
        <v>40</v>
      </c>
      <c r="V749" t="s">
        <v>124</v>
      </c>
      <c r="W749" t="s">
        <v>125</v>
      </c>
      <c r="X749" t="s">
        <v>126</v>
      </c>
      <c r="Y749">
        <v>85</v>
      </c>
      <c r="Z749" t="s">
        <v>46</v>
      </c>
      <c r="AA749" t="s">
        <v>47</v>
      </c>
      <c r="AB749" s="1">
        <v>45855</v>
      </c>
      <c r="AC749" t="s">
        <v>40</v>
      </c>
      <c r="AD749" t="s">
        <v>40</v>
      </c>
      <c r="AE749" t="s">
        <v>86</v>
      </c>
      <c r="AF749" t="s">
        <v>40</v>
      </c>
      <c r="AG749">
        <v>0</v>
      </c>
      <c r="AH749" t="s">
        <v>61</v>
      </c>
    </row>
    <row r="750" spans="1:34" x14ac:dyDescent="0.3">
      <c r="A750" t="s">
        <v>1303</v>
      </c>
      <c r="B750" t="s">
        <v>1304</v>
      </c>
      <c r="C750" t="s">
        <v>97</v>
      </c>
      <c r="D750" t="s">
        <v>80</v>
      </c>
      <c r="E750" s="1">
        <v>46260</v>
      </c>
      <c r="F750" s="1">
        <v>46267</v>
      </c>
      <c r="G750" t="s">
        <v>64</v>
      </c>
      <c r="H750">
        <v>2808</v>
      </c>
      <c r="I750" t="s">
        <v>39</v>
      </c>
      <c r="J750" t="b">
        <v>0</v>
      </c>
      <c r="K750">
        <v>7</v>
      </c>
      <c r="L750">
        <v>9</v>
      </c>
      <c r="M750">
        <v>2026</v>
      </c>
      <c r="N750">
        <v>2</v>
      </c>
      <c r="O750">
        <v>8</v>
      </c>
      <c r="P750">
        <v>2026</v>
      </c>
      <c r="Q750">
        <v>2</v>
      </c>
      <c r="R750" t="s">
        <v>40</v>
      </c>
      <c r="S750" t="s">
        <v>67</v>
      </c>
      <c r="T750" t="s">
        <v>42</v>
      </c>
      <c r="U750" t="s">
        <v>40</v>
      </c>
      <c r="V750" t="s">
        <v>98</v>
      </c>
      <c r="W750" t="s">
        <v>99</v>
      </c>
      <c r="X750" t="s">
        <v>76</v>
      </c>
      <c r="Y750">
        <v>80</v>
      </c>
      <c r="Z750" t="s">
        <v>84</v>
      </c>
      <c r="AA750" t="s">
        <v>85</v>
      </c>
      <c r="AB750" s="1">
        <v>46267</v>
      </c>
      <c r="AC750" t="s">
        <v>40</v>
      </c>
      <c r="AD750" t="s">
        <v>40</v>
      </c>
      <c r="AE750" t="s">
        <v>60</v>
      </c>
      <c r="AF750" t="s">
        <v>40</v>
      </c>
      <c r="AG750">
        <v>0</v>
      </c>
      <c r="AH750" t="s">
        <v>100</v>
      </c>
    </row>
    <row r="751" spans="1:34" x14ac:dyDescent="0.3">
      <c r="A751" t="s">
        <v>1305</v>
      </c>
      <c r="B751" t="s">
        <v>281</v>
      </c>
      <c r="C751" t="s">
        <v>169</v>
      </c>
      <c r="D751" t="s">
        <v>53</v>
      </c>
      <c r="E751" s="1">
        <v>46051</v>
      </c>
      <c r="F751" s="1">
        <v>46058</v>
      </c>
      <c r="G751" t="s">
        <v>38</v>
      </c>
      <c r="H751">
        <v>4362</v>
      </c>
      <c r="I751" t="s">
        <v>39</v>
      </c>
      <c r="J751" t="b">
        <v>0</v>
      </c>
      <c r="K751">
        <v>7</v>
      </c>
      <c r="L751">
        <v>2</v>
      </c>
      <c r="M751">
        <v>2026</v>
      </c>
      <c r="N751">
        <v>3</v>
      </c>
      <c r="O751">
        <v>1</v>
      </c>
      <c r="P751">
        <v>2026</v>
      </c>
      <c r="Q751">
        <v>3</v>
      </c>
      <c r="R751" t="s">
        <v>40</v>
      </c>
      <c r="S751" t="s">
        <v>55</v>
      </c>
      <c r="T751" t="s">
        <v>42</v>
      </c>
      <c r="U751" t="s">
        <v>66</v>
      </c>
      <c r="V751" t="s">
        <v>170</v>
      </c>
      <c r="W751" t="s">
        <v>171</v>
      </c>
      <c r="X751" t="s">
        <v>126</v>
      </c>
      <c r="Y751">
        <v>90</v>
      </c>
      <c r="Z751" t="s">
        <v>58</v>
      </c>
      <c r="AA751" t="s">
        <v>59</v>
      </c>
      <c r="AB751" s="1">
        <v>46058</v>
      </c>
      <c r="AC751" t="s">
        <v>40</v>
      </c>
      <c r="AD751" t="s">
        <v>40</v>
      </c>
      <c r="AE751" t="s">
        <v>60</v>
      </c>
      <c r="AF751" t="s">
        <v>40</v>
      </c>
      <c r="AG751">
        <v>0</v>
      </c>
      <c r="AH751" t="s">
        <v>100</v>
      </c>
    </row>
    <row r="752" spans="1:34" x14ac:dyDescent="0.3">
      <c r="A752" t="s">
        <v>1306</v>
      </c>
      <c r="B752" t="s">
        <v>531</v>
      </c>
      <c r="C752" t="s">
        <v>169</v>
      </c>
      <c r="D752" t="s">
        <v>90</v>
      </c>
      <c r="E752" s="1">
        <v>45779</v>
      </c>
      <c r="F752" s="1">
        <v>45786</v>
      </c>
      <c r="G752" t="s">
        <v>41</v>
      </c>
      <c r="H752">
        <v>8846</v>
      </c>
      <c r="I752" t="s">
        <v>65</v>
      </c>
      <c r="J752" t="b">
        <v>0</v>
      </c>
      <c r="K752">
        <v>7</v>
      </c>
      <c r="L752">
        <v>5</v>
      </c>
      <c r="M752">
        <v>2025</v>
      </c>
      <c r="N752">
        <v>4</v>
      </c>
      <c r="O752">
        <v>5</v>
      </c>
      <c r="P752">
        <v>2025</v>
      </c>
      <c r="Q752">
        <v>4</v>
      </c>
      <c r="R752" t="s">
        <v>40</v>
      </c>
      <c r="S752" t="s">
        <v>55</v>
      </c>
      <c r="T752" t="s">
        <v>42</v>
      </c>
      <c r="U752" t="s">
        <v>40</v>
      </c>
      <c r="V752" t="s">
        <v>170</v>
      </c>
      <c r="W752" t="s">
        <v>171</v>
      </c>
      <c r="X752" t="s">
        <v>126</v>
      </c>
      <c r="Y752">
        <v>90</v>
      </c>
      <c r="Z752" t="s">
        <v>93</v>
      </c>
      <c r="AA752" t="s">
        <v>94</v>
      </c>
      <c r="AB752" s="1">
        <v>45786</v>
      </c>
      <c r="AC752" t="s">
        <v>40</v>
      </c>
      <c r="AD752" t="s">
        <v>40</v>
      </c>
      <c r="AE752" t="s">
        <v>69</v>
      </c>
      <c r="AF752" t="s">
        <v>40</v>
      </c>
      <c r="AG752">
        <v>0</v>
      </c>
      <c r="AH752" t="s">
        <v>100</v>
      </c>
    </row>
    <row r="753" spans="1:34" x14ac:dyDescent="0.3">
      <c r="A753" t="s">
        <v>1307</v>
      </c>
      <c r="B753" t="s">
        <v>727</v>
      </c>
      <c r="C753" t="s">
        <v>129</v>
      </c>
      <c r="D753" t="s">
        <v>53</v>
      </c>
      <c r="E753" s="1">
        <v>45802</v>
      </c>
      <c r="F753" s="1">
        <v>45805</v>
      </c>
      <c r="G753" t="s">
        <v>38</v>
      </c>
      <c r="H753">
        <v>3662</v>
      </c>
      <c r="I753" t="s">
        <v>54</v>
      </c>
      <c r="J753" t="b">
        <v>0</v>
      </c>
      <c r="K753">
        <v>3</v>
      </c>
      <c r="L753">
        <v>5</v>
      </c>
      <c r="M753">
        <v>2025</v>
      </c>
      <c r="N753">
        <v>2</v>
      </c>
      <c r="O753">
        <v>5</v>
      </c>
      <c r="P753">
        <v>2025</v>
      </c>
      <c r="Q753">
        <v>6</v>
      </c>
      <c r="R753" t="s">
        <v>40</v>
      </c>
      <c r="S753" t="s">
        <v>41</v>
      </c>
      <c r="T753" t="s">
        <v>68</v>
      </c>
      <c r="U753" t="s">
        <v>40</v>
      </c>
      <c r="V753" t="s">
        <v>131</v>
      </c>
      <c r="W753" t="s">
        <v>132</v>
      </c>
      <c r="X753" t="s">
        <v>45</v>
      </c>
      <c r="Y753">
        <v>110</v>
      </c>
      <c r="Z753" t="s">
        <v>58</v>
      </c>
      <c r="AA753" t="s">
        <v>59</v>
      </c>
      <c r="AB753" s="1">
        <v>45805</v>
      </c>
      <c r="AC753" t="s">
        <v>40</v>
      </c>
      <c r="AD753" t="s">
        <v>40</v>
      </c>
      <c r="AE753" t="s">
        <v>69</v>
      </c>
      <c r="AF753" t="s">
        <v>40</v>
      </c>
      <c r="AG753">
        <v>1</v>
      </c>
      <c r="AH753" t="s">
        <v>100</v>
      </c>
    </row>
    <row r="754" spans="1:34" x14ac:dyDescent="0.3">
      <c r="A754" t="s">
        <v>1308</v>
      </c>
      <c r="B754" t="s">
        <v>1176</v>
      </c>
      <c r="C754" t="s">
        <v>79</v>
      </c>
      <c r="D754" t="s">
        <v>90</v>
      </c>
      <c r="E754" s="1">
        <v>45946</v>
      </c>
      <c r="F754" s="1">
        <v>46096</v>
      </c>
      <c r="G754" t="s">
        <v>41</v>
      </c>
      <c r="H754">
        <v>6208</v>
      </c>
      <c r="I754" t="s">
        <v>65</v>
      </c>
      <c r="J754" t="b">
        <v>0</v>
      </c>
      <c r="K754">
        <v>150</v>
      </c>
      <c r="L754">
        <v>3</v>
      </c>
      <c r="M754">
        <v>2026</v>
      </c>
      <c r="N754">
        <v>6</v>
      </c>
      <c r="O754">
        <v>10</v>
      </c>
      <c r="P754">
        <v>2025</v>
      </c>
      <c r="Q754">
        <v>3</v>
      </c>
      <c r="R754" t="s">
        <v>66</v>
      </c>
      <c r="S754" t="s">
        <v>55</v>
      </c>
      <c r="T754" t="s">
        <v>42</v>
      </c>
      <c r="U754" t="s">
        <v>40</v>
      </c>
      <c r="V754" t="s">
        <v>82</v>
      </c>
      <c r="W754" t="s">
        <v>83</v>
      </c>
      <c r="X754" t="s">
        <v>76</v>
      </c>
      <c r="Y754">
        <v>100</v>
      </c>
      <c r="Z754" t="s">
        <v>93</v>
      </c>
      <c r="AA754" t="s">
        <v>94</v>
      </c>
      <c r="AB754" s="1">
        <v>46096</v>
      </c>
      <c r="AC754" t="s">
        <v>66</v>
      </c>
      <c r="AD754" t="s">
        <v>40</v>
      </c>
      <c r="AE754" t="s">
        <v>60</v>
      </c>
      <c r="AF754" t="s">
        <v>40</v>
      </c>
      <c r="AG754">
        <v>0</v>
      </c>
      <c r="AH754" t="s">
        <v>49</v>
      </c>
    </row>
    <row r="755" spans="1:34" x14ac:dyDescent="0.3">
      <c r="A755" t="s">
        <v>1309</v>
      </c>
      <c r="B755" t="s">
        <v>355</v>
      </c>
      <c r="C755" t="s">
        <v>122</v>
      </c>
      <c r="D755" t="s">
        <v>104</v>
      </c>
      <c r="E755" s="1">
        <v>46163</v>
      </c>
      <c r="F755" s="1">
        <v>46170</v>
      </c>
      <c r="G755" t="s">
        <v>38</v>
      </c>
      <c r="H755">
        <v>3977</v>
      </c>
      <c r="I755" t="s">
        <v>65</v>
      </c>
      <c r="J755" t="b">
        <v>0</v>
      </c>
      <c r="K755">
        <v>7</v>
      </c>
      <c r="L755">
        <v>5</v>
      </c>
      <c r="M755">
        <v>2026</v>
      </c>
      <c r="N755">
        <v>3</v>
      </c>
      <c r="O755">
        <v>5</v>
      </c>
      <c r="P755">
        <v>2026</v>
      </c>
      <c r="Q755">
        <v>3</v>
      </c>
      <c r="R755" t="s">
        <v>40</v>
      </c>
      <c r="S755" t="s">
        <v>55</v>
      </c>
      <c r="T755" t="s">
        <v>113</v>
      </c>
      <c r="U755" t="s">
        <v>66</v>
      </c>
      <c r="V755" t="s">
        <v>124</v>
      </c>
      <c r="W755" t="s">
        <v>125</v>
      </c>
      <c r="X755" t="s">
        <v>126</v>
      </c>
      <c r="Y755">
        <v>85</v>
      </c>
      <c r="Z755" t="s">
        <v>107</v>
      </c>
      <c r="AA755" t="s">
        <v>108</v>
      </c>
      <c r="AB755" s="1">
        <v>46170</v>
      </c>
      <c r="AC755" t="s">
        <v>40</v>
      </c>
      <c r="AD755" t="s">
        <v>40</v>
      </c>
      <c r="AE755" t="s">
        <v>69</v>
      </c>
      <c r="AF755" t="s">
        <v>40</v>
      </c>
      <c r="AG755">
        <v>0</v>
      </c>
      <c r="AH755" t="s">
        <v>100</v>
      </c>
    </row>
    <row r="756" spans="1:34" x14ac:dyDescent="0.3">
      <c r="A756" t="s">
        <v>1310</v>
      </c>
      <c r="B756" t="s">
        <v>1311</v>
      </c>
      <c r="C756" t="s">
        <v>97</v>
      </c>
      <c r="D756" t="s">
        <v>80</v>
      </c>
      <c r="E756" s="1">
        <v>46001</v>
      </c>
      <c r="F756" s="1">
        <v>46008</v>
      </c>
      <c r="G756" t="s">
        <v>64</v>
      </c>
      <c r="H756">
        <v>4027</v>
      </c>
      <c r="I756" t="s">
        <v>39</v>
      </c>
      <c r="J756" t="b">
        <v>0</v>
      </c>
      <c r="K756">
        <v>7</v>
      </c>
      <c r="L756">
        <v>12</v>
      </c>
      <c r="M756">
        <v>2025</v>
      </c>
      <c r="N756">
        <v>2</v>
      </c>
      <c r="O756">
        <v>12</v>
      </c>
      <c r="P756">
        <v>2025</v>
      </c>
      <c r="Q756">
        <v>2</v>
      </c>
      <c r="R756" t="s">
        <v>40</v>
      </c>
      <c r="S756" t="s">
        <v>45</v>
      </c>
      <c r="T756" t="s">
        <v>48</v>
      </c>
      <c r="U756" t="s">
        <v>40</v>
      </c>
      <c r="V756" t="s">
        <v>98</v>
      </c>
      <c r="W756" t="s">
        <v>99</v>
      </c>
      <c r="X756" t="s">
        <v>76</v>
      </c>
      <c r="Y756">
        <v>80</v>
      </c>
      <c r="Z756" t="s">
        <v>84</v>
      </c>
      <c r="AA756" t="s">
        <v>85</v>
      </c>
      <c r="AB756" s="1">
        <v>46008</v>
      </c>
      <c r="AC756" t="s">
        <v>40</v>
      </c>
      <c r="AD756" t="s">
        <v>40</v>
      </c>
      <c r="AE756" t="s">
        <v>69</v>
      </c>
      <c r="AF756" t="s">
        <v>40</v>
      </c>
      <c r="AG756">
        <v>0</v>
      </c>
      <c r="AH756" t="s">
        <v>100</v>
      </c>
    </row>
    <row r="757" spans="1:34" x14ac:dyDescent="0.3">
      <c r="A757" t="s">
        <v>1312</v>
      </c>
      <c r="B757" t="s">
        <v>187</v>
      </c>
      <c r="C757" t="s">
        <v>129</v>
      </c>
      <c r="D757" t="s">
        <v>37</v>
      </c>
      <c r="E757" s="1">
        <v>45694</v>
      </c>
      <c r="F757" s="1">
        <v>45844</v>
      </c>
      <c r="G757" t="s">
        <v>64</v>
      </c>
      <c r="H757">
        <v>2480</v>
      </c>
      <c r="I757" t="s">
        <v>39</v>
      </c>
      <c r="J757" t="b">
        <v>0</v>
      </c>
      <c r="K757">
        <v>150</v>
      </c>
      <c r="L757">
        <v>7</v>
      </c>
      <c r="M757">
        <v>2025</v>
      </c>
      <c r="N757">
        <v>6</v>
      </c>
      <c r="O757">
        <v>2</v>
      </c>
      <c r="P757">
        <v>2025</v>
      </c>
      <c r="Q757">
        <v>3</v>
      </c>
      <c r="R757" t="s">
        <v>66</v>
      </c>
      <c r="S757" t="s">
        <v>41</v>
      </c>
      <c r="T757" t="s">
        <v>42</v>
      </c>
      <c r="U757" t="s">
        <v>40</v>
      </c>
      <c r="V757" t="s">
        <v>131</v>
      </c>
      <c r="W757" t="s">
        <v>132</v>
      </c>
      <c r="X757" t="s">
        <v>45</v>
      </c>
      <c r="Y757">
        <v>110</v>
      </c>
      <c r="Z757" t="s">
        <v>46</v>
      </c>
      <c r="AA757" t="s">
        <v>47</v>
      </c>
      <c r="AB757" s="1">
        <v>45844</v>
      </c>
      <c r="AC757" t="s">
        <v>66</v>
      </c>
      <c r="AD757" t="s">
        <v>40</v>
      </c>
      <c r="AE757" t="s">
        <v>86</v>
      </c>
      <c r="AF757" t="s">
        <v>40</v>
      </c>
      <c r="AG757">
        <v>0</v>
      </c>
      <c r="AH757" t="s">
        <v>49</v>
      </c>
    </row>
    <row r="758" spans="1:34" x14ac:dyDescent="0.3">
      <c r="A758" t="s">
        <v>1313</v>
      </c>
      <c r="B758" t="s">
        <v>1314</v>
      </c>
      <c r="C758" t="s">
        <v>122</v>
      </c>
      <c r="D758" t="s">
        <v>90</v>
      </c>
      <c r="E758" s="1">
        <v>46166</v>
      </c>
      <c r="F758" s="1">
        <v>46173</v>
      </c>
      <c r="G758" t="s">
        <v>38</v>
      </c>
      <c r="H758">
        <v>5614</v>
      </c>
      <c r="I758" t="s">
        <v>39</v>
      </c>
      <c r="J758" t="b">
        <v>0</v>
      </c>
      <c r="K758">
        <v>7</v>
      </c>
      <c r="L758">
        <v>5</v>
      </c>
      <c r="M758">
        <v>2026</v>
      </c>
      <c r="N758">
        <v>6</v>
      </c>
      <c r="O758">
        <v>5</v>
      </c>
      <c r="P758">
        <v>2026</v>
      </c>
      <c r="Q758">
        <v>6</v>
      </c>
      <c r="R758" t="s">
        <v>66</v>
      </c>
      <c r="S758" t="s">
        <v>55</v>
      </c>
      <c r="T758" t="s">
        <v>42</v>
      </c>
      <c r="U758" t="s">
        <v>40</v>
      </c>
      <c r="V758" t="s">
        <v>124</v>
      </c>
      <c r="W758" t="s">
        <v>125</v>
      </c>
      <c r="X758" t="s">
        <v>126</v>
      </c>
      <c r="Y758">
        <v>85</v>
      </c>
      <c r="Z758" t="s">
        <v>93</v>
      </c>
      <c r="AA758" t="s">
        <v>94</v>
      </c>
      <c r="AB758" s="1">
        <v>46173</v>
      </c>
      <c r="AC758" t="s">
        <v>66</v>
      </c>
      <c r="AD758" t="s">
        <v>40</v>
      </c>
      <c r="AE758" t="s">
        <v>69</v>
      </c>
      <c r="AF758" t="s">
        <v>40</v>
      </c>
      <c r="AG758">
        <v>0</v>
      </c>
      <c r="AH758" t="s">
        <v>100</v>
      </c>
    </row>
    <row r="759" spans="1:34" x14ac:dyDescent="0.3">
      <c r="A759" t="s">
        <v>1315</v>
      </c>
      <c r="B759" t="s">
        <v>839</v>
      </c>
      <c r="C759" t="s">
        <v>52</v>
      </c>
      <c r="D759" t="s">
        <v>104</v>
      </c>
      <c r="E759" s="1">
        <v>45927</v>
      </c>
      <c r="F759" s="1">
        <v>45957</v>
      </c>
      <c r="G759" t="s">
        <v>38</v>
      </c>
      <c r="H759">
        <v>5672</v>
      </c>
      <c r="I759" t="s">
        <v>39</v>
      </c>
      <c r="J759" t="b">
        <v>0</v>
      </c>
      <c r="K759">
        <v>30</v>
      </c>
      <c r="L759">
        <v>10</v>
      </c>
      <c r="M759">
        <v>2025</v>
      </c>
      <c r="N759">
        <v>0</v>
      </c>
      <c r="O759">
        <v>9</v>
      </c>
      <c r="P759">
        <v>2025</v>
      </c>
      <c r="Q759">
        <v>5</v>
      </c>
      <c r="R759" t="s">
        <v>40</v>
      </c>
      <c r="S759" t="s">
        <v>67</v>
      </c>
      <c r="T759" t="s">
        <v>42</v>
      </c>
      <c r="U759" t="s">
        <v>40</v>
      </c>
      <c r="V759" t="s">
        <v>56</v>
      </c>
      <c r="W759" t="s">
        <v>57</v>
      </c>
      <c r="X759" t="s">
        <v>45</v>
      </c>
      <c r="Y759">
        <v>120</v>
      </c>
      <c r="Z759" t="s">
        <v>107</v>
      </c>
      <c r="AA759" t="s">
        <v>108</v>
      </c>
      <c r="AB759" s="1">
        <v>45957</v>
      </c>
      <c r="AC759" t="s">
        <v>40</v>
      </c>
      <c r="AD759" t="s">
        <v>40</v>
      </c>
      <c r="AE759" t="s">
        <v>60</v>
      </c>
      <c r="AF759" t="s">
        <v>40</v>
      </c>
      <c r="AG759">
        <v>0</v>
      </c>
      <c r="AH759" t="s">
        <v>70</v>
      </c>
    </row>
    <row r="760" spans="1:34" x14ac:dyDescent="0.3">
      <c r="A760" t="s">
        <v>1316</v>
      </c>
      <c r="B760" t="s">
        <v>873</v>
      </c>
      <c r="C760" t="s">
        <v>129</v>
      </c>
      <c r="D760" t="s">
        <v>104</v>
      </c>
      <c r="E760" s="1">
        <v>46159</v>
      </c>
      <c r="F760" s="1">
        <v>46219</v>
      </c>
      <c r="G760" t="s">
        <v>41</v>
      </c>
      <c r="H760">
        <v>6210</v>
      </c>
      <c r="I760" t="s">
        <v>54</v>
      </c>
      <c r="J760" t="b">
        <v>0</v>
      </c>
      <c r="K760">
        <v>60</v>
      </c>
      <c r="L760">
        <v>7</v>
      </c>
      <c r="M760">
        <v>2026</v>
      </c>
      <c r="N760">
        <v>3</v>
      </c>
      <c r="O760">
        <v>5</v>
      </c>
      <c r="P760">
        <v>2026</v>
      </c>
      <c r="Q760">
        <v>6</v>
      </c>
      <c r="R760" t="s">
        <v>40</v>
      </c>
      <c r="S760" t="s">
        <v>55</v>
      </c>
      <c r="T760" t="s">
        <v>42</v>
      </c>
      <c r="U760" t="s">
        <v>40</v>
      </c>
      <c r="V760" t="s">
        <v>131</v>
      </c>
      <c r="W760" t="s">
        <v>132</v>
      </c>
      <c r="X760" t="s">
        <v>45</v>
      </c>
      <c r="Y760">
        <v>110</v>
      </c>
      <c r="Z760" t="s">
        <v>107</v>
      </c>
      <c r="AA760" t="s">
        <v>108</v>
      </c>
      <c r="AB760" s="1">
        <v>46219</v>
      </c>
      <c r="AC760" t="s">
        <v>40</v>
      </c>
      <c r="AD760" t="s">
        <v>40</v>
      </c>
      <c r="AE760" t="s">
        <v>86</v>
      </c>
      <c r="AF760" t="s">
        <v>40</v>
      </c>
      <c r="AG760">
        <v>1</v>
      </c>
      <c r="AH760" t="s">
        <v>61</v>
      </c>
    </row>
    <row r="761" spans="1:34" x14ac:dyDescent="0.3">
      <c r="A761" t="s">
        <v>1317</v>
      </c>
      <c r="B761" t="s">
        <v>1318</v>
      </c>
      <c r="C761" t="s">
        <v>103</v>
      </c>
      <c r="D761" t="s">
        <v>104</v>
      </c>
      <c r="E761" s="1">
        <v>45991</v>
      </c>
      <c r="F761" s="1">
        <v>45998</v>
      </c>
      <c r="G761" t="s">
        <v>41</v>
      </c>
      <c r="H761">
        <v>7705</v>
      </c>
      <c r="I761" t="s">
        <v>65</v>
      </c>
      <c r="J761" t="b">
        <v>0</v>
      </c>
      <c r="K761">
        <v>7</v>
      </c>
      <c r="L761">
        <v>12</v>
      </c>
      <c r="M761">
        <v>2025</v>
      </c>
      <c r="N761">
        <v>6</v>
      </c>
      <c r="O761">
        <v>11</v>
      </c>
      <c r="P761">
        <v>2025</v>
      </c>
      <c r="Q761">
        <v>6</v>
      </c>
      <c r="R761" t="s">
        <v>66</v>
      </c>
      <c r="S761" t="s">
        <v>55</v>
      </c>
      <c r="T761" t="s">
        <v>123</v>
      </c>
      <c r="U761" t="s">
        <v>40</v>
      </c>
      <c r="V761" t="s">
        <v>105</v>
      </c>
      <c r="W761" t="s">
        <v>106</v>
      </c>
      <c r="X761" t="s">
        <v>45</v>
      </c>
      <c r="Y761">
        <v>140</v>
      </c>
      <c r="Z761" t="s">
        <v>107</v>
      </c>
      <c r="AA761" t="s">
        <v>108</v>
      </c>
      <c r="AB761" s="1">
        <v>45998</v>
      </c>
      <c r="AC761" t="s">
        <v>66</v>
      </c>
      <c r="AD761" t="s">
        <v>40</v>
      </c>
      <c r="AE761" t="s">
        <v>69</v>
      </c>
      <c r="AF761" t="s">
        <v>40</v>
      </c>
      <c r="AG761">
        <v>0</v>
      </c>
      <c r="AH761" t="s">
        <v>100</v>
      </c>
    </row>
    <row r="762" spans="1:34" x14ac:dyDescent="0.3">
      <c r="A762" t="s">
        <v>1319</v>
      </c>
      <c r="B762" t="s">
        <v>620</v>
      </c>
      <c r="C762" t="s">
        <v>122</v>
      </c>
      <c r="D762" t="s">
        <v>80</v>
      </c>
      <c r="E762" s="1">
        <v>46079</v>
      </c>
      <c r="F762" s="1">
        <v>46139</v>
      </c>
      <c r="G762" t="s">
        <v>64</v>
      </c>
      <c r="H762">
        <v>2748</v>
      </c>
      <c r="I762" t="s">
        <v>39</v>
      </c>
      <c r="J762" t="b">
        <v>0</v>
      </c>
      <c r="K762">
        <v>60</v>
      </c>
      <c r="L762">
        <v>4</v>
      </c>
      <c r="M762">
        <v>2026</v>
      </c>
      <c r="N762">
        <v>0</v>
      </c>
      <c r="O762">
        <v>2</v>
      </c>
      <c r="P762">
        <v>2026</v>
      </c>
      <c r="Q762">
        <v>3</v>
      </c>
      <c r="R762" t="s">
        <v>40</v>
      </c>
      <c r="S762" t="s">
        <v>45</v>
      </c>
      <c r="T762" t="s">
        <v>42</v>
      </c>
      <c r="U762" t="s">
        <v>40</v>
      </c>
      <c r="V762" t="s">
        <v>124</v>
      </c>
      <c r="W762" t="s">
        <v>125</v>
      </c>
      <c r="X762" t="s">
        <v>126</v>
      </c>
      <c r="Y762">
        <v>85</v>
      </c>
      <c r="Z762" t="s">
        <v>84</v>
      </c>
      <c r="AA762" t="s">
        <v>85</v>
      </c>
      <c r="AB762" s="1">
        <v>46139</v>
      </c>
      <c r="AC762" t="s">
        <v>40</v>
      </c>
      <c r="AD762" t="s">
        <v>40</v>
      </c>
      <c r="AE762" t="s">
        <v>69</v>
      </c>
      <c r="AF762" t="s">
        <v>40</v>
      </c>
      <c r="AG762">
        <v>0</v>
      </c>
      <c r="AH762" t="s">
        <v>61</v>
      </c>
    </row>
    <row r="763" spans="1:34" x14ac:dyDescent="0.3">
      <c r="A763" t="s">
        <v>1320</v>
      </c>
      <c r="B763" t="s">
        <v>417</v>
      </c>
      <c r="C763" t="s">
        <v>169</v>
      </c>
      <c r="D763" t="s">
        <v>37</v>
      </c>
      <c r="E763" s="1">
        <v>45983</v>
      </c>
      <c r="F763" s="1">
        <v>45997</v>
      </c>
      <c r="G763" t="s">
        <v>41</v>
      </c>
      <c r="H763">
        <v>6099</v>
      </c>
      <c r="I763" t="s">
        <v>39</v>
      </c>
      <c r="J763" t="b">
        <v>0</v>
      </c>
      <c r="K763">
        <v>14</v>
      </c>
      <c r="L763">
        <v>12</v>
      </c>
      <c r="M763">
        <v>2025</v>
      </c>
      <c r="N763">
        <v>5</v>
      </c>
      <c r="O763">
        <v>11</v>
      </c>
      <c r="P763">
        <v>2025</v>
      </c>
      <c r="Q763">
        <v>5</v>
      </c>
      <c r="R763" t="s">
        <v>66</v>
      </c>
      <c r="S763" t="s">
        <v>45</v>
      </c>
      <c r="T763" t="s">
        <v>42</v>
      </c>
      <c r="U763" t="s">
        <v>40</v>
      </c>
      <c r="V763" t="s">
        <v>170</v>
      </c>
      <c r="W763" t="s">
        <v>171</v>
      </c>
      <c r="X763" t="s">
        <v>126</v>
      </c>
      <c r="Y763">
        <v>90</v>
      </c>
      <c r="Z763" t="s">
        <v>46</v>
      </c>
      <c r="AA763" t="s">
        <v>47</v>
      </c>
      <c r="AB763" s="1">
        <v>45997</v>
      </c>
      <c r="AC763" t="s">
        <v>66</v>
      </c>
      <c r="AD763" t="s">
        <v>40</v>
      </c>
      <c r="AE763" t="s">
        <v>69</v>
      </c>
      <c r="AF763" t="s">
        <v>40</v>
      </c>
      <c r="AG763">
        <v>0</v>
      </c>
      <c r="AH763" t="s">
        <v>70</v>
      </c>
    </row>
    <row r="764" spans="1:34" x14ac:dyDescent="0.3">
      <c r="A764" t="s">
        <v>1321</v>
      </c>
      <c r="B764" t="s">
        <v>1322</v>
      </c>
      <c r="C764" t="s">
        <v>169</v>
      </c>
      <c r="D764" t="s">
        <v>104</v>
      </c>
      <c r="E764" s="1">
        <v>46077</v>
      </c>
      <c r="F764" s="1">
        <v>46084</v>
      </c>
      <c r="G764" t="s">
        <v>38</v>
      </c>
      <c r="H764">
        <v>3951</v>
      </c>
      <c r="I764" t="s">
        <v>39</v>
      </c>
      <c r="J764" t="b">
        <v>0</v>
      </c>
      <c r="K764">
        <v>7</v>
      </c>
      <c r="L764">
        <v>3</v>
      </c>
      <c r="M764">
        <v>2026</v>
      </c>
      <c r="N764">
        <v>1</v>
      </c>
      <c r="O764">
        <v>2</v>
      </c>
      <c r="P764">
        <v>2026</v>
      </c>
      <c r="Q764">
        <v>1</v>
      </c>
      <c r="R764" t="s">
        <v>40</v>
      </c>
      <c r="S764" t="s">
        <v>41</v>
      </c>
      <c r="T764" t="s">
        <v>42</v>
      </c>
      <c r="U764" t="s">
        <v>40</v>
      </c>
      <c r="V764" t="s">
        <v>170</v>
      </c>
      <c r="W764" t="s">
        <v>171</v>
      </c>
      <c r="X764" t="s">
        <v>126</v>
      </c>
      <c r="Y764">
        <v>90</v>
      </c>
      <c r="Z764" t="s">
        <v>107</v>
      </c>
      <c r="AA764" t="s">
        <v>108</v>
      </c>
      <c r="AB764" s="1">
        <v>46084</v>
      </c>
      <c r="AC764" t="s">
        <v>40</v>
      </c>
      <c r="AD764" t="s">
        <v>40</v>
      </c>
      <c r="AE764" t="s">
        <v>60</v>
      </c>
      <c r="AF764" t="s">
        <v>40</v>
      </c>
      <c r="AG764">
        <v>0</v>
      </c>
      <c r="AH764" t="s">
        <v>100</v>
      </c>
    </row>
    <row r="765" spans="1:34" x14ac:dyDescent="0.3">
      <c r="A765" t="s">
        <v>1323</v>
      </c>
      <c r="B765" t="s">
        <v>991</v>
      </c>
      <c r="C765" t="s">
        <v>103</v>
      </c>
      <c r="D765" t="s">
        <v>130</v>
      </c>
      <c r="E765" s="1">
        <v>45999</v>
      </c>
      <c r="F765" s="1">
        <v>46149</v>
      </c>
      <c r="G765" t="s">
        <v>64</v>
      </c>
      <c r="H765">
        <v>3262</v>
      </c>
      <c r="I765" t="s">
        <v>54</v>
      </c>
      <c r="J765" t="b">
        <v>0</v>
      </c>
      <c r="K765">
        <v>150</v>
      </c>
      <c r="L765">
        <v>5</v>
      </c>
      <c r="M765">
        <v>2026</v>
      </c>
      <c r="N765">
        <v>3</v>
      </c>
      <c r="O765">
        <v>12</v>
      </c>
      <c r="P765">
        <v>2025</v>
      </c>
      <c r="Q765">
        <v>0</v>
      </c>
      <c r="R765" t="s">
        <v>40</v>
      </c>
      <c r="S765" t="s">
        <v>41</v>
      </c>
      <c r="T765" t="s">
        <v>286</v>
      </c>
      <c r="U765" t="s">
        <v>40</v>
      </c>
      <c r="V765" t="s">
        <v>105</v>
      </c>
      <c r="W765" t="s">
        <v>106</v>
      </c>
      <c r="X765" t="s">
        <v>45</v>
      </c>
      <c r="Y765">
        <v>140</v>
      </c>
      <c r="Z765" t="s">
        <v>133</v>
      </c>
      <c r="AA765" t="s">
        <v>134</v>
      </c>
      <c r="AB765" s="1">
        <v>46149</v>
      </c>
      <c r="AC765" t="s">
        <v>40</v>
      </c>
      <c r="AD765" t="s">
        <v>40</v>
      </c>
      <c r="AE765" t="s">
        <v>69</v>
      </c>
      <c r="AF765" t="s">
        <v>40</v>
      </c>
      <c r="AG765">
        <v>1</v>
      </c>
      <c r="AH765" t="s">
        <v>49</v>
      </c>
    </row>
    <row r="766" spans="1:34" x14ac:dyDescent="0.3">
      <c r="A766" t="s">
        <v>1324</v>
      </c>
      <c r="B766" t="s">
        <v>110</v>
      </c>
      <c r="C766" t="s">
        <v>103</v>
      </c>
      <c r="D766" t="s">
        <v>37</v>
      </c>
      <c r="E766" s="1">
        <v>45892</v>
      </c>
      <c r="F766" s="1">
        <v>45899</v>
      </c>
      <c r="G766" t="s">
        <v>38</v>
      </c>
      <c r="H766">
        <v>5193</v>
      </c>
      <c r="I766" t="s">
        <v>39</v>
      </c>
      <c r="J766" t="b">
        <v>0</v>
      </c>
      <c r="K766">
        <v>7</v>
      </c>
      <c r="L766">
        <v>8</v>
      </c>
      <c r="M766">
        <v>2025</v>
      </c>
      <c r="N766">
        <v>5</v>
      </c>
      <c r="O766">
        <v>8</v>
      </c>
      <c r="P766">
        <v>2025</v>
      </c>
      <c r="Q766">
        <v>5</v>
      </c>
      <c r="R766" t="s">
        <v>66</v>
      </c>
      <c r="S766" t="s">
        <v>45</v>
      </c>
      <c r="T766" t="s">
        <v>42</v>
      </c>
      <c r="U766" t="s">
        <v>66</v>
      </c>
      <c r="V766" t="s">
        <v>105</v>
      </c>
      <c r="W766" t="s">
        <v>106</v>
      </c>
      <c r="X766" t="s">
        <v>45</v>
      </c>
      <c r="Y766">
        <v>140</v>
      </c>
      <c r="Z766" t="s">
        <v>46</v>
      </c>
      <c r="AA766" t="s">
        <v>47</v>
      </c>
      <c r="AB766" s="1">
        <v>45899</v>
      </c>
      <c r="AC766" t="s">
        <v>66</v>
      </c>
      <c r="AD766" t="s">
        <v>40</v>
      </c>
      <c r="AE766" t="s">
        <v>86</v>
      </c>
      <c r="AF766" t="s">
        <v>40</v>
      </c>
      <c r="AG766">
        <v>0</v>
      </c>
      <c r="AH766" t="s">
        <v>100</v>
      </c>
    </row>
    <row r="767" spans="1:34" x14ac:dyDescent="0.3">
      <c r="A767" t="s">
        <v>1325</v>
      </c>
      <c r="B767" t="s">
        <v>1326</v>
      </c>
      <c r="C767" t="s">
        <v>146</v>
      </c>
      <c r="D767" t="s">
        <v>130</v>
      </c>
      <c r="E767" s="1">
        <v>46171</v>
      </c>
      <c r="F767" s="1">
        <v>46185</v>
      </c>
      <c r="G767" t="s">
        <v>41</v>
      </c>
      <c r="H767">
        <v>5099</v>
      </c>
      <c r="I767" t="s">
        <v>39</v>
      </c>
      <c r="J767" t="b">
        <v>0</v>
      </c>
      <c r="K767">
        <v>14</v>
      </c>
      <c r="L767">
        <v>6</v>
      </c>
      <c r="M767">
        <v>2026</v>
      </c>
      <c r="N767">
        <v>4</v>
      </c>
      <c r="O767">
        <v>5</v>
      </c>
      <c r="P767">
        <v>2026</v>
      </c>
      <c r="Q767">
        <v>4</v>
      </c>
      <c r="R767" t="s">
        <v>40</v>
      </c>
      <c r="S767" t="s">
        <v>67</v>
      </c>
      <c r="T767" t="s">
        <v>42</v>
      </c>
      <c r="U767" t="s">
        <v>40</v>
      </c>
      <c r="V767" t="s">
        <v>147</v>
      </c>
      <c r="W767" t="s">
        <v>148</v>
      </c>
      <c r="X767" t="s">
        <v>45</v>
      </c>
      <c r="Y767">
        <v>160</v>
      </c>
      <c r="Z767" t="s">
        <v>133</v>
      </c>
      <c r="AA767" t="s">
        <v>134</v>
      </c>
      <c r="AB767" s="1">
        <v>46185</v>
      </c>
      <c r="AC767" t="s">
        <v>40</v>
      </c>
      <c r="AD767" t="s">
        <v>40</v>
      </c>
      <c r="AE767" t="s">
        <v>60</v>
      </c>
      <c r="AF767" t="s">
        <v>40</v>
      </c>
      <c r="AG767">
        <v>0</v>
      </c>
      <c r="AH767" t="s">
        <v>70</v>
      </c>
    </row>
    <row r="768" spans="1:34" x14ac:dyDescent="0.3">
      <c r="A768" t="s">
        <v>1327</v>
      </c>
      <c r="B768" t="s">
        <v>519</v>
      </c>
      <c r="C768" t="s">
        <v>89</v>
      </c>
      <c r="D768" t="s">
        <v>130</v>
      </c>
      <c r="E768" s="1">
        <v>46044</v>
      </c>
      <c r="F768" s="1">
        <v>46074</v>
      </c>
      <c r="G768" t="s">
        <v>38</v>
      </c>
      <c r="H768">
        <v>3847</v>
      </c>
      <c r="I768" t="s">
        <v>65</v>
      </c>
      <c r="J768" t="b">
        <v>0</v>
      </c>
      <c r="K768">
        <v>30</v>
      </c>
      <c r="L768">
        <v>2</v>
      </c>
      <c r="M768">
        <v>2026</v>
      </c>
      <c r="N768">
        <v>5</v>
      </c>
      <c r="O768">
        <v>1</v>
      </c>
      <c r="P768">
        <v>2026</v>
      </c>
      <c r="Q768">
        <v>3</v>
      </c>
      <c r="R768" t="s">
        <v>66</v>
      </c>
      <c r="S768" t="s">
        <v>41</v>
      </c>
      <c r="T768" t="s">
        <v>42</v>
      </c>
      <c r="U768" t="s">
        <v>40</v>
      </c>
      <c r="V768" t="s">
        <v>91</v>
      </c>
      <c r="W768" t="s">
        <v>92</v>
      </c>
      <c r="X768" t="s">
        <v>76</v>
      </c>
      <c r="Y768">
        <v>65</v>
      </c>
      <c r="Z768" t="s">
        <v>133</v>
      </c>
      <c r="AA768" t="s">
        <v>134</v>
      </c>
      <c r="AB768" s="1">
        <v>46074</v>
      </c>
      <c r="AC768" t="s">
        <v>66</v>
      </c>
      <c r="AD768" t="s">
        <v>40</v>
      </c>
      <c r="AE768" t="s">
        <v>60</v>
      </c>
      <c r="AF768" t="s">
        <v>40</v>
      </c>
      <c r="AG768">
        <v>0</v>
      </c>
      <c r="AH768" t="s">
        <v>70</v>
      </c>
    </row>
    <row r="769" spans="1:34" x14ac:dyDescent="0.3">
      <c r="A769" t="s">
        <v>1328</v>
      </c>
      <c r="B769" t="s">
        <v>1326</v>
      </c>
      <c r="C769" t="s">
        <v>52</v>
      </c>
      <c r="D769" t="s">
        <v>37</v>
      </c>
      <c r="E769" s="1">
        <v>46212</v>
      </c>
      <c r="F769" s="1">
        <v>46242</v>
      </c>
      <c r="G769" t="s">
        <v>38</v>
      </c>
      <c r="H769">
        <v>5909</v>
      </c>
      <c r="I769" t="s">
        <v>65</v>
      </c>
      <c r="J769" t="b">
        <v>0</v>
      </c>
      <c r="K769">
        <v>30</v>
      </c>
      <c r="L769">
        <v>8</v>
      </c>
      <c r="M769">
        <v>2026</v>
      </c>
      <c r="N769">
        <v>5</v>
      </c>
      <c r="O769">
        <v>7</v>
      </c>
      <c r="P769">
        <v>2026</v>
      </c>
      <c r="Q769">
        <v>3</v>
      </c>
      <c r="R769" t="s">
        <v>66</v>
      </c>
      <c r="S769" t="s">
        <v>67</v>
      </c>
      <c r="T769" t="s">
        <v>42</v>
      </c>
      <c r="U769" t="s">
        <v>40</v>
      </c>
      <c r="V769" t="s">
        <v>56</v>
      </c>
      <c r="W769" t="s">
        <v>57</v>
      </c>
      <c r="X769" t="s">
        <v>45</v>
      </c>
      <c r="Y769">
        <v>120</v>
      </c>
      <c r="Z769" t="s">
        <v>46</v>
      </c>
      <c r="AA769" t="s">
        <v>47</v>
      </c>
      <c r="AB769" s="1">
        <v>46242</v>
      </c>
      <c r="AC769" t="s">
        <v>66</v>
      </c>
      <c r="AD769" t="s">
        <v>40</v>
      </c>
      <c r="AE769" t="s">
        <v>86</v>
      </c>
      <c r="AF769" t="s">
        <v>40</v>
      </c>
      <c r="AG769">
        <v>0</v>
      </c>
      <c r="AH769" t="s">
        <v>70</v>
      </c>
    </row>
    <row r="770" spans="1:34" x14ac:dyDescent="0.3">
      <c r="A770" t="s">
        <v>1329</v>
      </c>
      <c r="B770" t="s">
        <v>892</v>
      </c>
      <c r="C770" t="s">
        <v>146</v>
      </c>
      <c r="D770" t="s">
        <v>37</v>
      </c>
      <c r="E770" s="1">
        <v>45681</v>
      </c>
      <c r="F770" s="1">
        <v>45688</v>
      </c>
      <c r="G770" t="s">
        <v>41</v>
      </c>
      <c r="H770">
        <v>7360</v>
      </c>
      <c r="I770" t="s">
        <v>39</v>
      </c>
      <c r="J770" t="b">
        <v>0</v>
      </c>
      <c r="K770">
        <v>7</v>
      </c>
      <c r="L770">
        <v>1</v>
      </c>
      <c r="M770">
        <v>2025</v>
      </c>
      <c r="N770">
        <v>4</v>
      </c>
      <c r="O770">
        <v>1</v>
      </c>
      <c r="P770">
        <v>2025</v>
      </c>
      <c r="Q770">
        <v>4</v>
      </c>
      <c r="R770" t="s">
        <v>40</v>
      </c>
      <c r="S770" t="s">
        <v>45</v>
      </c>
      <c r="T770" t="s">
        <v>42</v>
      </c>
      <c r="U770" t="s">
        <v>40</v>
      </c>
      <c r="V770" t="s">
        <v>147</v>
      </c>
      <c r="W770" t="s">
        <v>148</v>
      </c>
      <c r="X770" t="s">
        <v>45</v>
      </c>
      <c r="Y770">
        <v>160</v>
      </c>
      <c r="Z770" t="s">
        <v>46</v>
      </c>
      <c r="AA770" t="s">
        <v>47</v>
      </c>
      <c r="AB770" s="1">
        <v>45688</v>
      </c>
      <c r="AC770" t="s">
        <v>40</v>
      </c>
      <c r="AD770" t="s">
        <v>40</v>
      </c>
      <c r="AE770" t="s">
        <v>86</v>
      </c>
      <c r="AF770" t="s">
        <v>40</v>
      </c>
      <c r="AG770">
        <v>0</v>
      </c>
      <c r="AH770" t="s">
        <v>100</v>
      </c>
    </row>
    <row r="771" spans="1:34" x14ac:dyDescent="0.3">
      <c r="A771" t="s">
        <v>1330</v>
      </c>
      <c r="B771" t="s">
        <v>334</v>
      </c>
      <c r="C771" t="s">
        <v>146</v>
      </c>
      <c r="D771" t="s">
        <v>53</v>
      </c>
      <c r="E771" s="1">
        <v>46152</v>
      </c>
      <c r="F771" s="1">
        <v>46159</v>
      </c>
      <c r="G771" t="s">
        <v>38</v>
      </c>
      <c r="H771">
        <v>5535</v>
      </c>
      <c r="I771" t="s">
        <v>39</v>
      </c>
      <c r="J771" t="b">
        <v>0</v>
      </c>
      <c r="K771">
        <v>7</v>
      </c>
      <c r="L771">
        <v>5</v>
      </c>
      <c r="M771">
        <v>2026</v>
      </c>
      <c r="N771">
        <v>6</v>
      </c>
      <c r="O771">
        <v>5</v>
      </c>
      <c r="P771">
        <v>2026</v>
      </c>
      <c r="Q771">
        <v>6</v>
      </c>
      <c r="R771" t="s">
        <v>66</v>
      </c>
      <c r="S771" t="s">
        <v>67</v>
      </c>
      <c r="T771" t="s">
        <v>42</v>
      </c>
      <c r="U771" t="s">
        <v>40</v>
      </c>
      <c r="V771" t="s">
        <v>147</v>
      </c>
      <c r="W771" t="s">
        <v>148</v>
      </c>
      <c r="X771" t="s">
        <v>45</v>
      </c>
      <c r="Y771">
        <v>160</v>
      </c>
      <c r="Z771" t="s">
        <v>58</v>
      </c>
      <c r="AA771" t="s">
        <v>59</v>
      </c>
      <c r="AB771" s="1">
        <v>46159</v>
      </c>
      <c r="AC771" t="s">
        <v>66</v>
      </c>
      <c r="AD771" t="s">
        <v>40</v>
      </c>
      <c r="AE771" t="s">
        <v>69</v>
      </c>
      <c r="AF771" t="s">
        <v>40</v>
      </c>
      <c r="AG771">
        <v>0</v>
      </c>
      <c r="AH771" t="s">
        <v>100</v>
      </c>
    </row>
    <row r="772" spans="1:34" x14ac:dyDescent="0.3">
      <c r="A772" t="s">
        <v>1331</v>
      </c>
      <c r="B772" t="s">
        <v>344</v>
      </c>
      <c r="C772" t="s">
        <v>155</v>
      </c>
      <c r="D772" t="s">
        <v>130</v>
      </c>
      <c r="E772" s="1">
        <v>46064</v>
      </c>
      <c r="F772" s="1">
        <v>46124</v>
      </c>
      <c r="G772" t="s">
        <v>41</v>
      </c>
      <c r="H772">
        <v>7632</v>
      </c>
      <c r="I772" t="s">
        <v>39</v>
      </c>
      <c r="J772" t="b">
        <v>0</v>
      </c>
      <c r="K772">
        <v>60</v>
      </c>
      <c r="L772">
        <v>4</v>
      </c>
      <c r="M772">
        <v>2026</v>
      </c>
      <c r="N772">
        <v>6</v>
      </c>
      <c r="O772">
        <v>2</v>
      </c>
      <c r="P772">
        <v>2026</v>
      </c>
      <c r="Q772">
        <v>2</v>
      </c>
      <c r="R772" t="s">
        <v>66</v>
      </c>
      <c r="S772" t="s">
        <v>55</v>
      </c>
      <c r="T772" t="s">
        <v>42</v>
      </c>
      <c r="U772" t="s">
        <v>40</v>
      </c>
      <c r="V772" t="s">
        <v>156</v>
      </c>
      <c r="W772" t="s">
        <v>157</v>
      </c>
      <c r="X772" t="s">
        <v>158</v>
      </c>
      <c r="Y772">
        <v>70</v>
      </c>
      <c r="Z772" t="s">
        <v>133</v>
      </c>
      <c r="AA772" t="s">
        <v>134</v>
      </c>
      <c r="AB772" s="1">
        <v>46124</v>
      </c>
      <c r="AC772" t="s">
        <v>66</v>
      </c>
      <c r="AD772" t="s">
        <v>40</v>
      </c>
      <c r="AE772" t="s">
        <v>69</v>
      </c>
      <c r="AF772" t="s">
        <v>40</v>
      </c>
      <c r="AG772">
        <v>0</v>
      </c>
      <c r="AH772" t="s">
        <v>61</v>
      </c>
    </row>
    <row r="773" spans="1:34" x14ac:dyDescent="0.3">
      <c r="A773" t="s">
        <v>1332</v>
      </c>
      <c r="B773" t="s">
        <v>1333</v>
      </c>
      <c r="C773" t="s">
        <v>36</v>
      </c>
      <c r="D773" t="s">
        <v>80</v>
      </c>
      <c r="E773" s="1">
        <v>45831</v>
      </c>
      <c r="F773" s="1">
        <v>45838</v>
      </c>
      <c r="G773" t="s">
        <v>41</v>
      </c>
      <c r="H773">
        <v>6651</v>
      </c>
      <c r="I773" t="s">
        <v>65</v>
      </c>
      <c r="J773" t="b">
        <v>0</v>
      </c>
      <c r="K773">
        <v>7</v>
      </c>
      <c r="L773">
        <v>6</v>
      </c>
      <c r="M773">
        <v>2025</v>
      </c>
      <c r="N773">
        <v>0</v>
      </c>
      <c r="O773">
        <v>6</v>
      </c>
      <c r="P773">
        <v>2025</v>
      </c>
      <c r="Q773">
        <v>0</v>
      </c>
      <c r="R773" t="s">
        <v>40</v>
      </c>
      <c r="S773" t="s">
        <v>67</v>
      </c>
      <c r="T773" t="s">
        <v>42</v>
      </c>
      <c r="U773" t="s">
        <v>66</v>
      </c>
      <c r="V773" t="s">
        <v>43</v>
      </c>
      <c r="W773" t="s">
        <v>44</v>
      </c>
      <c r="X773" t="s">
        <v>45</v>
      </c>
      <c r="Y773">
        <v>150</v>
      </c>
      <c r="Z773" t="s">
        <v>84</v>
      </c>
      <c r="AA773" t="s">
        <v>85</v>
      </c>
      <c r="AB773" s="1">
        <v>45838</v>
      </c>
      <c r="AC773" t="s">
        <v>40</v>
      </c>
      <c r="AD773" t="s">
        <v>40</v>
      </c>
      <c r="AE773" t="s">
        <v>60</v>
      </c>
      <c r="AF773" t="s">
        <v>40</v>
      </c>
      <c r="AG773">
        <v>0</v>
      </c>
      <c r="AH773" t="s">
        <v>100</v>
      </c>
    </row>
    <row r="774" spans="1:34" x14ac:dyDescent="0.3">
      <c r="A774" t="s">
        <v>1334</v>
      </c>
      <c r="B774" t="s">
        <v>729</v>
      </c>
      <c r="C774" t="s">
        <v>73</v>
      </c>
      <c r="D774" t="s">
        <v>130</v>
      </c>
      <c r="E774" s="1">
        <v>46163</v>
      </c>
      <c r="F774" s="1">
        <v>46170</v>
      </c>
      <c r="G774" t="s">
        <v>81</v>
      </c>
      <c r="H774">
        <v>6799</v>
      </c>
      <c r="I774" t="s">
        <v>65</v>
      </c>
      <c r="J774" t="b">
        <v>0</v>
      </c>
      <c r="K774">
        <v>7</v>
      </c>
      <c r="L774">
        <v>5</v>
      </c>
      <c r="M774">
        <v>2026</v>
      </c>
      <c r="N774">
        <v>3</v>
      </c>
      <c r="O774">
        <v>5</v>
      </c>
      <c r="P774">
        <v>2026</v>
      </c>
      <c r="Q774">
        <v>3</v>
      </c>
      <c r="R774" t="s">
        <v>40</v>
      </c>
      <c r="S774" t="s">
        <v>55</v>
      </c>
      <c r="T774" t="s">
        <v>113</v>
      </c>
      <c r="U774" t="s">
        <v>40</v>
      </c>
      <c r="V774" t="s">
        <v>74</v>
      </c>
      <c r="W774" t="s">
        <v>75</v>
      </c>
      <c r="X774" t="s">
        <v>76</v>
      </c>
      <c r="Y774">
        <v>75</v>
      </c>
      <c r="Z774" t="s">
        <v>133</v>
      </c>
      <c r="AA774" t="s">
        <v>134</v>
      </c>
      <c r="AB774" s="1">
        <v>46170</v>
      </c>
      <c r="AC774" t="s">
        <v>40</v>
      </c>
      <c r="AD774" t="s">
        <v>40</v>
      </c>
      <c r="AE774" t="s">
        <v>69</v>
      </c>
      <c r="AF774" t="s">
        <v>40</v>
      </c>
      <c r="AG774">
        <v>0</v>
      </c>
      <c r="AH774" t="s">
        <v>100</v>
      </c>
    </row>
    <row r="775" spans="1:34" x14ac:dyDescent="0.3">
      <c r="A775" t="s">
        <v>1335</v>
      </c>
      <c r="B775" t="s">
        <v>222</v>
      </c>
      <c r="C775" t="s">
        <v>89</v>
      </c>
      <c r="D775" t="s">
        <v>90</v>
      </c>
      <c r="E775" s="1">
        <v>46233</v>
      </c>
      <c r="F775" s="1">
        <v>46293</v>
      </c>
      <c r="G775" t="s">
        <v>41</v>
      </c>
      <c r="H775">
        <v>6889</v>
      </c>
      <c r="I775" t="s">
        <v>65</v>
      </c>
      <c r="J775" t="b">
        <v>0</v>
      </c>
      <c r="K775">
        <v>60</v>
      </c>
      <c r="L775">
        <v>9</v>
      </c>
      <c r="M775">
        <v>2026</v>
      </c>
      <c r="N775">
        <v>0</v>
      </c>
      <c r="O775">
        <v>7</v>
      </c>
      <c r="P775">
        <v>2026</v>
      </c>
      <c r="Q775">
        <v>3</v>
      </c>
      <c r="R775" t="s">
        <v>40</v>
      </c>
      <c r="S775" t="s">
        <v>41</v>
      </c>
      <c r="T775" t="s">
        <v>123</v>
      </c>
      <c r="U775" t="s">
        <v>40</v>
      </c>
      <c r="V775" t="s">
        <v>91</v>
      </c>
      <c r="W775" t="s">
        <v>92</v>
      </c>
      <c r="X775" t="s">
        <v>76</v>
      </c>
      <c r="Y775">
        <v>65</v>
      </c>
      <c r="Z775" t="s">
        <v>93</v>
      </c>
      <c r="AA775" t="s">
        <v>94</v>
      </c>
      <c r="AB775" s="1">
        <v>46293</v>
      </c>
      <c r="AC775" t="s">
        <v>40</v>
      </c>
      <c r="AD775" t="s">
        <v>40</v>
      </c>
      <c r="AE775" t="s">
        <v>60</v>
      </c>
      <c r="AF775" t="s">
        <v>40</v>
      </c>
      <c r="AG775">
        <v>0</v>
      </c>
      <c r="AH775" t="s">
        <v>61</v>
      </c>
    </row>
    <row r="776" spans="1:34" x14ac:dyDescent="0.3">
      <c r="A776" t="s">
        <v>1336</v>
      </c>
      <c r="B776" t="s">
        <v>1337</v>
      </c>
      <c r="C776" t="s">
        <v>36</v>
      </c>
      <c r="D776" t="s">
        <v>104</v>
      </c>
      <c r="E776" s="1">
        <v>45737</v>
      </c>
      <c r="F776" s="1">
        <v>45751</v>
      </c>
      <c r="G776" t="s">
        <v>64</v>
      </c>
      <c r="H776">
        <v>3264</v>
      </c>
      <c r="I776" t="s">
        <v>39</v>
      </c>
      <c r="J776" t="b">
        <v>0</v>
      </c>
      <c r="K776">
        <v>14</v>
      </c>
      <c r="L776">
        <v>4</v>
      </c>
      <c r="M776">
        <v>2025</v>
      </c>
      <c r="N776">
        <v>4</v>
      </c>
      <c r="O776">
        <v>3</v>
      </c>
      <c r="P776">
        <v>2025</v>
      </c>
      <c r="Q776">
        <v>4</v>
      </c>
      <c r="R776" t="s">
        <v>40</v>
      </c>
      <c r="S776" t="s">
        <v>55</v>
      </c>
      <c r="T776" t="s">
        <v>42</v>
      </c>
      <c r="U776" t="s">
        <v>40</v>
      </c>
      <c r="V776" t="s">
        <v>43</v>
      </c>
      <c r="W776" t="s">
        <v>44</v>
      </c>
      <c r="X776" t="s">
        <v>45</v>
      </c>
      <c r="Y776">
        <v>150</v>
      </c>
      <c r="Z776" t="s">
        <v>107</v>
      </c>
      <c r="AA776" t="s">
        <v>108</v>
      </c>
      <c r="AB776" s="1">
        <v>45751</v>
      </c>
      <c r="AC776" t="s">
        <v>40</v>
      </c>
      <c r="AD776" t="s">
        <v>40</v>
      </c>
      <c r="AE776" t="s">
        <v>69</v>
      </c>
      <c r="AF776" t="s">
        <v>40</v>
      </c>
      <c r="AG776">
        <v>0</v>
      </c>
      <c r="AH776" t="s">
        <v>70</v>
      </c>
    </row>
    <row r="777" spans="1:34" x14ac:dyDescent="0.3">
      <c r="A777" t="s">
        <v>1338</v>
      </c>
      <c r="B777" t="s">
        <v>773</v>
      </c>
      <c r="C777" t="s">
        <v>122</v>
      </c>
      <c r="D777" t="s">
        <v>90</v>
      </c>
      <c r="E777" s="1">
        <v>46299</v>
      </c>
      <c r="F777" s="1">
        <v>46359</v>
      </c>
      <c r="G777" t="s">
        <v>41</v>
      </c>
      <c r="H777">
        <v>33175</v>
      </c>
      <c r="I777" t="s">
        <v>39</v>
      </c>
      <c r="J777" t="b">
        <v>0</v>
      </c>
      <c r="K777">
        <v>60</v>
      </c>
      <c r="L777">
        <v>12</v>
      </c>
      <c r="M777">
        <v>2026</v>
      </c>
      <c r="N777">
        <v>3</v>
      </c>
      <c r="O777">
        <v>10</v>
      </c>
      <c r="P777">
        <v>2026</v>
      </c>
      <c r="Q777">
        <v>6</v>
      </c>
      <c r="R777" t="s">
        <v>40</v>
      </c>
      <c r="S777" t="s">
        <v>41</v>
      </c>
      <c r="T777" t="s">
        <v>113</v>
      </c>
      <c r="U777" t="s">
        <v>40</v>
      </c>
      <c r="V777" t="s">
        <v>124</v>
      </c>
      <c r="W777" t="s">
        <v>125</v>
      </c>
      <c r="X777" t="s">
        <v>126</v>
      </c>
      <c r="Y777">
        <v>85</v>
      </c>
      <c r="Z777" t="s">
        <v>93</v>
      </c>
      <c r="AA777" t="s">
        <v>94</v>
      </c>
      <c r="AB777" s="1">
        <v>46359</v>
      </c>
      <c r="AC777" t="s">
        <v>40</v>
      </c>
      <c r="AD777" t="s">
        <v>40</v>
      </c>
      <c r="AE777" t="s">
        <v>69</v>
      </c>
      <c r="AF777" t="s">
        <v>40</v>
      </c>
      <c r="AG777">
        <v>0</v>
      </c>
      <c r="AH777" t="s">
        <v>61</v>
      </c>
    </row>
    <row r="778" spans="1:34" x14ac:dyDescent="0.3">
      <c r="A778" t="s">
        <v>1339</v>
      </c>
      <c r="B778" t="s">
        <v>1340</v>
      </c>
      <c r="C778" t="s">
        <v>146</v>
      </c>
      <c r="D778" t="s">
        <v>53</v>
      </c>
      <c r="E778" s="1">
        <v>46287</v>
      </c>
      <c r="F778" s="1">
        <v>46387</v>
      </c>
      <c r="G778" t="s">
        <v>38</v>
      </c>
      <c r="H778">
        <v>5643</v>
      </c>
      <c r="I778" t="s">
        <v>39</v>
      </c>
      <c r="J778" t="b">
        <v>0</v>
      </c>
      <c r="K778">
        <v>100</v>
      </c>
      <c r="L778">
        <v>12</v>
      </c>
      <c r="M778">
        <v>2026</v>
      </c>
      <c r="N778">
        <v>3</v>
      </c>
      <c r="O778">
        <v>9</v>
      </c>
      <c r="P778">
        <v>2026</v>
      </c>
      <c r="Q778">
        <v>1</v>
      </c>
      <c r="R778" t="s">
        <v>40</v>
      </c>
      <c r="S778" t="s">
        <v>45</v>
      </c>
      <c r="T778" t="s">
        <v>42</v>
      </c>
      <c r="U778" t="s">
        <v>40</v>
      </c>
      <c r="V778" t="s">
        <v>147</v>
      </c>
      <c r="W778" t="s">
        <v>148</v>
      </c>
      <c r="X778" t="s">
        <v>45</v>
      </c>
      <c r="Y778">
        <v>160</v>
      </c>
      <c r="Z778" t="s">
        <v>58</v>
      </c>
      <c r="AA778" t="s">
        <v>59</v>
      </c>
      <c r="AB778" s="1">
        <v>46387</v>
      </c>
      <c r="AC778" t="s">
        <v>40</v>
      </c>
      <c r="AD778" t="s">
        <v>40</v>
      </c>
      <c r="AE778" t="s">
        <v>69</v>
      </c>
      <c r="AF778" t="s">
        <v>40</v>
      </c>
      <c r="AG778">
        <v>0</v>
      </c>
      <c r="AH778" t="s">
        <v>49</v>
      </c>
    </row>
    <row r="779" spans="1:34" x14ac:dyDescent="0.3">
      <c r="A779" t="s">
        <v>1341</v>
      </c>
      <c r="B779" t="s">
        <v>673</v>
      </c>
      <c r="C779" t="s">
        <v>122</v>
      </c>
      <c r="D779" t="s">
        <v>104</v>
      </c>
      <c r="E779" s="1">
        <v>45873</v>
      </c>
      <c r="F779" s="1">
        <v>46023</v>
      </c>
      <c r="G779" t="s">
        <v>38</v>
      </c>
      <c r="H779">
        <v>5440</v>
      </c>
      <c r="I779" t="s">
        <v>54</v>
      </c>
      <c r="J779" t="b">
        <v>0</v>
      </c>
      <c r="K779">
        <v>150</v>
      </c>
      <c r="L779">
        <v>1</v>
      </c>
      <c r="M779">
        <v>2026</v>
      </c>
      <c r="N779">
        <v>3</v>
      </c>
      <c r="O779">
        <v>8</v>
      </c>
      <c r="P779">
        <v>2025</v>
      </c>
      <c r="Q779">
        <v>0</v>
      </c>
      <c r="R779" t="s">
        <v>40</v>
      </c>
      <c r="S779" t="s">
        <v>55</v>
      </c>
      <c r="T779" t="s">
        <v>42</v>
      </c>
      <c r="U779" t="s">
        <v>40</v>
      </c>
      <c r="V779" t="s">
        <v>124</v>
      </c>
      <c r="W779" t="s">
        <v>125</v>
      </c>
      <c r="X779" t="s">
        <v>126</v>
      </c>
      <c r="Y779">
        <v>85</v>
      </c>
      <c r="Z779" t="s">
        <v>107</v>
      </c>
      <c r="AA779" t="s">
        <v>108</v>
      </c>
      <c r="AB779" s="1">
        <v>46023</v>
      </c>
      <c r="AC779" t="s">
        <v>40</v>
      </c>
      <c r="AD779" t="s">
        <v>66</v>
      </c>
      <c r="AE779" t="s">
        <v>86</v>
      </c>
      <c r="AF779" t="s">
        <v>66</v>
      </c>
      <c r="AG779">
        <v>1</v>
      </c>
      <c r="AH779" t="s">
        <v>49</v>
      </c>
    </row>
    <row r="780" spans="1:34" x14ac:dyDescent="0.3">
      <c r="A780" t="s">
        <v>1342</v>
      </c>
      <c r="B780" t="s">
        <v>1257</v>
      </c>
      <c r="C780" t="s">
        <v>52</v>
      </c>
      <c r="D780" t="s">
        <v>53</v>
      </c>
      <c r="E780" s="1">
        <v>45850</v>
      </c>
      <c r="F780" s="1">
        <v>45857</v>
      </c>
      <c r="G780" t="s">
        <v>64</v>
      </c>
      <c r="H780">
        <v>3139</v>
      </c>
      <c r="I780" t="s">
        <v>39</v>
      </c>
      <c r="J780" t="b">
        <v>0</v>
      </c>
      <c r="K780">
        <v>7</v>
      </c>
      <c r="L780">
        <v>7</v>
      </c>
      <c r="M780">
        <v>2025</v>
      </c>
      <c r="N780">
        <v>5</v>
      </c>
      <c r="O780">
        <v>7</v>
      </c>
      <c r="P780">
        <v>2025</v>
      </c>
      <c r="Q780">
        <v>5</v>
      </c>
      <c r="R780" t="s">
        <v>66</v>
      </c>
      <c r="S780" t="s">
        <v>45</v>
      </c>
      <c r="T780" t="s">
        <v>42</v>
      </c>
      <c r="U780" t="s">
        <v>40</v>
      </c>
      <c r="V780" t="s">
        <v>56</v>
      </c>
      <c r="W780" t="s">
        <v>57</v>
      </c>
      <c r="X780" t="s">
        <v>45</v>
      </c>
      <c r="Y780">
        <v>120</v>
      </c>
      <c r="Z780" t="s">
        <v>58</v>
      </c>
      <c r="AA780" t="s">
        <v>59</v>
      </c>
      <c r="AB780" s="1">
        <v>45857</v>
      </c>
      <c r="AC780" t="s">
        <v>66</v>
      </c>
      <c r="AD780" t="s">
        <v>40</v>
      </c>
      <c r="AE780" t="s">
        <v>86</v>
      </c>
      <c r="AF780" t="s">
        <v>40</v>
      </c>
      <c r="AG780">
        <v>0</v>
      </c>
      <c r="AH780" t="s">
        <v>100</v>
      </c>
    </row>
    <row r="781" spans="1:34" x14ac:dyDescent="0.3">
      <c r="A781" t="s">
        <v>1343</v>
      </c>
      <c r="B781" t="s">
        <v>166</v>
      </c>
      <c r="C781" t="s">
        <v>73</v>
      </c>
      <c r="D781" t="s">
        <v>53</v>
      </c>
      <c r="E781" s="1">
        <v>46301</v>
      </c>
      <c r="F781" s="1">
        <v>46302</v>
      </c>
      <c r="G781" t="s">
        <v>38</v>
      </c>
      <c r="H781">
        <v>5245</v>
      </c>
      <c r="I781" t="s">
        <v>39</v>
      </c>
      <c r="J781" t="b">
        <v>0</v>
      </c>
      <c r="K781">
        <v>1</v>
      </c>
      <c r="L781">
        <v>10</v>
      </c>
      <c r="M781">
        <v>2026</v>
      </c>
      <c r="N781">
        <v>2</v>
      </c>
      <c r="O781">
        <v>10</v>
      </c>
      <c r="P781">
        <v>2026</v>
      </c>
      <c r="Q781">
        <v>1</v>
      </c>
      <c r="R781" t="s">
        <v>40</v>
      </c>
      <c r="S781" t="s">
        <v>67</v>
      </c>
      <c r="T781" t="s">
        <v>42</v>
      </c>
      <c r="U781" t="s">
        <v>40</v>
      </c>
      <c r="V781" t="s">
        <v>74</v>
      </c>
      <c r="W781" t="s">
        <v>75</v>
      </c>
      <c r="X781" t="s">
        <v>76</v>
      </c>
      <c r="Y781">
        <v>75</v>
      </c>
      <c r="Z781" t="s">
        <v>58</v>
      </c>
      <c r="AA781" t="s">
        <v>59</v>
      </c>
      <c r="AB781" s="1">
        <v>46302</v>
      </c>
      <c r="AC781" t="s">
        <v>40</v>
      </c>
      <c r="AD781" t="s">
        <v>40</v>
      </c>
      <c r="AE781" t="s">
        <v>60</v>
      </c>
      <c r="AF781" t="s">
        <v>40</v>
      </c>
      <c r="AG781">
        <v>0</v>
      </c>
      <c r="AH781" t="s">
        <v>100</v>
      </c>
    </row>
    <row r="782" spans="1:34" x14ac:dyDescent="0.3">
      <c r="A782" t="s">
        <v>1344</v>
      </c>
      <c r="B782" t="s">
        <v>498</v>
      </c>
      <c r="C782" t="s">
        <v>146</v>
      </c>
      <c r="D782" t="s">
        <v>80</v>
      </c>
      <c r="E782" s="1">
        <v>46314</v>
      </c>
      <c r="F782" s="1">
        <v>46344</v>
      </c>
      <c r="G782" t="s">
        <v>64</v>
      </c>
      <c r="H782">
        <v>2512</v>
      </c>
      <c r="I782" t="s">
        <v>39</v>
      </c>
      <c r="J782" t="b">
        <v>0</v>
      </c>
      <c r="K782">
        <v>30</v>
      </c>
      <c r="L782">
        <v>11</v>
      </c>
      <c r="M782">
        <v>2026</v>
      </c>
      <c r="N782">
        <v>2</v>
      </c>
      <c r="O782">
        <v>10</v>
      </c>
      <c r="P782">
        <v>2026</v>
      </c>
      <c r="Q782">
        <v>0</v>
      </c>
      <c r="R782" t="s">
        <v>40</v>
      </c>
      <c r="S782" t="s">
        <v>41</v>
      </c>
      <c r="T782" t="s">
        <v>42</v>
      </c>
      <c r="U782" t="s">
        <v>40</v>
      </c>
      <c r="V782" t="s">
        <v>147</v>
      </c>
      <c r="W782" t="s">
        <v>148</v>
      </c>
      <c r="X782" t="s">
        <v>45</v>
      </c>
      <c r="Y782">
        <v>160</v>
      </c>
      <c r="Z782" t="s">
        <v>84</v>
      </c>
      <c r="AA782" t="s">
        <v>85</v>
      </c>
      <c r="AB782" s="1">
        <v>46344</v>
      </c>
      <c r="AC782" t="s">
        <v>40</v>
      </c>
      <c r="AD782" t="s">
        <v>40</v>
      </c>
      <c r="AE782" t="s">
        <v>86</v>
      </c>
      <c r="AF782" t="s">
        <v>40</v>
      </c>
      <c r="AG782">
        <v>0</v>
      </c>
      <c r="AH782" t="s">
        <v>70</v>
      </c>
    </row>
    <row r="783" spans="1:34" x14ac:dyDescent="0.3">
      <c r="A783" t="s">
        <v>1345</v>
      </c>
      <c r="B783" t="s">
        <v>622</v>
      </c>
      <c r="C783" t="s">
        <v>155</v>
      </c>
      <c r="D783" t="s">
        <v>37</v>
      </c>
      <c r="E783" s="1">
        <v>46050</v>
      </c>
      <c r="F783" s="1">
        <v>46064</v>
      </c>
      <c r="G783" t="s">
        <v>81</v>
      </c>
      <c r="H783">
        <v>39808</v>
      </c>
      <c r="I783" t="s">
        <v>39</v>
      </c>
      <c r="J783" t="b">
        <v>1</v>
      </c>
      <c r="K783">
        <v>14</v>
      </c>
      <c r="L783">
        <v>2</v>
      </c>
      <c r="M783">
        <v>2026</v>
      </c>
      <c r="N783">
        <v>2</v>
      </c>
      <c r="O783">
        <v>1</v>
      </c>
      <c r="P783">
        <v>2026</v>
      </c>
      <c r="Q783">
        <v>2</v>
      </c>
      <c r="R783" t="s">
        <v>40</v>
      </c>
      <c r="S783" t="s">
        <v>41</v>
      </c>
      <c r="T783" t="s">
        <v>113</v>
      </c>
      <c r="U783" t="s">
        <v>40</v>
      </c>
      <c r="V783" t="s">
        <v>156</v>
      </c>
      <c r="W783" t="s">
        <v>157</v>
      </c>
      <c r="X783" t="s">
        <v>158</v>
      </c>
      <c r="Y783">
        <v>70</v>
      </c>
      <c r="Z783" t="s">
        <v>46</v>
      </c>
      <c r="AA783" t="s">
        <v>47</v>
      </c>
      <c r="AB783" s="1">
        <v>46064</v>
      </c>
      <c r="AC783" t="s">
        <v>40</v>
      </c>
      <c r="AD783" t="s">
        <v>40</v>
      </c>
      <c r="AE783" t="s">
        <v>60</v>
      </c>
      <c r="AF783" t="s">
        <v>40</v>
      </c>
      <c r="AG783">
        <v>0</v>
      </c>
      <c r="AH783" t="s">
        <v>70</v>
      </c>
    </row>
    <row r="784" spans="1:34" x14ac:dyDescent="0.3">
      <c r="A784" t="s">
        <v>1346</v>
      </c>
      <c r="B784" t="s">
        <v>201</v>
      </c>
      <c r="C784" t="s">
        <v>97</v>
      </c>
      <c r="D784" t="s">
        <v>90</v>
      </c>
      <c r="E784" s="1">
        <v>45826</v>
      </c>
      <c r="F784" s="1">
        <v>45840</v>
      </c>
      <c r="G784" t="s">
        <v>64</v>
      </c>
      <c r="H784">
        <v>2359</v>
      </c>
      <c r="I784" t="s">
        <v>39</v>
      </c>
      <c r="J784" t="b">
        <v>0</v>
      </c>
      <c r="K784">
        <v>14</v>
      </c>
      <c r="L784">
        <v>7</v>
      </c>
      <c r="M784">
        <v>2025</v>
      </c>
      <c r="N784">
        <v>2</v>
      </c>
      <c r="O784">
        <v>6</v>
      </c>
      <c r="P784">
        <v>2025</v>
      </c>
      <c r="Q784">
        <v>2</v>
      </c>
      <c r="R784" t="s">
        <v>40</v>
      </c>
      <c r="S784" t="s">
        <v>55</v>
      </c>
      <c r="T784" t="s">
        <v>42</v>
      </c>
      <c r="U784" t="s">
        <v>66</v>
      </c>
      <c r="V784" t="s">
        <v>98</v>
      </c>
      <c r="W784" t="s">
        <v>99</v>
      </c>
      <c r="X784" t="s">
        <v>76</v>
      </c>
      <c r="Y784">
        <v>80</v>
      </c>
      <c r="Z784" t="s">
        <v>93</v>
      </c>
      <c r="AA784" t="s">
        <v>94</v>
      </c>
      <c r="AB784" s="1">
        <v>45840</v>
      </c>
      <c r="AC784" t="s">
        <v>40</v>
      </c>
      <c r="AD784" t="s">
        <v>40</v>
      </c>
      <c r="AE784" t="s">
        <v>86</v>
      </c>
      <c r="AF784" t="s">
        <v>40</v>
      </c>
      <c r="AG784">
        <v>0</v>
      </c>
      <c r="AH784" t="s">
        <v>70</v>
      </c>
    </row>
    <row r="785" spans="1:34" x14ac:dyDescent="0.3">
      <c r="A785" t="s">
        <v>1347</v>
      </c>
      <c r="B785" t="s">
        <v>226</v>
      </c>
      <c r="C785" t="s">
        <v>146</v>
      </c>
      <c r="D785" t="s">
        <v>130</v>
      </c>
      <c r="E785" s="1">
        <v>45904</v>
      </c>
      <c r="F785" s="1">
        <v>45934</v>
      </c>
      <c r="G785" t="s">
        <v>41</v>
      </c>
      <c r="H785">
        <v>6276</v>
      </c>
      <c r="I785" t="s">
        <v>39</v>
      </c>
      <c r="J785" t="b">
        <v>0</v>
      </c>
      <c r="K785">
        <v>30</v>
      </c>
      <c r="L785">
        <v>10</v>
      </c>
      <c r="M785">
        <v>2025</v>
      </c>
      <c r="N785">
        <v>5</v>
      </c>
      <c r="O785">
        <v>9</v>
      </c>
      <c r="P785">
        <v>2025</v>
      </c>
      <c r="Q785">
        <v>3</v>
      </c>
      <c r="R785" t="s">
        <v>66</v>
      </c>
      <c r="S785" t="s">
        <v>45</v>
      </c>
      <c r="T785" t="s">
        <v>113</v>
      </c>
      <c r="U785" t="s">
        <v>66</v>
      </c>
      <c r="V785" t="s">
        <v>147</v>
      </c>
      <c r="W785" t="s">
        <v>148</v>
      </c>
      <c r="X785" t="s">
        <v>45</v>
      </c>
      <c r="Y785">
        <v>160</v>
      </c>
      <c r="Z785" t="s">
        <v>133</v>
      </c>
      <c r="AA785" t="s">
        <v>134</v>
      </c>
      <c r="AB785" s="1">
        <v>45934</v>
      </c>
      <c r="AC785" t="s">
        <v>66</v>
      </c>
      <c r="AD785" t="s">
        <v>40</v>
      </c>
      <c r="AE785" t="s">
        <v>60</v>
      </c>
      <c r="AF785" t="s">
        <v>40</v>
      </c>
      <c r="AG785">
        <v>0</v>
      </c>
      <c r="AH785" t="s">
        <v>70</v>
      </c>
    </row>
    <row r="786" spans="1:34" x14ac:dyDescent="0.3">
      <c r="A786" t="s">
        <v>1348</v>
      </c>
      <c r="B786" t="s">
        <v>583</v>
      </c>
      <c r="C786" t="s">
        <v>73</v>
      </c>
      <c r="D786" t="s">
        <v>90</v>
      </c>
      <c r="E786" s="1">
        <v>46306</v>
      </c>
      <c r="F786" s="1">
        <v>46406</v>
      </c>
      <c r="G786" t="s">
        <v>38</v>
      </c>
      <c r="H786">
        <v>5308</v>
      </c>
      <c r="I786" t="s">
        <v>39</v>
      </c>
      <c r="J786" t="b">
        <v>0</v>
      </c>
      <c r="K786">
        <v>100</v>
      </c>
      <c r="L786">
        <v>1</v>
      </c>
      <c r="M786">
        <v>2027</v>
      </c>
      <c r="N786">
        <v>1</v>
      </c>
      <c r="O786">
        <v>10</v>
      </c>
      <c r="P786">
        <v>2026</v>
      </c>
      <c r="Q786">
        <v>6</v>
      </c>
      <c r="R786" t="s">
        <v>40</v>
      </c>
      <c r="S786" t="s">
        <v>55</v>
      </c>
      <c r="T786" t="s">
        <v>286</v>
      </c>
      <c r="U786" t="s">
        <v>40</v>
      </c>
      <c r="V786" t="s">
        <v>74</v>
      </c>
      <c r="W786" t="s">
        <v>75</v>
      </c>
      <c r="X786" t="s">
        <v>76</v>
      </c>
      <c r="Y786">
        <v>75</v>
      </c>
      <c r="Z786" t="s">
        <v>93</v>
      </c>
      <c r="AA786" t="s">
        <v>94</v>
      </c>
      <c r="AB786" s="1"/>
      <c r="AC786" t="s">
        <v>48</v>
      </c>
      <c r="AD786" t="s">
        <v>48</v>
      </c>
      <c r="AE786" t="s">
        <v>48</v>
      </c>
      <c r="AF786" t="s">
        <v>48</v>
      </c>
      <c r="AG786">
        <v>0</v>
      </c>
      <c r="AH786" t="s">
        <v>49</v>
      </c>
    </row>
    <row r="787" spans="1:34" x14ac:dyDescent="0.3">
      <c r="A787" t="s">
        <v>1349</v>
      </c>
      <c r="B787" t="s">
        <v>168</v>
      </c>
      <c r="C787" t="s">
        <v>129</v>
      </c>
      <c r="D787" t="s">
        <v>53</v>
      </c>
      <c r="E787" s="1">
        <v>45840</v>
      </c>
      <c r="F787" s="1">
        <v>45841</v>
      </c>
      <c r="G787" t="s">
        <v>81</v>
      </c>
      <c r="H787">
        <v>9974</v>
      </c>
      <c r="I787" t="s">
        <v>65</v>
      </c>
      <c r="J787" t="b">
        <v>0</v>
      </c>
      <c r="K787">
        <v>1</v>
      </c>
      <c r="L787">
        <v>7</v>
      </c>
      <c r="M787">
        <v>2025</v>
      </c>
      <c r="N787">
        <v>3</v>
      </c>
      <c r="O787">
        <v>7</v>
      </c>
      <c r="P787">
        <v>2025</v>
      </c>
      <c r="Q787">
        <v>2</v>
      </c>
      <c r="R787" t="s">
        <v>40</v>
      </c>
      <c r="S787" t="s">
        <v>55</v>
      </c>
      <c r="T787" t="s">
        <v>42</v>
      </c>
      <c r="U787" t="s">
        <v>40</v>
      </c>
      <c r="V787" t="s">
        <v>131</v>
      </c>
      <c r="W787" t="s">
        <v>132</v>
      </c>
      <c r="X787" t="s">
        <v>45</v>
      </c>
      <c r="Y787">
        <v>110</v>
      </c>
      <c r="Z787" t="s">
        <v>58</v>
      </c>
      <c r="AA787" t="s">
        <v>59</v>
      </c>
      <c r="AB787" s="1">
        <v>45841</v>
      </c>
      <c r="AC787" t="s">
        <v>40</v>
      </c>
      <c r="AD787" t="s">
        <v>40</v>
      </c>
      <c r="AE787" t="s">
        <v>86</v>
      </c>
      <c r="AF787" t="s">
        <v>40</v>
      </c>
      <c r="AG787">
        <v>0</v>
      </c>
      <c r="AH787" t="s">
        <v>100</v>
      </c>
    </row>
    <row r="788" spans="1:34" x14ac:dyDescent="0.3">
      <c r="A788" t="s">
        <v>1350</v>
      </c>
      <c r="B788" t="s">
        <v>960</v>
      </c>
      <c r="C788" t="s">
        <v>103</v>
      </c>
      <c r="D788" t="s">
        <v>53</v>
      </c>
      <c r="E788" s="1">
        <v>45841</v>
      </c>
      <c r="F788" s="1">
        <v>45991</v>
      </c>
      <c r="G788" t="s">
        <v>64</v>
      </c>
      <c r="H788">
        <v>18088</v>
      </c>
      <c r="I788" t="s">
        <v>54</v>
      </c>
      <c r="J788" t="b">
        <v>1</v>
      </c>
      <c r="K788">
        <v>150</v>
      </c>
      <c r="L788">
        <v>11</v>
      </c>
      <c r="M788">
        <v>2025</v>
      </c>
      <c r="N788">
        <v>6</v>
      </c>
      <c r="O788">
        <v>7</v>
      </c>
      <c r="P788">
        <v>2025</v>
      </c>
      <c r="Q788">
        <v>3</v>
      </c>
      <c r="R788" t="s">
        <v>66</v>
      </c>
      <c r="S788" t="s">
        <v>55</v>
      </c>
      <c r="T788" t="s">
        <v>42</v>
      </c>
      <c r="U788" t="s">
        <v>40</v>
      </c>
      <c r="V788" t="s">
        <v>105</v>
      </c>
      <c r="W788" t="s">
        <v>106</v>
      </c>
      <c r="X788" t="s">
        <v>45</v>
      </c>
      <c r="Y788">
        <v>140</v>
      </c>
      <c r="Z788" t="s">
        <v>58</v>
      </c>
      <c r="AA788" t="s">
        <v>59</v>
      </c>
      <c r="AB788" s="1">
        <v>45991</v>
      </c>
      <c r="AC788" t="s">
        <v>66</v>
      </c>
      <c r="AD788" t="s">
        <v>40</v>
      </c>
      <c r="AE788" t="s">
        <v>86</v>
      </c>
      <c r="AF788" t="s">
        <v>40</v>
      </c>
      <c r="AG788">
        <v>1</v>
      </c>
      <c r="AH788" t="s">
        <v>49</v>
      </c>
    </row>
    <row r="789" spans="1:34" x14ac:dyDescent="0.3">
      <c r="A789" t="s">
        <v>1351</v>
      </c>
      <c r="B789" t="s">
        <v>1352</v>
      </c>
      <c r="C789" t="s">
        <v>169</v>
      </c>
      <c r="D789" t="s">
        <v>80</v>
      </c>
      <c r="E789" s="1">
        <v>45671</v>
      </c>
      <c r="F789" s="1">
        <v>45701</v>
      </c>
      <c r="G789" t="s">
        <v>64</v>
      </c>
      <c r="H789">
        <v>3514</v>
      </c>
      <c r="I789" t="s">
        <v>39</v>
      </c>
      <c r="J789" t="b">
        <v>0</v>
      </c>
      <c r="K789">
        <v>30</v>
      </c>
      <c r="L789">
        <v>2</v>
      </c>
      <c r="M789">
        <v>2025</v>
      </c>
      <c r="N789">
        <v>3</v>
      </c>
      <c r="O789">
        <v>1</v>
      </c>
      <c r="P789">
        <v>2025</v>
      </c>
      <c r="Q789">
        <v>1</v>
      </c>
      <c r="R789" t="s">
        <v>40</v>
      </c>
      <c r="S789" t="s">
        <v>55</v>
      </c>
      <c r="T789" t="s">
        <v>42</v>
      </c>
      <c r="U789" t="s">
        <v>66</v>
      </c>
      <c r="V789" t="s">
        <v>170</v>
      </c>
      <c r="W789" t="s">
        <v>171</v>
      </c>
      <c r="X789" t="s">
        <v>126</v>
      </c>
      <c r="Y789">
        <v>90</v>
      </c>
      <c r="Z789" t="s">
        <v>84</v>
      </c>
      <c r="AA789" t="s">
        <v>85</v>
      </c>
      <c r="AB789" s="1">
        <v>45701</v>
      </c>
      <c r="AC789" t="s">
        <v>40</v>
      </c>
      <c r="AD789" t="s">
        <v>40</v>
      </c>
      <c r="AE789" t="s">
        <v>60</v>
      </c>
      <c r="AF789" t="s">
        <v>40</v>
      </c>
      <c r="AG789">
        <v>0</v>
      </c>
      <c r="AH789" t="s">
        <v>70</v>
      </c>
    </row>
    <row r="790" spans="1:34" x14ac:dyDescent="0.3">
      <c r="A790" t="s">
        <v>1353</v>
      </c>
      <c r="B790" t="s">
        <v>1354</v>
      </c>
      <c r="C790" t="s">
        <v>155</v>
      </c>
      <c r="D790" t="s">
        <v>130</v>
      </c>
      <c r="E790" s="1">
        <v>46140</v>
      </c>
      <c r="F790" s="1">
        <v>46360</v>
      </c>
      <c r="G790" t="s">
        <v>41</v>
      </c>
      <c r="H790">
        <v>8074</v>
      </c>
      <c r="I790" t="s">
        <v>54</v>
      </c>
      <c r="J790" t="b">
        <v>0</v>
      </c>
      <c r="K790">
        <v>220</v>
      </c>
      <c r="L790">
        <v>12</v>
      </c>
      <c r="M790">
        <v>2026</v>
      </c>
      <c r="N790">
        <v>4</v>
      </c>
      <c r="O790">
        <v>4</v>
      </c>
      <c r="P790">
        <v>2026</v>
      </c>
      <c r="Q790">
        <v>1</v>
      </c>
      <c r="R790" t="s">
        <v>40</v>
      </c>
      <c r="S790" t="s">
        <v>41</v>
      </c>
      <c r="T790" t="s">
        <v>42</v>
      </c>
      <c r="U790" t="s">
        <v>66</v>
      </c>
      <c r="V790" t="s">
        <v>156</v>
      </c>
      <c r="W790" t="s">
        <v>157</v>
      </c>
      <c r="X790" t="s">
        <v>158</v>
      </c>
      <c r="Y790">
        <v>70</v>
      </c>
      <c r="Z790" t="s">
        <v>133</v>
      </c>
      <c r="AA790" t="s">
        <v>134</v>
      </c>
      <c r="AB790" s="1">
        <v>46360</v>
      </c>
      <c r="AC790" t="s">
        <v>40</v>
      </c>
      <c r="AD790" t="s">
        <v>40</v>
      </c>
      <c r="AE790" t="s">
        <v>69</v>
      </c>
      <c r="AF790" t="s">
        <v>40</v>
      </c>
      <c r="AG790">
        <v>1</v>
      </c>
      <c r="AH790" t="s">
        <v>142</v>
      </c>
    </row>
    <row r="791" spans="1:34" x14ac:dyDescent="0.3">
      <c r="A791" t="s">
        <v>1355</v>
      </c>
      <c r="B791" t="s">
        <v>663</v>
      </c>
      <c r="C791" t="s">
        <v>52</v>
      </c>
      <c r="D791" t="s">
        <v>80</v>
      </c>
      <c r="E791" s="1">
        <v>45814</v>
      </c>
      <c r="F791" s="1">
        <v>45874</v>
      </c>
      <c r="G791" t="s">
        <v>38</v>
      </c>
      <c r="H791">
        <v>5218</v>
      </c>
      <c r="I791" t="s">
        <v>39</v>
      </c>
      <c r="J791" t="b">
        <v>0</v>
      </c>
      <c r="K791">
        <v>60</v>
      </c>
      <c r="L791">
        <v>8</v>
      </c>
      <c r="M791">
        <v>2025</v>
      </c>
      <c r="N791">
        <v>1</v>
      </c>
      <c r="O791">
        <v>6</v>
      </c>
      <c r="P791">
        <v>2025</v>
      </c>
      <c r="Q791">
        <v>4</v>
      </c>
      <c r="R791" t="s">
        <v>40</v>
      </c>
      <c r="S791" t="s">
        <v>67</v>
      </c>
      <c r="T791" t="s">
        <v>42</v>
      </c>
      <c r="U791" t="s">
        <v>40</v>
      </c>
      <c r="V791" t="s">
        <v>56</v>
      </c>
      <c r="W791" t="s">
        <v>57</v>
      </c>
      <c r="X791" t="s">
        <v>45</v>
      </c>
      <c r="Y791">
        <v>120</v>
      </c>
      <c r="Z791" t="s">
        <v>84</v>
      </c>
      <c r="AA791" t="s">
        <v>85</v>
      </c>
      <c r="AB791" s="1">
        <v>45874</v>
      </c>
      <c r="AC791" t="s">
        <v>40</v>
      </c>
      <c r="AD791" t="s">
        <v>40</v>
      </c>
      <c r="AE791" t="s">
        <v>86</v>
      </c>
      <c r="AF791" t="s">
        <v>40</v>
      </c>
      <c r="AG791">
        <v>0</v>
      </c>
      <c r="AH791" t="s">
        <v>61</v>
      </c>
    </row>
    <row r="792" spans="1:34" x14ac:dyDescent="0.3">
      <c r="A792" t="s">
        <v>1356</v>
      </c>
      <c r="B792" t="s">
        <v>1053</v>
      </c>
      <c r="C792" t="s">
        <v>169</v>
      </c>
      <c r="D792" t="s">
        <v>90</v>
      </c>
      <c r="E792" s="1">
        <v>46328</v>
      </c>
      <c r="F792" s="1">
        <v>46358</v>
      </c>
      <c r="G792" t="s">
        <v>64</v>
      </c>
      <c r="H792">
        <v>3914</v>
      </c>
      <c r="I792" t="s">
        <v>39</v>
      </c>
      <c r="J792" t="b">
        <v>0</v>
      </c>
      <c r="K792">
        <v>30</v>
      </c>
      <c r="L792">
        <v>12</v>
      </c>
      <c r="M792">
        <v>2026</v>
      </c>
      <c r="N792">
        <v>2</v>
      </c>
      <c r="O792">
        <v>11</v>
      </c>
      <c r="P792">
        <v>2026</v>
      </c>
      <c r="Q792">
        <v>0</v>
      </c>
      <c r="R792" t="s">
        <v>40</v>
      </c>
      <c r="S792" t="s">
        <v>67</v>
      </c>
      <c r="T792" t="s">
        <v>113</v>
      </c>
      <c r="U792" t="s">
        <v>40</v>
      </c>
      <c r="V792" t="s">
        <v>170</v>
      </c>
      <c r="W792" t="s">
        <v>171</v>
      </c>
      <c r="X792" t="s">
        <v>126</v>
      </c>
      <c r="Y792">
        <v>90</v>
      </c>
      <c r="Z792" t="s">
        <v>93</v>
      </c>
      <c r="AA792" t="s">
        <v>94</v>
      </c>
      <c r="AB792" s="1">
        <v>46358</v>
      </c>
      <c r="AC792" t="s">
        <v>40</v>
      </c>
      <c r="AD792" t="s">
        <v>40</v>
      </c>
      <c r="AE792" t="s">
        <v>69</v>
      </c>
      <c r="AF792" t="s">
        <v>40</v>
      </c>
      <c r="AG792">
        <v>0</v>
      </c>
      <c r="AH792" t="s">
        <v>70</v>
      </c>
    </row>
    <row r="793" spans="1:34" x14ac:dyDescent="0.3">
      <c r="A793" t="s">
        <v>1357</v>
      </c>
      <c r="B793" t="s">
        <v>854</v>
      </c>
      <c r="C793" t="s">
        <v>129</v>
      </c>
      <c r="D793" t="s">
        <v>104</v>
      </c>
      <c r="E793" s="1">
        <v>46084</v>
      </c>
      <c r="F793" s="1">
        <v>46184</v>
      </c>
      <c r="G793" t="s">
        <v>64</v>
      </c>
      <c r="H793">
        <v>2595</v>
      </c>
      <c r="I793" t="s">
        <v>54</v>
      </c>
      <c r="J793" t="b">
        <v>0</v>
      </c>
      <c r="K793">
        <v>100</v>
      </c>
      <c r="L793">
        <v>6</v>
      </c>
      <c r="M793">
        <v>2026</v>
      </c>
      <c r="N793">
        <v>3</v>
      </c>
      <c r="O793">
        <v>3</v>
      </c>
      <c r="P793">
        <v>2026</v>
      </c>
      <c r="Q793">
        <v>1</v>
      </c>
      <c r="R793" t="s">
        <v>40</v>
      </c>
      <c r="S793" t="s">
        <v>55</v>
      </c>
      <c r="T793" t="s">
        <v>42</v>
      </c>
      <c r="U793" t="s">
        <v>66</v>
      </c>
      <c r="V793" t="s">
        <v>131</v>
      </c>
      <c r="W793" t="s">
        <v>132</v>
      </c>
      <c r="X793" t="s">
        <v>45</v>
      </c>
      <c r="Y793">
        <v>110</v>
      </c>
      <c r="Z793" t="s">
        <v>107</v>
      </c>
      <c r="AA793" t="s">
        <v>108</v>
      </c>
      <c r="AB793" s="1">
        <v>46184</v>
      </c>
      <c r="AC793" t="s">
        <v>40</v>
      </c>
      <c r="AD793" t="s">
        <v>40</v>
      </c>
      <c r="AE793" t="s">
        <v>60</v>
      </c>
      <c r="AF793" t="s">
        <v>40</v>
      </c>
      <c r="AG793">
        <v>1</v>
      </c>
      <c r="AH793" t="s">
        <v>49</v>
      </c>
    </row>
    <row r="794" spans="1:34" x14ac:dyDescent="0.3">
      <c r="A794" t="s">
        <v>1358</v>
      </c>
      <c r="B794" t="s">
        <v>316</v>
      </c>
      <c r="C794" t="s">
        <v>169</v>
      </c>
      <c r="D794" t="s">
        <v>80</v>
      </c>
      <c r="E794" s="1">
        <v>45861</v>
      </c>
      <c r="F794" s="1">
        <v>45921</v>
      </c>
      <c r="G794" t="s">
        <v>41</v>
      </c>
      <c r="H794">
        <v>6121</v>
      </c>
      <c r="I794" t="s">
        <v>54</v>
      </c>
      <c r="J794" t="b">
        <v>0</v>
      </c>
      <c r="K794">
        <v>60</v>
      </c>
      <c r="L794">
        <v>9</v>
      </c>
      <c r="M794">
        <v>2025</v>
      </c>
      <c r="N794">
        <v>6</v>
      </c>
      <c r="O794">
        <v>7</v>
      </c>
      <c r="P794">
        <v>2025</v>
      </c>
      <c r="Q794">
        <v>2</v>
      </c>
      <c r="R794" t="s">
        <v>66</v>
      </c>
      <c r="S794" t="s">
        <v>45</v>
      </c>
      <c r="T794" t="s">
        <v>48</v>
      </c>
      <c r="U794" t="s">
        <v>40</v>
      </c>
      <c r="V794" t="s">
        <v>170</v>
      </c>
      <c r="W794" t="s">
        <v>171</v>
      </c>
      <c r="X794" t="s">
        <v>126</v>
      </c>
      <c r="Y794">
        <v>90</v>
      </c>
      <c r="Z794" t="s">
        <v>84</v>
      </c>
      <c r="AA794" t="s">
        <v>85</v>
      </c>
      <c r="AB794" s="1">
        <v>45921</v>
      </c>
      <c r="AC794" t="s">
        <v>66</v>
      </c>
      <c r="AD794" t="s">
        <v>40</v>
      </c>
      <c r="AE794" t="s">
        <v>60</v>
      </c>
      <c r="AF794" t="s">
        <v>40</v>
      </c>
      <c r="AG794">
        <v>1</v>
      </c>
      <c r="AH794" t="s">
        <v>61</v>
      </c>
    </row>
    <row r="795" spans="1:34" x14ac:dyDescent="0.3">
      <c r="A795" t="s">
        <v>1359</v>
      </c>
      <c r="B795" t="s">
        <v>1360</v>
      </c>
      <c r="C795" t="s">
        <v>155</v>
      </c>
      <c r="D795" t="s">
        <v>37</v>
      </c>
      <c r="E795" s="1">
        <v>45746</v>
      </c>
      <c r="F795" s="1">
        <v>45776</v>
      </c>
      <c r="G795" t="s">
        <v>41</v>
      </c>
      <c r="H795">
        <v>7988</v>
      </c>
      <c r="I795" t="s">
        <v>39</v>
      </c>
      <c r="J795" t="b">
        <v>0</v>
      </c>
      <c r="K795">
        <v>30</v>
      </c>
      <c r="L795">
        <v>4</v>
      </c>
      <c r="M795">
        <v>2025</v>
      </c>
      <c r="N795">
        <v>1</v>
      </c>
      <c r="O795">
        <v>3</v>
      </c>
      <c r="P795">
        <v>2025</v>
      </c>
      <c r="Q795">
        <v>6</v>
      </c>
      <c r="R795" t="s">
        <v>40</v>
      </c>
      <c r="S795" t="s">
        <v>55</v>
      </c>
      <c r="T795" t="s">
        <v>113</v>
      </c>
      <c r="U795" t="s">
        <v>40</v>
      </c>
      <c r="V795" t="s">
        <v>156</v>
      </c>
      <c r="W795" t="s">
        <v>157</v>
      </c>
      <c r="X795" t="s">
        <v>158</v>
      </c>
      <c r="Y795">
        <v>70</v>
      </c>
      <c r="Z795" t="s">
        <v>46</v>
      </c>
      <c r="AA795" t="s">
        <v>47</v>
      </c>
      <c r="AB795" s="1">
        <v>45776</v>
      </c>
      <c r="AC795" t="s">
        <v>40</v>
      </c>
      <c r="AD795" t="s">
        <v>40</v>
      </c>
      <c r="AE795" t="s">
        <v>69</v>
      </c>
      <c r="AF795" t="s">
        <v>40</v>
      </c>
      <c r="AG795">
        <v>0</v>
      </c>
      <c r="AH795" t="s">
        <v>70</v>
      </c>
    </row>
    <row r="796" spans="1:34" x14ac:dyDescent="0.3">
      <c r="A796" t="s">
        <v>1361</v>
      </c>
      <c r="B796" t="s">
        <v>1326</v>
      </c>
      <c r="C796" t="s">
        <v>97</v>
      </c>
      <c r="D796" t="s">
        <v>130</v>
      </c>
      <c r="E796" s="1">
        <v>45880</v>
      </c>
      <c r="F796" s="1">
        <v>45910</v>
      </c>
      <c r="G796" t="s">
        <v>41</v>
      </c>
      <c r="H796">
        <v>8429</v>
      </c>
      <c r="I796" t="s">
        <v>65</v>
      </c>
      <c r="J796" t="b">
        <v>0</v>
      </c>
      <c r="K796">
        <v>30</v>
      </c>
      <c r="L796">
        <v>9</v>
      </c>
      <c r="M796">
        <v>2025</v>
      </c>
      <c r="N796">
        <v>2</v>
      </c>
      <c r="O796">
        <v>8</v>
      </c>
      <c r="P796">
        <v>2025</v>
      </c>
      <c r="Q796">
        <v>0</v>
      </c>
      <c r="R796" t="s">
        <v>40</v>
      </c>
      <c r="S796" t="s">
        <v>67</v>
      </c>
      <c r="T796" t="s">
        <v>42</v>
      </c>
      <c r="U796" t="s">
        <v>40</v>
      </c>
      <c r="V796" t="s">
        <v>98</v>
      </c>
      <c r="W796" t="s">
        <v>99</v>
      </c>
      <c r="X796" t="s">
        <v>76</v>
      </c>
      <c r="Y796">
        <v>80</v>
      </c>
      <c r="Z796" t="s">
        <v>133</v>
      </c>
      <c r="AA796" t="s">
        <v>134</v>
      </c>
      <c r="AB796" s="1">
        <v>45910</v>
      </c>
      <c r="AC796" t="s">
        <v>40</v>
      </c>
      <c r="AD796" t="s">
        <v>40</v>
      </c>
      <c r="AE796" t="s">
        <v>60</v>
      </c>
      <c r="AF796" t="s">
        <v>40</v>
      </c>
      <c r="AG796">
        <v>0</v>
      </c>
      <c r="AH796" t="s">
        <v>70</v>
      </c>
    </row>
    <row r="797" spans="1:34" x14ac:dyDescent="0.3">
      <c r="A797" t="s">
        <v>1362</v>
      </c>
      <c r="B797" t="s">
        <v>1093</v>
      </c>
      <c r="C797" t="s">
        <v>169</v>
      </c>
      <c r="D797" t="s">
        <v>130</v>
      </c>
      <c r="E797" s="1">
        <v>46046</v>
      </c>
      <c r="F797" s="1">
        <v>46106</v>
      </c>
      <c r="G797" t="s">
        <v>38</v>
      </c>
      <c r="H797">
        <v>5814</v>
      </c>
      <c r="I797" t="s">
        <v>65</v>
      </c>
      <c r="J797" t="b">
        <v>0</v>
      </c>
      <c r="K797">
        <v>60</v>
      </c>
      <c r="L797">
        <v>3</v>
      </c>
      <c r="M797">
        <v>2026</v>
      </c>
      <c r="N797">
        <v>2</v>
      </c>
      <c r="O797">
        <v>1</v>
      </c>
      <c r="P797">
        <v>2026</v>
      </c>
      <c r="Q797">
        <v>5</v>
      </c>
      <c r="R797" t="s">
        <v>40</v>
      </c>
      <c r="S797" t="s">
        <v>55</v>
      </c>
      <c r="T797" t="s">
        <v>42</v>
      </c>
      <c r="U797" t="s">
        <v>40</v>
      </c>
      <c r="V797" t="s">
        <v>170</v>
      </c>
      <c r="W797" t="s">
        <v>171</v>
      </c>
      <c r="X797" t="s">
        <v>126</v>
      </c>
      <c r="Y797">
        <v>90</v>
      </c>
      <c r="Z797" t="s">
        <v>133</v>
      </c>
      <c r="AA797" t="s">
        <v>134</v>
      </c>
      <c r="AB797" s="1">
        <v>46106</v>
      </c>
      <c r="AC797" t="s">
        <v>40</v>
      </c>
      <c r="AD797" t="s">
        <v>40</v>
      </c>
      <c r="AE797" t="s">
        <v>60</v>
      </c>
      <c r="AF797" t="s">
        <v>40</v>
      </c>
      <c r="AG797">
        <v>0</v>
      </c>
      <c r="AH797" t="s">
        <v>61</v>
      </c>
    </row>
    <row r="798" spans="1:34" x14ac:dyDescent="0.3">
      <c r="A798" t="s">
        <v>1363</v>
      </c>
      <c r="B798" t="s">
        <v>511</v>
      </c>
      <c r="C798" t="s">
        <v>169</v>
      </c>
      <c r="D798" t="s">
        <v>53</v>
      </c>
      <c r="E798" s="1">
        <v>46108</v>
      </c>
      <c r="F798" s="1">
        <v>46115</v>
      </c>
      <c r="G798" t="s">
        <v>41</v>
      </c>
      <c r="H798">
        <v>8163</v>
      </c>
      <c r="I798" t="s">
        <v>39</v>
      </c>
      <c r="J798" t="b">
        <v>0</v>
      </c>
      <c r="K798">
        <v>7</v>
      </c>
      <c r="L798">
        <v>4</v>
      </c>
      <c r="M798">
        <v>2026</v>
      </c>
      <c r="N798">
        <v>4</v>
      </c>
      <c r="O798">
        <v>3</v>
      </c>
      <c r="P798">
        <v>2026</v>
      </c>
      <c r="Q798">
        <v>4</v>
      </c>
      <c r="R798" t="s">
        <v>40</v>
      </c>
      <c r="S798" t="s">
        <v>55</v>
      </c>
      <c r="T798" t="s">
        <v>42</v>
      </c>
      <c r="U798" t="s">
        <v>40</v>
      </c>
      <c r="V798" t="s">
        <v>170</v>
      </c>
      <c r="W798" t="s">
        <v>171</v>
      </c>
      <c r="X798" t="s">
        <v>126</v>
      </c>
      <c r="Y798">
        <v>90</v>
      </c>
      <c r="Z798" t="s">
        <v>58</v>
      </c>
      <c r="AA798" t="s">
        <v>59</v>
      </c>
      <c r="AB798" s="1">
        <v>46115</v>
      </c>
      <c r="AC798" t="s">
        <v>40</v>
      </c>
      <c r="AD798" t="s">
        <v>40</v>
      </c>
      <c r="AE798" t="s">
        <v>69</v>
      </c>
      <c r="AF798" t="s">
        <v>40</v>
      </c>
      <c r="AG798">
        <v>0</v>
      </c>
      <c r="AH798" t="s">
        <v>100</v>
      </c>
    </row>
    <row r="799" spans="1:34" x14ac:dyDescent="0.3">
      <c r="A799" t="s">
        <v>1364</v>
      </c>
      <c r="B799" t="s">
        <v>635</v>
      </c>
      <c r="C799" t="s">
        <v>52</v>
      </c>
      <c r="D799" t="s">
        <v>80</v>
      </c>
      <c r="E799" s="1">
        <v>46052</v>
      </c>
      <c r="F799" s="1">
        <v>46055</v>
      </c>
      <c r="G799" t="s">
        <v>38</v>
      </c>
      <c r="H799">
        <v>4682</v>
      </c>
      <c r="I799" t="s">
        <v>65</v>
      </c>
      <c r="J799" t="b">
        <v>0</v>
      </c>
      <c r="K799">
        <v>3</v>
      </c>
      <c r="L799">
        <v>2</v>
      </c>
      <c r="M799">
        <v>2026</v>
      </c>
      <c r="N799">
        <v>0</v>
      </c>
      <c r="O799">
        <v>1</v>
      </c>
      <c r="P799">
        <v>2026</v>
      </c>
      <c r="Q799">
        <v>4</v>
      </c>
      <c r="R799" t="s">
        <v>40</v>
      </c>
      <c r="S799" t="s">
        <v>41</v>
      </c>
      <c r="T799" t="s">
        <v>123</v>
      </c>
      <c r="U799" t="s">
        <v>40</v>
      </c>
      <c r="V799" t="s">
        <v>56</v>
      </c>
      <c r="W799" t="s">
        <v>57</v>
      </c>
      <c r="X799" t="s">
        <v>45</v>
      </c>
      <c r="Y799">
        <v>120</v>
      </c>
      <c r="Z799" t="s">
        <v>84</v>
      </c>
      <c r="AA799" t="s">
        <v>85</v>
      </c>
      <c r="AB799" s="1">
        <v>46055</v>
      </c>
      <c r="AC799" t="s">
        <v>40</v>
      </c>
      <c r="AD799" t="s">
        <v>40</v>
      </c>
      <c r="AE799" t="s">
        <v>60</v>
      </c>
      <c r="AF799" t="s">
        <v>40</v>
      </c>
      <c r="AG799">
        <v>0</v>
      </c>
      <c r="AH799" t="s">
        <v>100</v>
      </c>
    </row>
    <row r="800" spans="1:34" x14ac:dyDescent="0.3">
      <c r="A800" t="s">
        <v>1365</v>
      </c>
      <c r="B800" t="s">
        <v>1366</v>
      </c>
      <c r="C800" t="s">
        <v>36</v>
      </c>
      <c r="D800" t="s">
        <v>80</v>
      </c>
      <c r="E800" s="1">
        <v>45873</v>
      </c>
      <c r="F800" s="1">
        <v>45880</v>
      </c>
      <c r="G800" t="s">
        <v>41</v>
      </c>
      <c r="H800">
        <v>7696</v>
      </c>
      <c r="I800" t="s">
        <v>39</v>
      </c>
      <c r="J800" t="b">
        <v>0</v>
      </c>
      <c r="K800">
        <v>7</v>
      </c>
      <c r="L800">
        <v>8</v>
      </c>
      <c r="M800">
        <v>2025</v>
      </c>
      <c r="N800">
        <v>0</v>
      </c>
      <c r="O800">
        <v>8</v>
      </c>
      <c r="P800">
        <v>2025</v>
      </c>
      <c r="Q800">
        <v>0</v>
      </c>
      <c r="R800" t="s">
        <v>40</v>
      </c>
      <c r="S800" t="s">
        <v>45</v>
      </c>
      <c r="T800" t="s">
        <v>42</v>
      </c>
      <c r="U800" t="s">
        <v>40</v>
      </c>
      <c r="V800" t="s">
        <v>43</v>
      </c>
      <c r="W800" t="s">
        <v>44</v>
      </c>
      <c r="X800" t="s">
        <v>45</v>
      </c>
      <c r="Y800">
        <v>150</v>
      </c>
      <c r="Z800" t="s">
        <v>84</v>
      </c>
      <c r="AA800" t="s">
        <v>85</v>
      </c>
      <c r="AB800" s="1">
        <v>45880</v>
      </c>
      <c r="AC800" t="s">
        <v>40</v>
      </c>
      <c r="AD800" t="s">
        <v>40</v>
      </c>
      <c r="AE800" t="s">
        <v>86</v>
      </c>
      <c r="AF800" t="s">
        <v>40</v>
      </c>
      <c r="AG800">
        <v>0</v>
      </c>
      <c r="AH800" t="s">
        <v>100</v>
      </c>
    </row>
    <row r="801" spans="1:34" x14ac:dyDescent="0.3">
      <c r="A801" t="s">
        <v>1367</v>
      </c>
      <c r="B801" t="s">
        <v>417</v>
      </c>
      <c r="C801" t="s">
        <v>79</v>
      </c>
      <c r="D801" t="s">
        <v>80</v>
      </c>
      <c r="E801" s="1">
        <v>46044</v>
      </c>
      <c r="F801" s="1">
        <v>46074</v>
      </c>
      <c r="G801" t="s">
        <v>64</v>
      </c>
      <c r="H801">
        <v>3636</v>
      </c>
      <c r="I801" t="s">
        <v>54</v>
      </c>
      <c r="J801" t="b">
        <v>0</v>
      </c>
      <c r="K801">
        <v>30</v>
      </c>
      <c r="L801">
        <v>2</v>
      </c>
      <c r="M801">
        <v>2026</v>
      </c>
      <c r="N801">
        <v>5</v>
      </c>
      <c r="O801">
        <v>1</v>
      </c>
      <c r="P801">
        <v>2026</v>
      </c>
      <c r="Q801">
        <v>3</v>
      </c>
      <c r="R801" t="s">
        <v>66</v>
      </c>
      <c r="S801" t="s">
        <v>45</v>
      </c>
      <c r="T801" t="s">
        <v>42</v>
      </c>
      <c r="U801" t="s">
        <v>40</v>
      </c>
      <c r="V801" t="s">
        <v>82</v>
      </c>
      <c r="W801" t="s">
        <v>83</v>
      </c>
      <c r="X801" t="s">
        <v>76</v>
      </c>
      <c r="Y801">
        <v>100</v>
      </c>
      <c r="Z801" t="s">
        <v>84</v>
      </c>
      <c r="AA801" t="s">
        <v>85</v>
      </c>
      <c r="AB801" s="1">
        <v>46074</v>
      </c>
      <c r="AC801" t="s">
        <v>66</v>
      </c>
      <c r="AD801" t="s">
        <v>40</v>
      </c>
      <c r="AE801" t="s">
        <v>60</v>
      </c>
      <c r="AF801" t="s">
        <v>40</v>
      </c>
      <c r="AG801">
        <v>1</v>
      </c>
      <c r="AH801" t="s">
        <v>70</v>
      </c>
    </row>
    <row r="802" spans="1:34" x14ac:dyDescent="0.3">
      <c r="A802" t="s">
        <v>1368</v>
      </c>
      <c r="B802" t="s">
        <v>1129</v>
      </c>
      <c r="C802" t="s">
        <v>122</v>
      </c>
      <c r="D802" t="s">
        <v>53</v>
      </c>
      <c r="E802" s="1">
        <v>46002</v>
      </c>
      <c r="F802" s="1">
        <v>46032</v>
      </c>
      <c r="G802" t="s">
        <v>64</v>
      </c>
      <c r="H802">
        <v>4070</v>
      </c>
      <c r="I802" t="s">
        <v>54</v>
      </c>
      <c r="J802" t="b">
        <v>0</v>
      </c>
      <c r="K802">
        <v>30</v>
      </c>
      <c r="L802">
        <v>1</v>
      </c>
      <c r="M802">
        <v>2026</v>
      </c>
      <c r="N802">
        <v>5</v>
      </c>
      <c r="O802">
        <v>12</v>
      </c>
      <c r="P802">
        <v>2025</v>
      </c>
      <c r="Q802">
        <v>3</v>
      </c>
      <c r="R802" t="s">
        <v>66</v>
      </c>
      <c r="S802" t="s">
        <v>41</v>
      </c>
      <c r="T802" t="s">
        <v>42</v>
      </c>
      <c r="U802" t="s">
        <v>40</v>
      </c>
      <c r="V802" t="s">
        <v>124</v>
      </c>
      <c r="W802" t="s">
        <v>125</v>
      </c>
      <c r="X802" t="s">
        <v>126</v>
      </c>
      <c r="Y802">
        <v>85</v>
      </c>
      <c r="Z802" t="s">
        <v>58</v>
      </c>
      <c r="AA802" t="s">
        <v>59</v>
      </c>
      <c r="AB802" s="1">
        <v>46032</v>
      </c>
      <c r="AC802" t="s">
        <v>66</v>
      </c>
      <c r="AD802" t="s">
        <v>40</v>
      </c>
      <c r="AE802" t="s">
        <v>86</v>
      </c>
      <c r="AF802" t="s">
        <v>40</v>
      </c>
      <c r="AG802">
        <v>1</v>
      </c>
      <c r="AH802" t="s">
        <v>70</v>
      </c>
    </row>
    <row r="803" spans="1:34" x14ac:dyDescent="0.3">
      <c r="A803" t="s">
        <v>1369</v>
      </c>
      <c r="B803" t="s">
        <v>1240</v>
      </c>
      <c r="C803" t="s">
        <v>122</v>
      </c>
      <c r="D803" t="s">
        <v>80</v>
      </c>
      <c r="E803" s="1">
        <v>46125</v>
      </c>
      <c r="F803" s="1">
        <v>46155</v>
      </c>
      <c r="G803" t="s">
        <v>41</v>
      </c>
      <c r="H803">
        <v>7962</v>
      </c>
      <c r="I803" t="s">
        <v>65</v>
      </c>
      <c r="J803" t="b">
        <v>0</v>
      </c>
      <c r="K803">
        <v>30</v>
      </c>
      <c r="L803">
        <v>5</v>
      </c>
      <c r="M803">
        <v>2026</v>
      </c>
      <c r="N803">
        <v>2</v>
      </c>
      <c r="O803">
        <v>4</v>
      </c>
      <c r="P803">
        <v>2026</v>
      </c>
      <c r="Q803">
        <v>0</v>
      </c>
      <c r="R803" t="s">
        <v>40</v>
      </c>
      <c r="S803" t="s">
        <v>55</v>
      </c>
      <c r="T803" t="s">
        <v>42</v>
      </c>
      <c r="U803" t="s">
        <v>40</v>
      </c>
      <c r="V803" t="s">
        <v>124</v>
      </c>
      <c r="W803" t="s">
        <v>125</v>
      </c>
      <c r="X803" t="s">
        <v>126</v>
      </c>
      <c r="Y803">
        <v>85</v>
      </c>
      <c r="Z803" t="s">
        <v>84</v>
      </c>
      <c r="AA803" t="s">
        <v>85</v>
      </c>
      <c r="AB803" s="1">
        <v>46155</v>
      </c>
      <c r="AC803" t="s">
        <v>40</v>
      </c>
      <c r="AD803" t="s">
        <v>40</v>
      </c>
      <c r="AE803" t="s">
        <v>69</v>
      </c>
      <c r="AF803" t="s">
        <v>40</v>
      </c>
      <c r="AG803">
        <v>0</v>
      </c>
      <c r="AH803" t="s">
        <v>70</v>
      </c>
    </row>
    <row r="804" spans="1:34" x14ac:dyDescent="0.3">
      <c r="A804" t="s">
        <v>1370</v>
      </c>
      <c r="B804" t="s">
        <v>175</v>
      </c>
      <c r="C804" t="s">
        <v>52</v>
      </c>
      <c r="D804" t="s">
        <v>90</v>
      </c>
      <c r="E804" s="1">
        <v>46177</v>
      </c>
      <c r="F804" s="1">
        <v>46180</v>
      </c>
      <c r="G804" t="s">
        <v>41</v>
      </c>
      <c r="H804">
        <v>7429</v>
      </c>
      <c r="I804" t="s">
        <v>65</v>
      </c>
      <c r="J804" t="b">
        <v>0</v>
      </c>
      <c r="K804">
        <v>3</v>
      </c>
      <c r="L804">
        <v>6</v>
      </c>
      <c r="M804">
        <v>2026</v>
      </c>
      <c r="N804">
        <v>6</v>
      </c>
      <c r="O804">
        <v>6</v>
      </c>
      <c r="P804">
        <v>2026</v>
      </c>
      <c r="Q804">
        <v>3</v>
      </c>
      <c r="R804" t="s">
        <v>66</v>
      </c>
      <c r="S804" t="s">
        <v>41</v>
      </c>
      <c r="T804" t="s">
        <v>42</v>
      </c>
      <c r="U804" t="s">
        <v>40</v>
      </c>
      <c r="V804" t="s">
        <v>56</v>
      </c>
      <c r="W804" t="s">
        <v>57</v>
      </c>
      <c r="X804" t="s">
        <v>45</v>
      </c>
      <c r="Y804">
        <v>120</v>
      </c>
      <c r="Z804" t="s">
        <v>93</v>
      </c>
      <c r="AA804" t="s">
        <v>94</v>
      </c>
      <c r="AB804" s="1">
        <v>46180</v>
      </c>
      <c r="AC804" t="s">
        <v>66</v>
      </c>
      <c r="AD804" t="s">
        <v>40</v>
      </c>
      <c r="AE804" t="s">
        <v>60</v>
      </c>
      <c r="AF804" t="s">
        <v>40</v>
      </c>
      <c r="AG804">
        <v>0</v>
      </c>
      <c r="AH804" t="s">
        <v>100</v>
      </c>
    </row>
    <row r="805" spans="1:34" x14ac:dyDescent="0.3">
      <c r="A805" t="s">
        <v>1371</v>
      </c>
      <c r="B805" t="s">
        <v>199</v>
      </c>
      <c r="C805" t="s">
        <v>89</v>
      </c>
      <c r="D805" t="s">
        <v>80</v>
      </c>
      <c r="E805" s="1">
        <v>45861</v>
      </c>
      <c r="F805" s="1">
        <v>46011</v>
      </c>
      <c r="G805" t="s">
        <v>38</v>
      </c>
      <c r="H805">
        <v>4864</v>
      </c>
      <c r="I805" t="s">
        <v>39</v>
      </c>
      <c r="J805" t="b">
        <v>0</v>
      </c>
      <c r="K805">
        <v>150</v>
      </c>
      <c r="L805">
        <v>12</v>
      </c>
      <c r="M805">
        <v>2025</v>
      </c>
      <c r="N805">
        <v>5</v>
      </c>
      <c r="O805">
        <v>7</v>
      </c>
      <c r="P805">
        <v>2025</v>
      </c>
      <c r="Q805">
        <v>2</v>
      </c>
      <c r="R805" t="s">
        <v>66</v>
      </c>
      <c r="S805" t="s">
        <v>67</v>
      </c>
      <c r="T805" t="s">
        <v>139</v>
      </c>
      <c r="U805" t="s">
        <v>40</v>
      </c>
      <c r="V805" t="s">
        <v>91</v>
      </c>
      <c r="W805" t="s">
        <v>92</v>
      </c>
      <c r="X805" t="s">
        <v>76</v>
      </c>
      <c r="Y805">
        <v>65</v>
      </c>
      <c r="Z805" t="s">
        <v>84</v>
      </c>
      <c r="AA805" t="s">
        <v>85</v>
      </c>
      <c r="AB805" s="1">
        <v>46011</v>
      </c>
      <c r="AC805" t="s">
        <v>66</v>
      </c>
      <c r="AD805" t="s">
        <v>40</v>
      </c>
      <c r="AE805" t="s">
        <v>69</v>
      </c>
      <c r="AF805" t="s">
        <v>40</v>
      </c>
      <c r="AG805">
        <v>0</v>
      </c>
      <c r="AH805" t="s">
        <v>49</v>
      </c>
    </row>
    <row r="806" spans="1:34" x14ac:dyDescent="0.3">
      <c r="A806" t="s">
        <v>1372</v>
      </c>
      <c r="B806" t="s">
        <v>1373</v>
      </c>
      <c r="C806" t="s">
        <v>122</v>
      </c>
      <c r="D806" t="s">
        <v>104</v>
      </c>
      <c r="E806" s="1">
        <v>45827</v>
      </c>
      <c r="F806" s="1">
        <v>45841</v>
      </c>
      <c r="G806" t="s">
        <v>38</v>
      </c>
      <c r="H806">
        <v>4204</v>
      </c>
      <c r="I806" t="s">
        <v>39</v>
      </c>
      <c r="J806" t="b">
        <v>0</v>
      </c>
      <c r="K806">
        <v>14</v>
      </c>
      <c r="L806">
        <v>7</v>
      </c>
      <c r="M806">
        <v>2025</v>
      </c>
      <c r="N806">
        <v>3</v>
      </c>
      <c r="O806">
        <v>6</v>
      </c>
      <c r="P806">
        <v>2025</v>
      </c>
      <c r="Q806">
        <v>3</v>
      </c>
      <c r="R806" t="s">
        <v>40</v>
      </c>
      <c r="S806" t="s">
        <v>55</v>
      </c>
      <c r="T806" t="s">
        <v>42</v>
      </c>
      <c r="U806" t="s">
        <v>66</v>
      </c>
      <c r="V806" t="s">
        <v>124</v>
      </c>
      <c r="W806" t="s">
        <v>125</v>
      </c>
      <c r="X806" t="s">
        <v>126</v>
      </c>
      <c r="Y806">
        <v>85</v>
      </c>
      <c r="Z806" t="s">
        <v>107</v>
      </c>
      <c r="AA806" t="s">
        <v>108</v>
      </c>
      <c r="AB806" s="1">
        <v>45841</v>
      </c>
      <c r="AC806" t="s">
        <v>40</v>
      </c>
      <c r="AD806" t="s">
        <v>40</v>
      </c>
      <c r="AE806" t="s">
        <v>86</v>
      </c>
      <c r="AF806" t="s">
        <v>40</v>
      </c>
      <c r="AG806">
        <v>0</v>
      </c>
      <c r="AH806" t="s">
        <v>70</v>
      </c>
    </row>
    <row r="807" spans="1:34" x14ac:dyDescent="0.3">
      <c r="A807" t="s">
        <v>1374</v>
      </c>
      <c r="B807" t="s">
        <v>1375</v>
      </c>
      <c r="C807" t="s">
        <v>89</v>
      </c>
      <c r="D807" t="s">
        <v>90</v>
      </c>
      <c r="E807" s="1">
        <v>45815</v>
      </c>
      <c r="F807" s="1">
        <v>45875</v>
      </c>
      <c r="G807" t="s">
        <v>81</v>
      </c>
      <c r="H807">
        <v>9323</v>
      </c>
      <c r="I807" t="s">
        <v>65</v>
      </c>
      <c r="J807" t="b">
        <v>0</v>
      </c>
      <c r="K807">
        <v>60</v>
      </c>
      <c r="L807">
        <v>8</v>
      </c>
      <c r="M807">
        <v>2025</v>
      </c>
      <c r="N807">
        <v>2</v>
      </c>
      <c r="O807">
        <v>6</v>
      </c>
      <c r="P807">
        <v>2025</v>
      </c>
      <c r="Q807">
        <v>5</v>
      </c>
      <c r="R807" t="s">
        <v>40</v>
      </c>
      <c r="S807" t="s">
        <v>55</v>
      </c>
      <c r="T807" t="s">
        <v>42</v>
      </c>
      <c r="U807" t="s">
        <v>40</v>
      </c>
      <c r="V807" t="s">
        <v>91</v>
      </c>
      <c r="W807" t="s">
        <v>92</v>
      </c>
      <c r="X807" t="s">
        <v>76</v>
      </c>
      <c r="Y807">
        <v>65</v>
      </c>
      <c r="Z807" t="s">
        <v>93</v>
      </c>
      <c r="AA807" t="s">
        <v>94</v>
      </c>
      <c r="AB807" s="1">
        <v>45875</v>
      </c>
      <c r="AC807" t="s">
        <v>40</v>
      </c>
      <c r="AD807" t="s">
        <v>40</v>
      </c>
      <c r="AE807" t="s">
        <v>86</v>
      </c>
      <c r="AF807" t="s">
        <v>40</v>
      </c>
      <c r="AG807">
        <v>0</v>
      </c>
      <c r="AH807" t="s">
        <v>61</v>
      </c>
    </row>
    <row r="808" spans="1:34" x14ac:dyDescent="0.3">
      <c r="A808" t="s">
        <v>1376</v>
      </c>
      <c r="B808" t="s">
        <v>1377</v>
      </c>
      <c r="C808" t="s">
        <v>129</v>
      </c>
      <c r="D808" t="s">
        <v>104</v>
      </c>
      <c r="E808" s="1">
        <v>46132</v>
      </c>
      <c r="F808" s="1">
        <v>46192</v>
      </c>
      <c r="G808" t="s">
        <v>64</v>
      </c>
      <c r="H808">
        <v>2463</v>
      </c>
      <c r="I808" t="s">
        <v>65</v>
      </c>
      <c r="J808" t="b">
        <v>0</v>
      </c>
      <c r="K808">
        <v>60</v>
      </c>
      <c r="L808">
        <v>6</v>
      </c>
      <c r="M808">
        <v>2026</v>
      </c>
      <c r="N808">
        <v>4</v>
      </c>
      <c r="O808">
        <v>4</v>
      </c>
      <c r="P808">
        <v>2026</v>
      </c>
      <c r="Q808">
        <v>0</v>
      </c>
      <c r="R808" t="s">
        <v>40</v>
      </c>
      <c r="S808" t="s">
        <v>55</v>
      </c>
      <c r="T808" t="s">
        <v>42</v>
      </c>
      <c r="U808" t="s">
        <v>66</v>
      </c>
      <c r="V808" t="s">
        <v>131</v>
      </c>
      <c r="W808" t="s">
        <v>132</v>
      </c>
      <c r="X808" t="s">
        <v>45</v>
      </c>
      <c r="Y808">
        <v>110</v>
      </c>
      <c r="Z808" t="s">
        <v>107</v>
      </c>
      <c r="AA808" t="s">
        <v>108</v>
      </c>
      <c r="AB808" s="1">
        <v>46192</v>
      </c>
      <c r="AC808" t="s">
        <v>40</v>
      </c>
      <c r="AD808" t="s">
        <v>40</v>
      </c>
      <c r="AE808" t="s">
        <v>60</v>
      </c>
      <c r="AF808" t="s">
        <v>40</v>
      </c>
      <c r="AG808">
        <v>0</v>
      </c>
      <c r="AH808" t="s">
        <v>61</v>
      </c>
    </row>
    <row r="809" spans="1:34" x14ac:dyDescent="0.3">
      <c r="A809" t="s">
        <v>1378</v>
      </c>
      <c r="B809" t="s">
        <v>773</v>
      </c>
      <c r="C809" t="s">
        <v>155</v>
      </c>
      <c r="D809" t="s">
        <v>104</v>
      </c>
      <c r="E809" s="1">
        <v>46204</v>
      </c>
      <c r="F809" s="1">
        <v>46205</v>
      </c>
      <c r="G809" t="s">
        <v>41</v>
      </c>
      <c r="H809">
        <v>5729</v>
      </c>
      <c r="I809" t="s">
        <v>39</v>
      </c>
      <c r="J809" t="b">
        <v>0</v>
      </c>
      <c r="K809">
        <v>1</v>
      </c>
      <c r="L809">
        <v>7</v>
      </c>
      <c r="M809">
        <v>2026</v>
      </c>
      <c r="N809">
        <v>3</v>
      </c>
      <c r="O809">
        <v>7</v>
      </c>
      <c r="P809">
        <v>2026</v>
      </c>
      <c r="Q809">
        <v>2</v>
      </c>
      <c r="R809" t="s">
        <v>40</v>
      </c>
      <c r="S809" t="s">
        <v>41</v>
      </c>
      <c r="T809" t="s">
        <v>113</v>
      </c>
      <c r="U809" t="s">
        <v>40</v>
      </c>
      <c r="V809" t="s">
        <v>156</v>
      </c>
      <c r="W809" t="s">
        <v>157</v>
      </c>
      <c r="X809" t="s">
        <v>158</v>
      </c>
      <c r="Y809">
        <v>70</v>
      </c>
      <c r="Z809" t="s">
        <v>107</v>
      </c>
      <c r="AA809" t="s">
        <v>108</v>
      </c>
      <c r="AB809" s="1">
        <v>46205</v>
      </c>
      <c r="AC809" t="s">
        <v>40</v>
      </c>
      <c r="AD809" t="s">
        <v>40</v>
      </c>
      <c r="AE809" t="s">
        <v>86</v>
      </c>
      <c r="AF809" t="s">
        <v>40</v>
      </c>
      <c r="AG809">
        <v>0</v>
      </c>
      <c r="AH809" t="s">
        <v>100</v>
      </c>
    </row>
    <row r="810" spans="1:34" x14ac:dyDescent="0.3">
      <c r="A810" t="s">
        <v>1379</v>
      </c>
      <c r="B810" t="s">
        <v>301</v>
      </c>
      <c r="C810" t="s">
        <v>155</v>
      </c>
      <c r="D810" t="s">
        <v>80</v>
      </c>
      <c r="E810" s="1">
        <v>46065</v>
      </c>
      <c r="F810" s="1">
        <v>46215</v>
      </c>
      <c r="G810" t="s">
        <v>38</v>
      </c>
      <c r="H810">
        <v>4269</v>
      </c>
      <c r="I810" t="s">
        <v>54</v>
      </c>
      <c r="J810" t="b">
        <v>0</v>
      </c>
      <c r="K810">
        <v>150</v>
      </c>
      <c r="L810">
        <v>7</v>
      </c>
      <c r="M810">
        <v>2026</v>
      </c>
      <c r="N810">
        <v>6</v>
      </c>
      <c r="O810">
        <v>2</v>
      </c>
      <c r="P810">
        <v>2026</v>
      </c>
      <c r="Q810">
        <v>3</v>
      </c>
      <c r="R810" t="s">
        <v>66</v>
      </c>
      <c r="S810" t="s">
        <v>55</v>
      </c>
      <c r="T810" t="s">
        <v>113</v>
      </c>
      <c r="U810" t="s">
        <v>40</v>
      </c>
      <c r="V810" t="s">
        <v>156</v>
      </c>
      <c r="W810" t="s">
        <v>157</v>
      </c>
      <c r="X810" t="s">
        <v>158</v>
      </c>
      <c r="Y810">
        <v>70</v>
      </c>
      <c r="Z810" t="s">
        <v>84</v>
      </c>
      <c r="AA810" t="s">
        <v>85</v>
      </c>
      <c r="AB810" s="1">
        <v>46215</v>
      </c>
      <c r="AC810" t="s">
        <v>66</v>
      </c>
      <c r="AD810" t="s">
        <v>40</v>
      </c>
      <c r="AE810" t="s">
        <v>86</v>
      </c>
      <c r="AF810" t="s">
        <v>40</v>
      </c>
      <c r="AG810">
        <v>1</v>
      </c>
      <c r="AH810" t="s">
        <v>49</v>
      </c>
    </row>
    <row r="811" spans="1:34" x14ac:dyDescent="0.3">
      <c r="A811" t="s">
        <v>1380</v>
      </c>
      <c r="B811" t="s">
        <v>649</v>
      </c>
      <c r="C811" t="s">
        <v>129</v>
      </c>
      <c r="D811" t="s">
        <v>90</v>
      </c>
      <c r="E811" s="1">
        <v>46093</v>
      </c>
      <c r="F811" s="1">
        <v>46096</v>
      </c>
      <c r="G811" t="s">
        <v>81</v>
      </c>
      <c r="H811">
        <v>6785</v>
      </c>
      <c r="I811" t="s">
        <v>39</v>
      </c>
      <c r="J811" t="b">
        <v>0</v>
      </c>
      <c r="K811">
        <v>3</v>
      </c>
      <c r="L811">
        <v>3</v>
      </c>
      <c r="M811">
        <v>2026</v>
      </c>
      <c r="N811">
        <v>6</v>
      </c>
      <c r="O811">
        <v>3</v>
      </c>
      <c r="P811">
        <v>2026</v>
      </c>
      <c r="Q811">
        <v>3</v>
      </c>
      <c r="R811" t="s">
        <v>66</v>
      </c>
      <c r="S811" t="s">
        <v>45</v>
      </c>
      <c r="T811" t="s">
        <v>286</v>
      </c>
      <c r="U811" t="s">
        <v>40</v>
      </c>
      <c r="V811" t="s">
        <v>131</v>
      </c>
      <c r="W811" t="s">
        <v>132</v>
      </c>
      <c r="X811" t="s">
        <v>45</v>
      </c>
      <c r="Y811">
        <v>110</v>
      </c>
      <c r="Z811" t="s">
        <v>93</v>
      </c>
      <c r="AA811" t="s">
        <v>94</v>
      </c>
      <c r="AB811" s="1">
        <v>46096</v>
      </c>
      <c r="AC811" t="s">
        <v>66</v>
      </c>
      <c r="AD811" t="s">
        <v>40</v>
      </c>
      <c r="AE811" t="s">
        <v>60</v>
      </c>
      <c r="AF811" t="s">
        <v>40</v>
      </c>
      <c r="AG811">
        <v>0</v>
      </c>
      <c r="AH811" t="s">
        <v>100</v>
      </c>
    </row>
    <row r="812" spans="1:34" x14ac:dyDescent="0.3">
      <c r="A812" t="s">
        <v>1381</v>
      </c>
      <c r="B812" t="s">
        <v>593</v>
      </c>
      <c r="C812" t="s">
        <v>36</v>
      </c>
      <c r="D812" t="s">
        <v>104</v>
      </c>
      <c r="E812" s="1">
        <v>45742</v>
      </c>
      <c r="F812" s="1">
        <v>45756</v>
      </c>
      <c r="G812" t="s">
        <v>64</v>
      </c>
      <c r="H812">
        <v>3845</v>
      </c>
      <c r="I812" t="s">
        <v>65</v>
      </c>
      <c r="J812" t="b">
        <v>0</v>
      </c>
      <c r="K812">
        <v>14</v>
      </c>
      <c r="L812">
        <v>4</v>
      </c>
      <c r="M812">
        <v>2025</v>
      </c>
      <c r="N812">
        <v>2</v>
      </c>
      <c r="O812">
        <v>3</v>
      </c>
      <c r="P812">
        <v>2025</v>
      </c>
      <c r="Q812">
        <v>2</v>
      </c>
      <c r="R812" t="s">
        <v>40</v>
      </c>
      <c r="S812" t="s">
        <v>41</v>
      </c>
      <c r="T812" t="s">
        <v>42</v>
      </c>
      <c r="U812" t="s">
        <v>40</v>
      </c>
      <c r="V812" t="s">
        <v>43</v>
      </c>
      <c r="W812" t="s">
        <v>44</v>
      </c>
      <c r="X812" t="s">
        <v>45</v>
      </c>
      <c r="Y812">
        <v>150</v>
      </c>
      <c r="Z812" t="s">
        <v>107</v>
      </c>
      <c r="AA812" t="s">
        <v>108</v>
      </c>
      <c r="AB812" s="1">
        <v>45756</v>
      </c>
      <c r="AC812" t="s">
        <v>40</v>
      </c>
      <c r="AD812" t="s">
        <v>40</v>
      </c>
      <c r="AE812" t="s">
        <v>69</v>
      </c>
      <c r="AF812" t="s">
        <v>40</v>
      </c>
      <c r="AG812">
        <v>0</v>
      </c>
      <c r="AH812" t="s">
        <v>70</v>
      </c>
    </row>
    <row r="813" spans="1:34" x14ac:dyDescent="0.3">
      <c r="A813" t="s">
        <v>1382</v>
      </c>
      <c r="B813" t="s">
        <v>1383</v>
      </c>
      <c r="C813" t="s">
        <v>122</v>
      </c>
      <c r="D813" t="s">
        <v>37</v>
      </c>
      <c r="E813" s="1">
        <v>46344</v>
      </c>
      <c r="F813" s="1">
        <v>46358</v>
      </c>
      <c r="G813" t="s">
        <v>64</v>
      </c>
      <c r="H813">
        <v>3070</v>
      </c>
      <c r="I813" t="s">
        <v>39</v>
      </c>
      <c r="J813" t="b">
        <v>0</v>
      </c>
      <c r="K813">
        <v>14</v>
      </c>
      <c r="L813">
        <v>12</v>
      </c>
      <c r="M813">
        <v>2026</v>
      </c>
      <c r="N813">
        <v>2</v>
      </c>
      <c r="O813">
        <v>11</v>
      </c>
      <c r="P813">
        <v>2026</v>
      </c>
      <c r="Q813">
        <v>2</v>
      </c>
      <c r="R813" t="s">
        <v>40</v>
      </c>
      <c r="S813" t="s">
        <v>67</v>
      </c>
      <c r="T813" t="s">
        <v>42</v>
      </c>
      <c r="U813" t="s">
        <v>40</v>
      </c>
      <c r="V813" t="s">
        <v>124</v>
      </c>
      <c r="W813" t="s">
        <v>125</v>
      </c>
      <c r="X813" t="s">
        <v>126</v>
      </c>
      <c r="Y813">
        <v>85</v>
      </c>
      <c r="Z813" t="s">
        <v>46</v>
      </c>
      <c r="AA813" t="s">
        <v>47</v>
      </c>
      <c r="AB813" s="1">
        <v>46358</v>
      </c>
      <c r="AC813" t="s">
        <v>40</v>
      </c>
      <c r="AD813" t="s">
        <v>40</v>
      </c>
      <c r="AE813" t="s">
        <v>69</v>
      </c>
      <c r="AF813" t="s">
        <v>40</v>
      </c>
      <c r="AG813">
        <v>0</v>
      </c>
      <c r="AH813" t="s">
        <v>70</v>
      </c>
    </row>
    <row r="814" spans="1:34" x14ac:dyDescent="0.3">
      <c r="A814" t="s">
        <v>1384</v>
      </c>
      <c r="B814" t="s">
        <v>1060</v>
      </c>
      <c r="C814" t="s">
        <v>122</v>
      </c>
      <c r="D814" t="s">
        <v>37</v>
      </c>
      <c r="E814" s="1">
        <v>46001</v>
      </c>
      <c r="F814" s="1">
        <v>46101</v>
      </c>
      <c r="G814" t="s">
        <v>81</v>
      </c>
      <c r="H814">
        <v>9973</v>
      </c>
      <c r="I814" t="s">
        <v>39</v>
      </c>
      <c r="J814" t="b">
        <v>0</v>
      </c>
      <c r="K814">
        <v>100</v>
      </c>
      <c r="L814">
        <v>3</v>
      </c>
      <c r="M814">
        <v>2026</v>
      </c>
      <c r="N814">
        <v>4</v>
      </c>
      <c r="O814">
        <v>12</v>
      </c>
      <c r="P814">
        <v>2025</v>
      </c>
      <c r="Q814">
        <v>2</v>
      </c>
      <c r="R814" t="s">
        <v>40</v>
      </c>
      <c r="S814" t="s">
        <v>55</v>
      </c>
      <c r="T814" t="s">
        <v>48</v>
      </c>
      <c r="U814" t="s">
        <v>40</v>
      </c>
      <c r="V814" t="s">
        <v>124</v>
      </c>
      <c r="W814" t="s">
        <v>125</v>
      </c>
      <c r="X814" t="s">
        <v>126</v>
      </c>
      <c r="Y814">
        <v>85</v>
      </c>
      <c r="Z814" t="s">
        <v>46</v>
      </c>
      <c r="AA814" t="s">
        <v>47</v>
      </c>
      <c r="AB814" s="1">
        <v>46101</v>
      </c>
      <c r="AC814" t="s">
        <v>40</v>
      </c>
      <c r="AD814" t="s">
        <v>40</v>
      </c>
      <c r="AE814" t="s">
        <v>60</v>
      </c>
      <c r="AF814" t="s">
        <v>40</v>
      </c>
      <c r="AG814">
        <v>0</v>
      </c>
      <c r="AH814" t="s">
        <v>49</v>
      </c>
    </row>
    <row r="815" spans="1:34" x14ac:dyDescent="0.3">
      <c r="A815" t="s">
        <v>1385</v>
      </c>
      <c r="B815" t="s">
        <v>465</v>
      </c>
      <c r="C815" t="s">
        <v>79</v>
      </c>
      <c r="D815" t="s">
        <v>37</v>
      </c>
      <c r="E815" s="1">
        <v>46262</v>
      </c>
      <c r="F815" s="1">
        <v>46269</v>
      </c>
      <c r="G815" t="s">
        <v>41</v>
      </c>
      <c r="H815">
        <v>5163</v>
      </c>
      <c r="I815" t="s">
        <v>39</v>
      </c>
      <c r="J815" t="b">
        <v>0</v>
      </c>
      <c r="K815">
        <v>7</v>
      </c>
      <c r="L815">
        <v>9</v>
      </c>
      <c r="M815">
        <v>2026</v>
      </c>
      <c r="N815">
        <v>4</v>
      </c>
      <c r="O815">
        <v>8</v>
      </c>
      <c r="P815">
        <v>2026</v>
      </c>
      <c r="Q815">
        <v>4</v>
      </c>
      <c r="R815" t="s">
        <v>40</v>
      </c>
      <c r="S815" t="s">
        <v>41</v>
      </c>
      <c r="T815" t="s">
        <v>42</v>
      </c>
      <c r="U815" t="s">
        <v>66</v>
      </c>
      <c r="V815" t="s">
        <v>82</v>
      </c>
      <c r="W815" t="s">
        <v>83</v>
      </c>
      <c r="X815" t="s">
        <v>76</v>
      </c>
      <c r="Y815">
        <v>100</v>
      </c>
      <c r="Z815" t="s">
        <v>46</v>
      </c>
      <c r="AA815" t="s">
        <v>47</v>
      </c>
      <c r="AB815" s="1">
        <v>46269</v>
      </c>
      <c r="AC815" t="s">
        <v>40</v>
      </c>
      <c r="AD815" t="s">
        <v>40</v>
      </c>
      <c r="AE815" t="s">
        <v>60</v>
      </c>
      <c r="AF815" t="s">
        <v>40</v>
      </c>
      <c r="AG815">
        <v>0</v>
      </c>
      <c r="AH815" t="s">
        <v>100</v>
      </c>
    </row>
    <row r="816" spans="1:34" x14ac:dyDescent="0.3">
      <c r="A816" t="s">
        <v>1386</v>
      </c>
      <c r="B816" t="s">
        <v>1387</v>
      </c>
      <c r="C816" t="s">
        <v>129</v>
      </c>
      <c r="D816" t="s">
        <v>53</v>
      </c>
      <c r="E816" s="1">
        <v>45916</v>
      </c>
      <c r="F816" s="1">
        <v>45930</v>
      </c>
      <c r="G816" t="s">
        <v>81</v>
      </c>
      <c r="H816">
        <v>7964</v>
      </c>
      <c r="I816" t="s">
        <v>54</v>
      </c>
      <c r="J816" t="b">
        <v>0</v>
      </c>
      <c r="K816">
        <v>14</v>
      </c>
      <c r="L816">
        <v>9</v>
      </c>
      <c r="M816">
        <v>2025</v>
      </c>
      <c r="N816">
        <v>1</v>
      </c>
      <c r="O816">
        <v>9</v>
      </c>
      <c r="P816">
        <v>2025</v>
      </c>
      <c r="Q816">
        <v>1</v>
      </c>
      <c r="R816" t="s">
        <v>40</v>
      </c>
      <c r="S816" t="s">
        <v>67</v>
      </c>
      <c r="T816" t="s">
        <v>42</v>
      </c>
      <c r="U816" t="s">
        <v>40</v>
      </c>
      <c r="V816" t="s">
        <v>131</v>
      </c>
      <c r="W816" t="s">
        <v>132</v>
      </c>
      <c r="X816" t="s">
        <v>45</v>
      </c>
      <c r="Y816">
        <v>110</v>
      </c>
      <c r="Z816" t="s">
        <v>58</v>
      </c>
      <c r="AA816" t="s">
        <v>59</v>
      </c>
      <c r="AB816" s="1">
        <v>45930</v>
      </c>
      <c r="AC816" t="s">
        <v>40</v>
      </c>
      <c r="AD816" t="s">
        <v>40</v>
      </c>
      <c r="AE816" t="s">
        <v>60</v>
      </c>
      <c r="AF816" t="s">
        <v>40</v>
      </c>
      <c r="AG816">
        <v>1</v>
      </c>
      <c r="AH816" t="s">
        <v>70</v>
      </c>
    </row>
    <row r="817" spans="1:34" x14ac:dyDescent="0.3">
      <c r="A817" t="s">
        <v>1388</v>
      </c>
      <c r="B817" t="s">
        <v>552</v>
      </c>
      <c r="C817" t="s">
        <v>169</v>
      </c>
      <c r="D817" t="s">
        <v>37</v>
      </c>
      <c r="E817" s="1">
        <v>45694</v>
      </c>
      <c r="F817" s="1">
        <v>45724</v>
      </c>
      <c r="G817" t="s">
        <v>81</v>
      </c>
      <c r="H817">
        <v>8536</v>
      </c>
      <c r="I817" t="s">
        <v>54</v>
      </c>
      <c r="J817" t="b">
        <v>0</v>
      </c>
      <c r="K817">
        <v>30</v>
      </c>
      <c r="L817">
        <v>3</v>
      </c>
      <c r="M817">
        <v>2025</v>
      </c>
      <c r="N817">
        <v>5</v>
      </c>
      <c r="O817">
        <v>2</v>
      </c>
      <c r="P817">
        <v>2025</v>
      </c>
      <c r="Q817">
        <v>3</v>
      </c>
      <c r="R817" t="s">
        <v>66</v>
      </c>
      <c r="S817" t="s">
        <v>55</v>
      </c>
      <c r="T817" t="s">
        <v>42</v>
      </c>
      <c r="U817" t="s">
        <v>40</v>
      </c>
      <c r="V817" t="s">
        <v>170</v>
      </c>
      <c r="W817" t="s">
        <v>171</v>
      </c>
      <c r="X817" t="s">
        <v>126</v>
      </c>
      <c r="Y817">
        <v>90</v>
      </c>
      <c r="Z817" t="s">
        <v>46</v>
      </c>
      <c r="AA817" t="s">
        <v>47</v>
      </c>
      <c r="AB817" s="1">
        <v>45724</v>
      </c>
      <c r="AC817" t="s">
        <v>66</v>
      </c>
      <c r="AD817" t="s">
        <v>40</v>
      </c>
      <c r="AE817" t="s">
        <v>60</v>
      </c>
      <c r="AF817" t="s">
        <v>40</v>
      </c>
      <c r="AG817">
        <v>1</v>
      </c>
      <c r="AH817" t="s">
        <v>70</v>
      </c>
    </row>
    <row r="818" spans="1:34" x14ac:dyDescent="0.3">
      <c r="A818" t="s">
        <v>1389</v>
      </c>
      <c r="B818" t="s">
        <v>1390</v>
      </c>
      <c r="C818" t="s">
        <v>129</v>
      </c>
      <c r="D818" t="s">
        <v>104</v>
      </c>
      <c r="E818" s="1">
        <v>46099</v>
      </c>
      <c r="F818" s="1">
        <v>46199</v>
      </c>
      <c r="G818" t="s">
        <v>81</v>
      </c>
      <c r="H818">
        <v>10788</v>
      </c>
      <c r="I818" t="s">
        <v>54</v>
      </c>
      <c r="J818" t="b">
        <v>0</v>
      </c>
      <c r="K818">
        <v>100</v>
      </c>
      <c r="L818">
        <v>6</v>
      </c>
      <c r="M818">
        <v>2026</v>
      </c>
      <c r="N818">
        <v>4</v>
      </c>
      <c r="O818">
        <v>3</v>
      </c>
      <c r="P818">
        <v>2026</v>
      </c>
      <c r="Q818">
        <v>2</v>
      </c>
      <c r="R818" t="s">
        <v>40</v>
      </c>
      <c r="S818" t="s">
        <v>67</v>
      </c>
      <c r="T818" t="s">
        <v>42</v>
      </c>
      <c r="U818" t="s">
        <v>40</v>
      </c>
      <c r="V818" t="s">
        <v>131</v>
      </c>
      <c r="W818" t="s">
        <v>132</v>
      </c>
      <c r="X818" t="s">
        <v>45</v>
      </c>
      <c r="Y818">
        <v>110</v>
      </c>
      <c r="Z818" t="s">
        <v>107</v>
      </c>
      <c r="AA818" t="s">
        <v>108</v>
      </c>
      <c r="AB818" s="1">
        <v>46199</v>
      </c>
      <c r="AC818" t="s">
        <v>40</v>
      </c>
      <c r="AD818" t="s">
        <v>40</v>
      </c>
      <c r="AE818" t="s">
        <v>60</v>
      </c>
      <c r="AF818" t="s">
        <v>40</v>
      </c>
      <c r="AG818">
        <v>1</v>
      </c>
      <c r="AH818" t="s">
        <v>49</v>
      </c>
    </row>
    <row r="819" spans="1:34" x14ac:dyDescent="0.3">
      <c r="A819" t="s">
        <v>1391</v>
      </c>
      <c r="B819" t="s">
        <v>1060</v>
      </c>
      <c r="C819" t="s">
        <v>52</v>
      </c>
      <c r="D819" t="s">
        <v>90</v>
      </c>
      <c r="E819" s="1">
        <v>46281</v>
      </c>
      <c r="F819" s="1">
        <v>46501</v>
      </c>
      <c r="G819" t="s">
        <v>64</v>
      </c>
      <c r="H819">
        <v>3249</v>
      </c>
      <c r="I819" t="s">
        <v>39</v>
      </c>
      <c r="J819" t="b">
        <v>0</v>
      </c>
      <c r="K819">
        <v>220</v>
      </c>
      <c r="L819">
        <v>4</v>
      </c>
      <c r="M819">
        <v>2027</v>
      </c>
      <c r="N819">
        <v>5</v>
      </c>
      <c r="O819">
        <v>9</v>
      </c>
      <c r="P819">
        <v>2026</v>
      </c>
      <c r="Q819">
        <v>2</v>
      </c>
      <c r="R819" t="s">
        <v>66</v>
      </c>
      <c r="S819" t="s">
        <v>55</v>
      </c>
      <c r="T819" t="s">
        <v>48</v>
      </c>
      <c r="U819" t="s">
        <v>40</v>
      </c>
      <c r="V819" t="s">
        <v>56</v>
      </c>
      <c r="W819" t="s">
        <v>57</v>
      </c>
      <c r="X819" t="s">
        <v>45</v>
      </c>
      <c r="Y819">
        <v>120</v>
      </c>
      <c r="Z819" t="s">
        <v>93</v>
      </c>
      <c r="AA819" t="s">
        <v>94</v>
      </c>
      <c r="AB819" s="1"/>
      <c r="AC819" t="s">
        <v>48</v>
      </c>
      <c r="AD819" t="s">
        <v>48</v>
      </c>
      <c r="AE819" t="s">
        <v>48</v>
      </c>
      <c r="AF819" t="s">
        <v>48</v>
      </c>
      <c r="AG819">
        <v>0</v>
      </c>
      <c r="AH819" t="s">
        <v>142</v>
      </c>
    </row>
    <row r="820" spans="1:34" x14ac:dyDescent="0.3">
      <c r="A820" t="s">
        <v>1392</v>
      </c>
      <c r="B820" t="s">
        <v>579</v>
      </c>
      <c r="C820" t="s">
        <v>89</v>
      </c>
      <c r="D820" t="s">
        <v>53</v>
      </c>
      <c r="E820" s="1">
        <v>46326</v>
      </c>
      <c r="F820" s="1">
        <v>46386</v>
      </c>
      <c r="G820" t="s">
        <v>64</v>
      </c>
      <c r="H820">
        <v>4176</v>
      </c>
      <c r="I820" t="s">
        <v>39</v>
      </c>
      <c r="J820" t="b">
        <v>0</v>
      </c>
      <c r="K820">
        <v>60</v>
      </c>
      <c r="L820">
        <v>12</v>
      </c>
      <c r="M820">
        <v>2026</v>
      </c>
      <c r="N820">
        <v>2</v>
      </c>
      <c r="O820">
        <v>10</v>
      </c>
      <c r="P820">
        <v>2026</v>
      </c>
      <c r="Q820">
        <v>5</v>
      </c>
      <c r="R820" t="s">
        <v>40</v>
      </c>
      <c r="S820" t="s">
        <v>41</v>
      </c>
      <c r="T820" t="s">
        <v>123</v>
      </c>
      <c r="U820" t="s">
        <v>66</v>
      </c>
      <c r="V820" t="s">
        <v>91</v>
      </c>
      <c r="W820" t="s">
        <v>92</v>
      </c>
      <c r="X820" t="s">
        <v>76</v>
      </c>
      <c r="Y820">
        <v>65</v>
      </c>
      <c r="Z820" t="s">
        <v>58</v>
      </c>
      <c r="AA820" t="s">
        <v>59</v>
      </c>
      <c r="AB820" s="1">
        <v>46386</v>
      </c>
      <c r="AC820" t="s">
        <v>40</v>
      </c>
      <c r="AD820" t="s">
        <v>40</v>
      </c>
      <c r="AE820" t="s">
        <v>69</v>
      </c>
      <c r="AF820" t="s">
        <v>40</v>
      </c>
      <c r="AG820">
        <v>0</v>
      </c>
      <c r="AH820" t="s">
        <v>61</v>
      </c>
    </row>
    <row r="821" spans="1:34" x14ac:dyDescent="0.3">
      <c r="A821" t="s">
        <v>1393</v>
      </c>
      <c r="B821" t="s">
        <v>1394</v>
      </c>
      <c r="C821" t="s">
        <v>89</v>
      </c>
      <c r="D821" t="s">
        <v>130</v>
      </c>
      <c r="E821" s="1">
        <v>46041</v>
      </c>
      <c r="F821" s="1">
        <v>46071</v>
      </c>
      <c r="G821" t="s">
        <v>38</v>
      </c>
      <c r="H821">
        <v>4260</v>
      </c>
      <c r="I821" t="s">
        <v>65</v>
      </c>
      <c r="J821" t="b">
        <v>0</v>
      </c>
      <c r="K821">
        <v>30</v>
      </c>
      <c r="L821">
        <v>2</v>
      </c>
      <c r="M821">
        <v>2026</v>
      </c>
      <c r="N821">
        <v>2</v>
      </c>
      <c r="O821">
        <v>1</v>
      </c>
      <c r="P821">
        <v>2026</v>
      </c>
      <c r="Q821">
        <v>0</v>
      </c>
      <c r="R821" t="s">
        <v>40</v>
      </c>
      <c r="S821" t="s">
        <v>45</v>
      </c>
      <c r="T821" t="s">
        <v>42</v>
      </c>
      <c r="U821" t="s">
        <v>40</v>
      </c>
      <c r="V821" t="s">
        <v>91</v>
      </c>
      <c r="W821" t="s">
        <v>92</v>
      </c>
      <c r="X821" t="s">
        <v>76</v>
      </c>
      <c r="Y821">
        <v>65</v>
      </c>
      <c r="Z821" t="s">
        <v>133</v>
      </c>
      <c r="AA821" t="s">
        <v>134</v>
      </c>
      <c r="AB821" s="1">
        <v>46071</v>
      </c>
      <c r="AC821" t="s">
        <v>40</v>
      </c>
      <c r="AD821" t="s">
        <v>40</v>
      </c>
      <c r="AE821" t="s">
        <v>60</v>
      </c>
      <c r="AF821" t="s">
        <v>40</v>
      </c>
      <c r="AG821">
        <v>0</v>
      </c>
      <c r="AH821" t="s">
        <v>70</v>
      </c>
    </row>
    <row r="822" spans="1:34" x14ac:dyDescent="0.3">
      <c r="A822" t="s">
        <v>1395</v>
      </c>
      <c r="B822" t="s">
        <v>1396</v>
      </c>
      <c r="C822" t="s">
        <v>169</v>
      </c>
      <c r="D822" t="s">
        <v>130</v>
      </c>
      <c r="E822" s="1">
        <v>46074</v>
      </c>
      <c r="F822" s="1">
        <v>46081</v>
      </c>
      <c r="G822" t="s">
        <v>41</v>
      </c>
      <c r="H822">
        <v>7453</v>
      </c>
      <c r="I822" t="s">
        <v>39</v>
      </c>
      <c r="J822" t="b">
        <v>0</v>
      </c>
      <c r="K822">
        <v>7</v>
      </c>
      <c r="L822">
        <v>2</v>
      </c>
      <c r="M822">
        <v>2026</v>
      </c>
      <c r="N822">
        <v>5</v>
      </c>
      <c r="O822">
        <v>2</v>
      </c>
      <c r="P822">
        <v>2026</v>
      </c>
      <c r="Q822">
        <v>5</v>
      </c>
      <c r="R822" t="s">
        <v>66</v>
      </c>
      <c r="S822" t="s">
        <v>55</v>
      </c>
      <c r="T822" t="s">
        <v>286</v>
      </c>
      <c r="U822" t="s">
        <v>40</v>
      </c>
      <c r="V822" t="s">
        <v>170</v>
      </c>
      <c r="W822" t="s">
        <v>171</v>
      </c>
      <c r="X822" t="s">
        <v>126</v>
      </c>
      <c r="Y822">
        <v>90</v>
      </c>
      <c r="Z822" t="s">
        <v>133</v>
      </c>
      <c r="AA822" t="s">
        <v>134</v>
      </c>
      <c r="AB822" s="1">
        <v>46081</v>
      </c>
      <c r="AC822" t="s">
        <v>66</v>
      </c>
      <c r="AD822" t="s">
        <v>40</v>
      </c>
      <c r="AE822" t="s">
        <v>60</v>
      </c>
      <c r="AF822" t="s">
        <v>40</v>
      </c>
      <c r="AG822">
        <v>0</v>
      </c>
      <c r="AH822" t="s">
        <v>100</v>
      </c>
    </row>
    <row r="823" spans="1:34" x14ac:dyDescent="0.3">
      <c r="A823" t="s">
        <v>1397</v>
      </c>
      <c r="B823" t="s">
        <v>1047</v>
      </c>
      <c r="C823" t="s">
        <v>52</v>
      </c>
      <c r="D823" t="s">
        <v>37</v>
      </c>
      <c r="E823" s="1">
        <v>45990</v>
      </c>
      <c r="F823" s="1">
        <v>45997</v>
      </c>
      <c r="G823" t="s">
        <v>81</v>
      </c>
      <c r="H823">
        <v>11316</v>
      </c>
      <c r="I823" t="s">
        <v>39</v>
      </c>
      <c r="J823" t="b">
        <v>0</v>
      </c>
      <c r="K823">
        <v>7</v>
      </c>
      <c r="L823">
        <v>12</v>
      </c>
      <c r="M823">
        <v>2025</v>
      </c>
      <c r="N823">
        <v>5</v>
      </c>
      <c r="O823">
        <v>11</v>
      </c>
      <c r="P823">
        <v>2025</v>
      </c>
      <c r="Q823">
        <v>5</v>
      </c>
      <c r="R823" t="s">
        <v>66</v>
      </c>
      <c r="S823" t="s">
        <v>41</v>
      </c>
      <c r="T823" t="s">
        <v>42</v>
      </c>
      <c r="U823" t="s">
        <v>40</v>
      </c>
      <c r="V823" t="s">
        <v>56</v>
      </c>
      <c r="W823" t="s">
        <v>57</v>
      </c>
      <c r="X823" t="s">
        <v>45</v>
      </c>
      <c r="Y823">
        <v>120</v>
      </c>
      <c r="Z823" t="s">
        <v>46</v>
      </c>
      <c r="AA823" t="s">
        <v>47</v>
      </c>
      <c r="AB823" s="1">
        <v>45997</v>
      </c>
      <c r="AC823" t="s">
        <v>66</v>
      </c>
      <c r="AD823" t="s">
        <v>40</v>
      </c>
      <c r="AE823" t="s">
        <v>69</v>
      </c>
      <c r="AF823" t="s">
        <v>40</v>
      </c>
      <c r="AG823">
        <v>0</v>
      </c>
      <c r="AH823" t="s">
        <v>100</v>
      </c>
    </row>
    <row r="824" spans="1:34" x14ac:dyDescent="0.3">
      <c r="A824" t="s">
        <v>1398</v>
      </c>
      <c r="B824" t="s">
        <v>187</v>
      </c>
      <c r="C824" t="s">
        <v>52</v>
      </c>
      <c r="D824" t="s">
        <v>53</v>
      </c>
      <c r="E824" s="1">
        <v>46006</v>
      </c>
      <c r="F824" s="1">
        <v>46013</v>
      </c>
      <c r="G824" t="s">
        <v>41</v>
      </c>
      <c r="H824">
        <v>7180</v>
      </c>
      <c r="I824" t="s">
        <v>39</v>
      </c>
      <c r="J824" t="b">
        <v>0</v>
      </c>
      <c r="K824">
        <v>7</v>
      </c>
      <c r="L824">
        <v>12</v>
      </c>
      <c r="M824">
        <v>2025</v>
      </c>
      <c r="N824">
        <v>0</v>
      </c>
      <c r="O824">
        <v>12</v>
      </c>
      <c r="P824">
        <v>2025</v>
      </c>
      <c r="Q824">
        <v>0</v>
      </c>
      <c r="R824" t="s">
        <v>40</v>
      </c>
      <c r="S824" t="s">
        <v>41</v>
      </c>
      <c r="T824" t="s">
        <v>42</v>
      </c>
      <c r="U824" t="s">
        <v>40</v>
      </c>
      <c r="V824" t="s">
        <v>56</v>
      </c>
      <c r="W824" t="s">
        <v>57</v>
      </c>
      <c r="X824" t="s">
        <v>45</v>
      </c>
      <c r="Y824">
        <v>120</v>
      </c>
      <c r="Z824" t="s">
        <v>58</v>
      </c>
      <c r="AA824" t="s">
        <v>59</v>
      </c>
      <c r="AB824" s="1">
        <v>46013</v>
      </c>
      <c r="AC824" t="s">
        <v>40</v>
      </c>
      <c r="AD824" t="s">
        <v>40</v>
      </c>
      <c r="AE824" t="s">
        <v>69</v>
      </c>
      <c r="AF824" t="s">
        <v>40</v>
      </c>
      <c r="AG824">
        <v>0</v>
      </c>
      <c r="AH824" t="s">
        <v>100</v>
      </c>
    </row>
    <row r="825" spans="1:34" x14ac:dyDescent="0.3">
      <c r="A825" t="s">
        <v>1399</v>
      </c>
      <c r="B825" t="s">
        <v>489</v>
      </c>
      <c r="C825" t="s">
        <v>129</v>
      </c>
      <c r="D825" t="s">
        <v>80</v>
      </c>
      <c r="E825" s="1">
        <v>45738</v>
      </c>
      <c r="F825" s="1">
        <v>45768</v>
      </c>
      <c r="G825" t="s">
        <v>81</v>
      </c>
      <c r="H825">
        <v>9524</v>
      </c>
      <c r="I825" t="s">
        <v>65</v>
      </c>
      <c r="J825" t="b">
        <v>0</v>
      </c>
      <c r="K825">
        <v>30</v>
      </c>
      <c r="L825">
        <v>4</v>
      </c>
      <c r="M825">
        <v>2025</v>
      </c>
      <c r="N825">
        <v>0</v>
      </c>
      <c r="O825">
        <v>3</v>
      </c>
      <c r="P825">
        <v>2025</v>
      </c>
      <c r="Q825">
        <v>5</v>
      </c>
      <c r="R825" t="s">
        <v>40</v>
      </c>
      <c r="S825" t="s">
        <v>67</v>
      </c>
      <c r="T825" t="s">
        <v>42</v>
      </c>
      <c r="U825" t="s">
        <v>40</v>
      </c>
      <c r="V825" t="s">
        <v>131</v>
      </c>
      <c r="W825" t="s">
        <v>132</v>
      </c>
      <c r="X825" t="s">
        <v>45</v>
      </c>
      <c r="Y825">
        <v>110</v>
      </c>
      <c r="Z825" t="s">
        <v>84</v>
      </c>
      <c r="AA825" t="s">
        <v>85</v>
      </c>
      <c r="AB825" s="1">
        <v>45768</v>
      </c>
      <c r="AC825" t="s">
        <v>40</v>
      </c>
      <c r="AD825" t="s">
        <v>40</v>
      </c>
      <c r="AE825" t="s">
        <v>69</v>
      </c>
      <c r="AF825" t="s">
        <v>40</v>
      </c>
      <c r="AG825">
        <v>0</v>
      </c>
      <c r="AH825" t="s">
        <v>70</v>
      </c>
    </row>
    <row r="826" spans="1:34" x14ac:dyDescent="0.3">
      <c r="A826" t="s">
        <v>1400</v>
      </c>
      <c r="B826" t="s">
        <v>1261</v>
      </c>
      <c r="C826" t="s">
        <v>97</v>
      </c>
      <c r="D826" t="s">
        <v>80</v>
      </c>
      <c r="E826" s="1">
        <v>46256</v>
      </c>
      <c r="F826" s="1">
        <v>46259</v>
      </c>
      <c r="G826" t="s">
        <v>81</v>
      </c>
      <c r="H826">
        <v>6691</v>
      </c>
      <c r="I826" t="s">
        <v>39</v>
      </c>
      <c r="J826" t="b">
        <v>0</v>
      </c>
      <c r="K826">
        <v>3</v>
      </c>
      <c r="L826">
        <v>8</v>
      </c>
      <c r="M826">
        <v>2026</v>
      </c>
      <c r="N826">
        <v>1</v>
      </c>
      <c r="O826">
        <v>8</v>
      </c>
      <c r="P826">
        <v>2026</v>
      </c>
      <c r="Q826">
        <v>5</v>
      </c>
      <c r="R826" t="s">
        <v>40</v>
      </c>
      <c r="S826" t="s">
        <v>55</v>
      </c>
      <c r="T826" t="s">
        <v>42</v>
      </c>
      <c r="U826" t="s">
        <v>40</v>
      </c>
      <c r="V826" t="s">
        <v>98</v>
      </c>
      <c r="W826" t="s">
        <v>99</v>
      </c>
      <c r="X826" t="s">
        <v>76</v>
      </c>
      <c r="Y826">
        <v>80</v>
      </c>
      <c r="Z826" t="s">
        <v>84</v>
      </c>
      <c r="AA826" t="s">
        <v>85</v>
      </c>
      <c r="AB826" s="1">
        <v>46259</v>
      </c>
      <c r="AC826" t="s">
        <v>40</v>
      </c>
      <c r="AD826" t="s">
        <v>40</v>
      </c>
      <c r="AE826" t="s">
        <v>86</v>
      </c>
      <c r="AF826" t="s">
        <v>40</v>
      </c>
      <c r="AG826">
        <v>0</v>
      </c>
      <c r="AH826" t="s">
        <v>100</v>
      </c>
    </row>
    <row r="827" spans="1:34" x14ac:dyDescent="0.3">
      <c r="A827" t="s">
        <v>1401</v>
      </c>
      <c r="B827" t="s">
        <v>1402</v>
      </c>
      <c r="C827" t="s">
        <v>103</v>
      </c>
      <c r="D827" t="s">
        <v>80</v>
      </c>
      <c r="E827" s="1">
        <v>45792</v>
      </c>
      <c r="F827" s="1">
        <v>45806</v>
      </c>
      <c r="G827" t="s">
        <v>64</v>
      </c>
      <c r="H827">
        <v>3010</v>
      </c>
      <c r="I827" t="s">
        <v>39</v>
      </c>
      <c r="J827" t="b">
        <v>0</v>
      </c>
      <c r="K827">
        <v>14</v>
      </c>
      <c r="L827">
        <v>5</v>
      </c>
      <c r="M827">
        <v>2025</v>
      </c>
      <c r="N827">
        <v>3</v>
      </c>
      <c r="O827">
        <v>5</v>
      </c>
      <c r="P827">
        <v>2025</v>
      </c>
      <c r="Q827">
        <v>3</v>
      </c>
      <c r="R827" t="s">
        <v>40</v>
      </c>
      <c r="S827" t="s">
        <v>55</v>
      </c>
      <c r="T827" t="s">
        <v>68</v>
      </c>
      <c r="U827" t="s">
        <v>40</v>
      </c>
      <c r="V827" t="s">
        <v>105</v>
      </c>
      <c r="W827" t="s">
        <v>106</v>
      </c>
      <c r="X827" t="s">
        <v>45</v>
      </c>
      <c r="Y827">
        <v>140</v>
      </c>
      <c r="Z827" t="s">
        <v>84</v>
      </c>
      <c r="AA827" t="s">
        <v>85</v>
      </c>
      <c r="AB827" s="1">
        <v>45806</v>
      </c>
      <c r="AC827" t="s">
        <v>40</v>
      </c>
      <c r="AD827" t="s">
        <v>40</v>
      </c>
      <c r="AE827" t="s">
        <v>69</v>
      </c>
      <c r="AF827" t="s">
        <v>40</v>
      </c>
      <c r="AG827">
        <v>0</v>
      </c>
      <c r="AH827" t="s">
        <v>70</v>
      </c>
    </row>
    <row r="828" spans="1:34" x14ac:dyDescent="0.3">
      <c r="A828" t="s">
        <v>1403</v>
      </c>
      <c r="B828" t="s">
        <v>637</v>
      </c>
      <c r="C828" t="s">
        <v>146</v>
      </c>
      <c r="D828" t="s">
        <v>104</v>
      </c>
      <c r="E828" s="1">
        <v>46018</v>
      </c>
      <c r="F828" s="1">
        <v>46078</v>
      </c>
      <c r="G828" t="s">
        <v>41</v>
      </c>
      <c r="H828">
        <v>7581</v>
      </c>
      <c r="I828" t="s">
        <v>212</v>
      </c>
      <c r="J828" t="b">
        <v>0</v>
      </c>
      <c r="K828">
        <v>60</v>
      </c>
      <c r="L828">
        <v>2</v>
      </c>
      <c r="M828">
        <v>2026</v>
      </c>
      <c r="N828">
        <v>2</v>
      </c>
      <c r="O828">
        <v>12</v>
      </c>
      <c r="P828">
        <v>2025</v>
      </c>
      <c r="Q828">
        <v>5</v>
      </c>
      <c r="R828" t="s">
        <v>40</v>
      </c>
      <c r="S828" t="s">
        <v>45</v>
      </c>
      <c r="T828" t="s">
        <v>42</v>
      </c>
      <c r="U828" t="s">
        <v>40</v>
      </c>
      <c r="V828" t="s">
        <v>147</v>
      </c>
      <c r="W828" t="s">
        <v>148</v>
      </c>
      <c r="X828" t="s">
        <v>45</v>
      </c>
      <c r="Y828">
        <v>160</v>
      </c>
      <c r="Z828" t="s">
        <v>107</v>
      </c>
      <c r="AA828" t="s">
        <v>108</v>
      </c>
      <c r="AB828" s="1">
        <v>46078</v>
      </c>
      <c r="AC828" t="s">
        <v>40</v>
      </c>
      <c r="AD828" t="s">
        <v>40</v>
      </c>
      <c r="AE828" t="s">
        <v>60</v>
      </c>
      <c r="AF828" t="s">
        <v>40</v>
      </c>
      <c r="AG828">
        <v>0</v>
      </c>
      <c r="AH828" t="s">
        <v>61</v>
      </c>
    </row>
    <row r="829" spans="1:34" x14ac:dyDescent="0.3">
      <c r="A829" t="s">
        <v>1404</v>
      </c>
      <c r="B829" t="s">
        <v>269</v>
      </c>
      <c r="C829" t="s">
        <v>146</v>
      </c>
      <c r="D829" t="s">
        <v>80</v>
      </c>
      <c r="E829" s="1">
        <v>46203</v>
      </c>
      <c r="F829" s="1">
        <v>46217</v>
      </c>
      <c r="G829" t="s">
        <v>41</v>
      </c>
      <c r="H829">
        <v>8383</v>
      </c>
      <c r="I829" t="s">
        <v>65</v>
      </c>
      <c r="J829" t="b">
        <v>0</v>
      </c>
      <c r="K829">
        <v>14</v>
      </c>
      <c r="L829">
        <v>7</v>
      </c>
      <c r="M829">
        <v>2026</v>
      </c>
      <c r="N829">
        <v>1</v>
      </c>
      <c r="O829">
        <v>6</v>
      </c>
      <c r="P829">
        <v>2026</v>
      </c>
      <c r="Q829">
        <v>1</v>
      </c>
      <c r="R829" t="s">
        <v>40</v>
      </c>
      <c r="S829" t="s">
        <v>45</v>
      </c>
      <c r="T829" t="s">
        <v>42</v>
      </c>
      <c r="U829" t="s">
        <v>40</v>
      </c>
      <c r="V829" t="s">
        <v>147</v>
      </c>
      <c r="W829" t="s">
        <v>148</v>
      </c>
      <c r="X829" t="s">
        <v>45</v>
      </c>
      <c r="Y829">
        <v>160</v>
      </c>
      <c r="Z829" t="s">
        <v>84</v>
      </c>
      <c r="AA829" t="s">
        <v>85</v>
      </c>
      <c r="AB829" s="1">
        <v>46217</v>
      </c>
      <c r="AC829" t="s">
        <v>40</v>
      </c>
      <c r="AD829" t="s">
        <v>40</v>
      </c>
      <c r="AE829" t="s">
        <v>86</v>
      </c>
      <c r="AF829" t="s">
        <v>40</v>
      </c>
      <c r="AG829">
        <v>0</v>
      </c>
      <c r="AH829" t="s">
        <v>70</v>
      </c>
    </row>
    <row r="830" spans="1:34" x14ac:dyDescent="0.3">
      <c r="A830" t="s">
        <v>1405</v>
      </c>
      <c r="B830" t="s">
        <v>1058</v>
      </c>
      <c r="C830" t="s">
        <v>169</v>
      </c>
      <c r="D830" t="s">
        <v>130</v>
      </c>
      <c r="E830" s="1">
        <v>46203</v>
      </c>
      <c r="F830" s="1">
        <v>46303</v>
      </c>
      <c r="G830" t="s">
        <v>41</v>
      </c>
      <c r="H830">
        <v>7376</v>
      </c>
      <c r="I830" t="s">
        <v>39</v>
      </c>
      <c r="J830" t="b">
        <v>0</v>
      </c>
      <c r="K830">
        <v>100</v>
      </c>
      <c r="L830">
        <v>10</v>
      </c>
      <c r="M830">
        <v>2026</v>
      </c>
      <c r="N830">
        <v>3</v>
      </c>
      <c r="O830">
        <v>6</v>
      </c>
      <c r="P830">
        <v>2026</v>
      </c>
      <c r="Q830">
        <v>1</v>
      </c>
      <c r="R830" t="s">
        <v>40</v>
      </c>
      <c r="S830" t="s">
        <v>41</v>
      </c>
      <c r="T830" t="s">
        <v>42</v>
      </c>
      <c r="U830" t="s">
        <v>40</v>
      </c>
      <c r="V830" t="s">
        <v>170</v>
      </c>
      <c r="W830" t="s">
        <v>171</v>
      </c>
      <c r="X830" t="s">
        <v>126</v>
      </c>
      <c r="Y830">
        <v>90</v>
      </c>
      <c r="Z830" t="s">
        <v>133</v>
      </c>
      <c r="AA830" t="s">
        <v>134</v>
      </c>
      <c r="AB830" s="1">
        <v>46303</v>
      </c>
      <c r="AC830" t="s">
        <v>40</v>
      </c>
      <c r="AD830" t="s">
        <v>40</v>
      </c>
      <c r="AE830" t="s">
        <v>60</v>
      </c>
      <c r="AF830" t="s">
        <v>40</v>
      </c>
      <c r="AG830">
        <v>0</v>
      </c>
      <c r="AH830" t="s">
        <v>49</v>
      </c>
    </row>
    <row r="831" spans="1:34" x14ac:dyDescent="0.3">
      <c r="A831" t="s">
        <v>1406</v>
      </c>
      <c r="B831" t="s">
        <v>509</v>
      </c>
      <c r="C831" t="s">
        <v>155</v>
      </c>
      <c r="D831" t="s">
        <v>90</v>
      </c>
      <c r="E831" s="1">
        <v>45799</v>
      </c>
      <c r="F831" s="1">
        <v>45829</v>
      </c>
      <c r="G831" t="s">
        <v>64</v>
      </c>
      <c r="H831">
        <v>3368</v>
      </c>
      <c r="I831" t="s">
        <v>39</v>
      </c>
      <c r="J831" t="b">
        <v>0</v>
      </c>
      <c r="K831">
        <v>30</v>
      </c>
      <c r="L831">
        <v>6</v>
      </c>
      <c r="M831">
        <v>2025</v>
      </c>
      <c r="N831">
        <v>5</v>
      </c>
      <c r="O831">
        <v>5</v>
      </c>
      <c r="P831">
        <v>2025</v>
      </c>
      <c r="Q831">
        <v>3</v>
      </c>
      <c r="R831" t="s">
        <v>66</v>
      </c>
      <c r="S831" t="s">
        <v>45</v>
      </c>
      <c r="T831" t="s">
        <v>42</v>
      </c>
      <c r="U831" t="s">
        <v>66</v>
      </c>
      <c r="V831" t="s">
        <v>156</v>
      </c>
      <c r="W831" t="s">
        <v>157</v>
      </c>
      <c r="X831" t="s">
        <v>158</v>
      </c>
      <c r="Y831">
        <v>70</v>
      </c>
      <c r="Z831" t="s">
        <v>93</v>
      </c>
      <c r="AA831" t="s">
        <v>94</v>
      </c>
      <c r="AB831" s="1">
        <v>45829</v>
      </c>
      <c r="AC831" t="s">
        <v>66</v>
      </c>
      <c r="AD831" t="s">
        <v>40</v>
      </c>
      <c r="AE831" t="s">
        <v>60</v>
      </c>
      <c r="AF831" t="s">
        <v>40</v>
      </c>
      <c r="AG831">
        <v>0</v>
      </c>
      <c r="AH831" t="s">
        <v>70</v>
      </c>
    </row>
    <row r="832" spans="1:34" x14ac:dyDescent="0.3">
      <c r="A832" t="s">
        <v>1407</v>
      </c>
      <c r="B832" t="s">
        <v>1408</v>
      </c>
      <c r="C832" t="s">
        <v>79</v>
      </c>
      <c r="D832" t="s">
        <v>130</v>
      </c>
      <c r="E832" s="1">
        <v>46273</v>
      </c>
      <c r="F832" s="1">
        <v>46373</v>
      </c>
      <c r="G832" t="s">
        <v>41</v>
      </c>
      <c r="H832">
        <v>6875</v>
      </c>
      <c r="I832" t="s">
        <v>39</v>
      </c>
      <c r="J832" t="b">
        <v>0</v>
      </c>
      <c r="K832">
        <v>100</v>
      </c>
      <c r="L832">
        <v>12</v>
      </c>
      <c r="M832">
        <v>2026</v>
      </c>
      <c r="N832">
        <v>3</v>
      </c>
      <c r="O832">
        <v>9</v>
      </c>
      <c r="P832">
        <v>2026</v>
      </c>
      <c r="Q832">
        <v>1</v>
      </c>
      <c r="R832" t="s">
        <v>40</v>
      </c>
      <c r="S832" t="s">
        <v>45</v>
      </c>
      <c r="T832" t="s">
        <v>113</v>
      </c>
      <c r="U832" t="s">
        <v>66</v>
      </c>
      <c r="V832" t="s">
        <v>82</v>
      </c>
      <c r="W832" t="s">
        <v>83</v>
      </c>
      <c r="X832" t="s">
        <v>76</v>
      </c>
      <c r="Y832">
        <v>100</v>
      </c>
      <c r="Z832" t="s">
        <v>133</v>
      </c>
      <c r="AA832" t="s">
        <v>134</v>
      </c>
      <c r="AB832" s="1">
        <v>46373</v>
      </c>
      <c r="AC832" t="s">
        <v>40</v>
      </c>
      <c r="AD832" t="s">
        <v>40</v>
      </c>
      <c r="AE832" t="s">
        <v>69</v>
      </c>
      <c r="AF832" t="s">
        <v>40</v>
      </c>
      <c r="AG832">
        <v>0</v>
      </c>
      <c r="AH832" t="s">
        <v>49</v>
      </c>
    </row>
    <row r="833" spans="1:34" x14ac:dyDescent="0.3">
      <c r="A833" t="s">
        <v>1409</v>
      </c>
      <c r="B833" t="s">
        <v>1410</v>
      </c>
      <c r="C833" t="s">
        <v>79</v>
      </c>
      <c r="D833" t="s">
        <v>90</v>
      </c>
      <c r="E833" s="1">
        <v>45958</v>
      </c>
      <c r="F833" s="1">
        <v>45959</v>
      </c>
      <c r="G833" t="s">
        <v>64</v>
      </c>
      <c r="H833">
        <v>3382</v>
      </c>
      <c r="I833" t="s">
        <v>39</v>
      </c>
      <c r="J833" t="b">
        <v>0</v>
      </c>
      <c r="K833">
        <v>1</v>
      </c>
      <c r="L833">
        <v>10</v>
      </c>
      <c r="M833">
        <v>2025</v>
      </c>
      <c r="N833">
        <v>2</v>
      </c>
      <c r="O833">
        <v>10</v>
      </c>
      <c r="P833">
        <v>2025</v>
      </c>
      <c r="Q833">
        <v>1</v>
      </c>
      <c r="R833" t="s">
        <v>40</v>
      </c>
      <c r="S833" t="s">
        <v>45</v>
      </c>
      <c r="T833" t="s">
        <v>42</v>
      </c>
      <c r="U833" t="s">
        <v>40</v>
      </c>
      <c r="V833" t="s">
        <v>82</v>
      </c>
      <c r="W833" t="s">
        <v>83</v>
      </c>
      <c r="X833" t="s">
        <v>76</v>
      </c>
      <c r="Y833">
        <v>100</v>
      </c>
      <c r="Z833" t="s">
        <v>93</v>
      </c>
      <c r="AA833" t="s">
        <v>94</v>
      </c>
      <c r="AB833" s="1">
        <v>45959</v>
      </c>
      <c r="AC833" t="s">
        <v>40</v>
      </c>
      <c r="AD833" t="s">
        <v>40</v>
      </c>
      <c r="AE833" t="s">
        <v>60</v>
      </c>
      <c r="AF833" t="s">
        <v>40</v>
      </c>
      <c r="AG833">
        <v>0</v>
      </c>
      <c r="AH833" t="s">
        <v>100</v>
      </c>
    </row>
    <row r="834" spans="1:34" x14ac:dyDescent="0.3">
      <c r="A834" t="s">
        <v>1411</v>
      </c>
      <c r="B834" t="s">
        <v>511</v>
      </c>
      <c r="C834" t="s">
        <v>122</v>
      </c>
      <c r="D834" t="s">
        <v>80</v>
      </c>
      <c r="E834" s="1">
        <v>46314</v>
      </c>
      <c r="F834" s="1">
        <v>46317</v>
      </c>
      <c r="G834" t="s">
        <v>81</v>
      </c>
      <c r="H834">
        <v>7072</v>
      </c>
      <c r="I834" t="s">
        <v>39</v>
      </c>
      <c r="J834" t="b">
        <v>0</v>
      </c>
      <c r="K834">
        <v>3</v>
      </c>
      <c r="L834">
        <v>10</v>
      </c>
      <c r="M834">
        <v>2026</v>
      </c>
      <c r="N834">
        <v>3</v>
      </c>
      <c r="O834">
        <v>10</v>
      </c>
      <c r="P834">
        <v>2026</v>
      </c>
      <c r="Q834">
        <v>0</v>
      </c>
      <c r="R834" t="s">
        <v>40</v>
      </c>
      <c r="S834" t="s">
        <v>55</v>
      </c>
      <c r="T834" t="s">
        <v>42</v>
      </c>
      <c r="U834" t="s">
        <v>40</v>
      </c>
      <c r="V834" t="s">
        <v>124</v>
      </c>
      <c r="W834" t="s">
        <v>125</v>
      </c>
      <c r="X834" t="s">
        <v>126</v>
      </c>
      <c r="Y834">
        <v>85</v>
      </c>
      <c r="Z834" t="s">
        <v>84</v>
      </c>
      <c r="AA834" t="s">
        <v>85</v>
      </c>
      <c r="AB834" s="1">
        <v>46317</v>
      </c>
      <c r="AC834" t="s">
        <v>40</v>
      </c>
      <c r="AD834" t="s">
        <v>40</v>
      </c>
      <c r="AE834" t="s">
        <v>60</v>
      </c>
      <c r="AF834" t="s">
        <v>40</v>
      </c>
      <c r="AG834">
        <v>0</v>
      </c>
      <c r="AH834" t="s">
        <v>100</v>
      </c>
    </row>
    <row r="835" spans="1:34" x14ac:dyDescent="0.3">
      <c r="A835" t="s">
        <v>1412</v>
      </c>
      <c r="B835" t="s">
        <v>933</v>
      </c>
      <c r="C835" t="s">
        <v>122</v>
      </c>
      <c r="D835" t="s">
        <v>104</v>
      </c>
      <c r="E835" s="1">
        <v>45730</v>
      </c>
      <c r="F835" s="1">
        <v>45790</v>
      </c>
      <c r="G835" t="s">
        <v>81</v>
      </c>
      <c r="H835">
        <v>11800</v>
      </c>
      <c r="I835" t="s">
        <v>65</v>
      </c>
      <c r="J835" t="b">
        <v>0</v>
      </c>
      <c r="K835">
        <v>60</v>
      </c>
      <c r="L835">
        <v>5</v>
      </c>
      <c r="M835">
        <v>2025</v>
      </c>
      <c r="N835">
        <v>1</v>
      </c>
      <c r="O835">
        <v>3</v>
      </c>
      <c r="P835">
        <v>2025</v>
      </c>
      <c r="Q835">
        <v>4</v>
      </c>
      <c r="R835" t="s">
        <v>40</v>
      </c>
      <c r="S835" t="s">
        <v>55</v>
      </c>
      <c r="T835" t="s">
        <v>42</v>
      </c>
      <c r="U835" t="s">
        <v>40</v>
      </c>
      <c r="V835" t="s">
        <v>124</v>
      </c>
      <c r="W835" t="s">
        <v>125</v>
      </c>
      <c r="X835" t="s">
        <v>126</v>
      </c>
      <c r="Y835">
        <v>85</v>
      </c>
      <c r="Z835" t="s">
        <v>107</v>
      </c>
      <c r="AA835" t="s">
        <v>108</v>
      </c>
      <c r="AB835" s="1">
        <v>45790</v>
      </c>
      <c r="AC835" t="s">
        <v>40</v>
      </c>
      <c r="AD835" t="s">
        <v>40</v>
      </c>
      <c r="AE835" t="s">
        <v>69</v>
      </c>
      <c r="AF835" t="s">
        <v>40</v>
      </c>
      <c r="AG835">
        <v>0</v>
      </c>
      <c r="AH835" t="s">
        <v>61</v>
      </c>
    </row>
    <row r="836" spans="1:34" x14ac:dyDescent="0.3">
      <c r="A836" t="s">
        <v>1413</v>
      </c>
      <c r="B836" t="s">
        <v>1414</v>
      </c>
      <c r="C836" t="s">
        <v>169</v>
      </c>
      <c r="D836" t="s">
        <v>104</v>
      </c>
      <c r="E836" s="1">
        <v>45698</v>
      </c>
      <c r="F836" s="1">
        <v>45712</v>
      </c>
      <c r="G836" t="s">
        <v>41</v>
      </c>
      <c r="H836">
        <v>5597</v>
      </c>
      <c r="I836" t="s">
        <v>39</v>
      </c>
      <c r="J836" t="b">
        <v>0</v>
      </c>
      <c r="K836">
        <v>14</v>
      </c>
      <c r="L836">
        <v>2</v>
      </c>
      <c r="M836">
        <v>2025</v>
      </c>
      <c r="N836">
        <v>0</v>
      </c>
      <c r="O836">
        <v>2</v>
      </c>
      <c r="P836">
        <v>2025</v>
      </c>
      <c r="Q836">
        <v>0</v>
      </c>
      <c r="R836" t="s">
        <v>40</v>
      </c>
      <c r="S836" t="s">
        <v>55</v>
      </c>
      <c r="T836" t="s">
        <v>42</v>
      </c>
      <c r="U836" t="s">
        <v>40</v>
      </c>
      <c r="V836" t="s">
        <v>170</v>
      </c>
      <c r="W836" t="s">
        <v>171</v>
      </c>
      <c r="X836" t="s">
        <v>126</v>
      </c>
      <c r="Y836">
        <v>90</v>
      </c>
      <c r="Z836" t="s">
        <v>107</v>
      </c>
      <c r="AA836" t="s">
        <v>108</v>
      </c>
      <c r="AB836" s="1">
        <v>45712</v>
      </c>
      <c r="AC836" t="s">
        <v>40</v>
      </c>
      <c r="AD836" t="s">
        <v>40</v>
      </c>
      <c r="AE836" t="s">
        <v>60</v>
      </c>
      <c r="AF836" t="s">
        <v>40</v>
      </c>
      <c r="AG836">
        <v>0</v>
      </c>
      <c r="AH836" t="s">
        <v>70</v>
      </c>
    </row>
    <row r="837" spans="1:34" x14ac:dyDescent="0.3">
      <c r="A837" t="s">
        <v>1415</v>
      </c>
      <c r="B837" t="s">
        <v>760</v>
      </c>
      <c r="C837" t="s">
        <v>89</v>
      </c>
      <c r="D837" t="s">
        <v>90</v>
      </c>
      <c r="E837" s="1">
        <v>46033</v>
      </c>
      <c r="F837" s="1">
        <v>46047</v>
      </c>
      <c r="G837" t="s">
        <v>81</v>
      </c>
      <c r="H837">
        <v>10453</v>
      </c>
      <c r="I837" t="s">
        <v>65</v>
      </c>
      <c r="J837" t="b">
        <v>0</v>
      </c>
      <c r="K837">
        <v>14</v>
      </c>
      <c r="L837">
        <v>1</v>
      </c>
      <c r="M837">
        <v>2026</v>
      </c>
      <c r="N837">
        <v>6</v>
      </c>
      <c r="O837">
        <v>1</v>
      </c>
      <c r="P837">
        <v>2026</v>
      </c>
      <c r="Q837">
        <v>6</v>
      </c>
      <c r="R837" t="s">
        <v>66</v>
      </c>
      <c r="S837" t="s">
        <v>55</v>
      </c>
      <c r="T837" t="s">
        <v>42</v>
      </c>
      <c r="U837" t="s">
        <v>40</v>
      </c>
      <c r="V837" t="s">
        <v>91</v>
      </c>
      <c r="W837" t="s">
        <v>92</v>
      </c>
      <c r="X837" t="s">
        <v>76</v>
      </c>
      <c r="Y837">
        <v>65</v>
      </c>
      <c r="Z837" t="s">
        <v>93</v>
      </c>
      <c r="AA837" t="s">
        <v>94</v>
      </c>
      <c r="AB837" s="1">
        <v>46047</v>
      </c>
      <c r="AC837" t="s">
        <v>66</v>
      </c>
      <c r="AD837" t="s">
        <v>40</v>
      </c>
      <c r="AE837" t="s">
        <v>86</v>
      </c>
      <c r="AF837" t="s">
        <v>40</v>
      </c>
      <c r="AG837">
        <v>0</v>
      </c>
      <c r="AH837" t="s">
        <v>70</v>
      </c>
    </row>
    <row r="838" spans="1:34" x14ac:dyDescent="0.3">
      <c r="A838" t="s">
        <v>1416</v>
      </c>
      <c r="B838" t="s">
        <v>972</v>
      </c>
      <c r="C838" t="s">
        <v>89</v>
      </c>
      <c r="D838" t="s">
        <v>104</v>
      </c>
      <c r="E838" s="1">
        <v>45908</v>
      </c>
      <c r="F838" s="1">
        <v>45968</v>
      </c>
      <c r="G838" t="s">
        <v>81</v>
      </c>
      <c r="H838">
        <v>9208</v>
      </c>
      <c r="I838" t="s">
        <v>39</v>
      </c>
      <c r="J838" t="b">
        <v>0</v>
      </c>
      <c r="K838">
        <v>60</v>
      </c>
      <c r="L838">
        <v>11</v>
      </c>
      <c r="M838">
        <v>2025</v>
      </c>
      <c r="N838">
        <v>4</v>
      </c>
      <c r="O838">
        <v>9</v>
      </c>
      <c r="P838">
        <v>2025</v>
      </c>
      <c r="Q838">
        <v>0</v>
      </c>
      <c r="R838" t="s">
        <v>40</v>
      </c>
      <c r="S838" t="s">
        <v>45</v>
      </c>
      <c r="T838" t="s">
        <v>42</v>
      </c>
      <c r="U838" t="s">
        <v>40</v>
      </c>
      <c r="V838" t="s">
        <v>91</v>
      </c>
      <c r="W838" t="s">
        <v>92</v>
      </c>
      <c r="X838" t="s">
        <v>76</v>
      </c>
      <c r="Y838">
        <v>65</v>
      </c>
      <c r="Z838" t="s">
        <v>107</v>
      </c>
      <c r="AA838" t="s">
        <v>108</v>
      </c>
      <c r="AB838" s="1">
        <v>45968</v>
      </c>
      <c r="AC838" t="s">
        <v>40</v>
      </c>
      <c r="AD838" t="s">
        <v>40</v>
      </c>
      <c r="AE838" t="s">
        <v>86</v>
      </c>
      <c r="AF838" t="s">
        <v>40</v>
      </c>
      <c r="AG838">
        <v>0</v>
      </c>
      <c r="AH838" t="s">
        <v>61</v>
      </c>
    </row>
    <row r="839" spans="1:34" x14ac:dyDescent="0.3">
      <c r="A839" t="s">
        <v>1417</v>
      </c>
      <c r="B839" t="s">
        <v>255</v>
      </c>
      <c r="C839" t="s">
        <v>97</v>
      </c>
      <c r="D839" t="s">
        <v>90</v>
      </c>
      <c r="E839" s="1">
        <v>46192</v>
      </c>
      <c r="F839" s="1">
        <v>46199</v>
      </c>
      <c r="G839" t="s">
        <v>38</v>
      </c>
      <c r="H839">
        <v>4985</v>
      </c>
      <c r="I839" t="s">
        <v>39</v>
      </c>
      <c r="J839" t="b">
        <v>0</v>
      </c>
      <c r="K839">
        <v>7</v>
      </c>
      <c r="L839">
        <v>6</v>
      </c>
      <c r="M839">
        <v>2026</v>
      </c>
      <c r="N839">
        <v>4</v>
      </c>
      <c r="O839">
        <v>6</v>
      </c>
      <c r="P839">
        <v>2026</v>
      </c>
      <c r="Q839">
        <v>4</v>
      </c>
      <c r="R839" t="s">
        <v>40</v>
      </c>
      <c r="S839" t="s">
        <v>45</v>
      </c>
      <c r="T839" t="s">
        <v>68</v>
      </c>
      <c r="U839" t="s">
        <v>40</v>
      </c>
      <c r="V839" t="s">
        <v>98</v>
      </c>
      <c r="W839" t="s">
        <v>99</v>
      </c>
      <c r="X839" t="s">
        <v>76</v>
      </c>
      <c r="Y839">
        <v>80</v>
      </c>
      <c r="Z839" t="s">
        <v>93</v>
      </c>
      <c r="AA839" t="s">
        <v>94</v>
      </c>
      <c r="AB839" s="1">
        <v>46199</v>
      </c>
      <c r="AC839" t="s">
        <v>40</v>
      </c>
      <c r="AD839" t="s">
        <v>40</v>
      </c>
      <c r="AE839" t="s">
        <v>60</v>
      </c>
      <c r="AF839" t="s">
        <v>40</v>
      </c>
      <c r="AG839">
        <v>0</v>
      </c>
      <c r="AH839" t="s">
        <v>100</v>
      </c>
    </row>
    <row r="840" spans="1:34" x14ac:dyDescent="0.3">
      <c r="A840" t="s">
        <v>1418</v>
      </c>
      <c r="B840" t="s">
        <v>1419</v>
      </c>
      <c r="C840" t="s">
        <v>89</v>
      </c>
      <c r="D840" t="s">
        <v>104</v>
      </c>
      <c r="E840" s="1">
        <v>46347</v>
      </c>
      <c r="F840" s="1">
        <v>46354</v>
      </c>
      <c r="G840" t="s">
        <v>38</v>
      </c>
      <c r="H840">
        <v>4697</v>
      </c>
      <c r="I840" t="s">
        <v>54</v>
      </c>
      <c r="J840" t="b">
        <v>0</v>
      </c>
      <c r="K840">
        <v>7</v>
      </c>
      <c r="L840">
        <v>11</v>
      </c>
      <c r="M840">
        <v>2026</v>
      </c>
      <c r="N840">
        <v>5</v>
      </c>
      <c r="O840">
        <v>11</v>
      </c>
      <c r="P840">
        <v>2026</v>
      </c>
      <c r="Q840">
        <v>5</v>
      </c>
      <c r="R840" t="s">
        <v>66</v>
      </c>
      <c r="S840" t="s">
        <v>41</v>
      </c>
      <c r="T840" t="s">
        <v>42</v>
      </c>
      <c r="U840" t="s">
        <v>40</v>
      </c>
      <c r="V840" t="s">
        <v>91</v>
      </c>
      <c r="W840" t="s">
        <v>92</v>
      </c>
      <c r="X840" t="s">
        <v>76</v>
      </c>
      <c r="Y840">
        <v>65</v>
      </c>
      <c r="Z840" t="s">
        <v>107</v>
      </c>
      <c r="AA840" t="s">
        <v>108</v>
      </c>
      <c r="AB840" s="1">
        <v>46354</v>
      </c>
      <c r="AC840" t="s">
        <v>66</v>
      </c>
      <c r="AD840" t="s">
        <v>40</v>
      </c>
      <c r="AE840" t="s">
        <v>86</v>
      </c>
      <c r="AF840" t="s">
        <v>40</v>
      </c>
      <c r="AG840">
        <v>1</v>
      </c>
      <c r="AH840" t="s">
        <v>100</v>
      </c>
    </row>
    <row r="841" spans="1:34" x14ac:dyDescent="0.3">
      <c r="A841" t="s">
        <v>1420</v>
      </c>
      <c r="B841" t="s">
        <v>1024</v>
      </c>
      <c r="C841" t="s">
        <v>155</v>
      </c>
      <c r="D841" t="s">
        <v>53</v>
      </c>
      <c r="E841" s="1">
        <v>45809</v>
      </c>
      <c r="F841" s="1">
        <v>45839</v>
      </c>
      <c r="G841" t="s">
        <v>81</v>
      </c>
      <c r="H841">
        <v>10733</v>
      </c>
      <c r="I841" t="s">
        <v>212</v>
      </c>
      <c r="J841" t="b">
        <v>0</v>
      </c>
      <c r="K841">
        <v>30</v>
      </c>
      <c r="L841">
        <v>7</v>
      </c>
      <c r="M841">
        <v>2025</v>
      </c>
      <c r="N841">
        <v>1</v>
      </c>
      <c r="O841">
        <v>6</v>
      </c>
      <c r="P841">
        <v>2025</v>
      </c>
      <c r="Q841">
        <v>6</v>
      </c>
      <c r="R841" t="s">
        <v>40</v>
      </c>
      <c r="S841" t="s">
        <v>45</v>
      </c>
      <c r="T841" t="s">
        <v>42</v>
      </c>
      <c r="U841" t="s">
        <v>66</v>
      </c>
      <c r="V841" t="s">
        <v>156</v>
      </c>
      <c r="W841" t="s">
        <v>157</v>
      </c>
      <c r="X841" t="s">
        <v>158</v>
      </c>
      <c r="Y841">
        <v>70</v>
      </c>
      <c r="Z841" t="s">
        <v>58</v>
      </c>
      <c r="AA841" t="s">
        <v>59</v>
      </c>
      <c r="AB841" s="1">
        <v>45839</v>
      </c>
      <c r="AC841" t="s">
        <v>40</v>
      </c>
      <c r="AD841" t="s">
        <v>40</v>
      </c>
      <c r="AE841" t="s">
        <v>86</v>
      </c>
      <c r="AF841" t="s">
        <v>40</v>
      </c>
      <c r="AG841">
        <v>0</v>
      </c>
      <c r="AH841" t="s">
        <v>70</v>
      </c>
    </row>
    <row r="842" spans="1:34" x14ac:dyDescent="0.3">
      <c r="A842" t="s">
        <v>1421</v>
      </c>
      <c r="B842" t="s">
        <v>1422</v>
      </c>
      <c r="C842" t="s">
        <v>155</v>
      </c>
      <c r="D842" t="s">
        <v>80</v>
      </c>
      <c r="E842" s="1">
        <v>45979</v>
      </c>
      <c r="F842" s="1">
        <v>46009</v>
      </c>
      <c r="G842" t="s">
        <v>41</v>
      </c>
      <c r="H842">
        <v>6974</v>
      </c>
      <c r="I842" t="s">
        <v>39</v>
      </c>
      <c r="J842" t="b">
        <v>0</v>
      </c>
      <c r="K842">
        <v>30</v>
      </c>
      <c r="L842">
        <v>12</v>
      </c>
      <c r="M842">
        <v>2025</v>
      </c>
      <c r="N842">
        <v>3</v>
      </c>
      <c r="O842">
        <v>11</v>
      </c>
      <c r="P842">
        <v>2025</v>
      </c>
      <c r="Q842">
        <v>1</v>
      </c>
      <c r="R842" t="s">
        <v>40</v>
      </c>
      <c r="S842" t="s">
        <v>41</v>
      </c>
      <c r="T842" t="s">
        <v>48</v>
      </c>
      <c r="U842" t="s">
        <v>40</v>
      </c>
      <c r="V842" t="s">
        <v>156</v>
      </c>
      <c r="W842" t="s">
        <v>157</v>
      </c>
      <c r="X842" t="s">
        <v>158</v>
      </c>
      <c r="Y842">
        <v>70</v>
      </c>
      <c r="Z842" t="s">
        <v>84</v>
      </c>
      <c r="AA842" t="s">
        <v>85</v>
      </c>
      <c r="AB842" s="1">
        <v>46009</v>
      </c>
      <c r="AC842" t="s">
        <v>40</v>
      </c>
      <c r="AD842" t="s">
        <v>40</v>
      </c>
      <c r="AE842" t="s">
        <v>69</v>
      </c>
      <c r="AF842" t="s">
        <v>40</v>
      </c>
      <c r="AG842">
        <v>0</v>
      </c>
      <c r="AH842" t="s">
        <v>70</v>
      </c>
    </row>
    <row r="843" spans="1:34" x14ac:dyDescent="0.3">
      <c r="A843" t="s">
        <v>1423</v>
      </c>
      <c r="B843" t="s">
        <v>1424</v>
      </c>
      <c r="C843" t="s">
        <v>79</v>
      </c>
      <c r="D843" t="s">
        <v>90</v>
      </c>
      <c r="E843" s="1">
        <v>45974</v>
      </c>
      <c r="F843" s="1">
        <v>45981</v>
      </c>
      <c r="G843" t="s">
        <v>38</v>
      </c>
      <c r="H843">
        <v>3989</v>
      </c>
      <c r="I843" t="s">
        <v>65</v>
      </c>
      <c r="J843" t="b">
        <v>0</v>
      </c>
      <c r="K843">
        <v>7</v>
      </c>
      <c r="L843">
        <v>11</v>
      </c>
      <c r="M843">
        <v>2025</v>
      </c>
      <c r="N843">
        <v>3</v>
      </c>
      <c r="O843">
        <v>11</v>
      </c>
      <c r="P843">
        <v>2025</v>
      </c>
      <c r="Q843">
        <v>3</v>
      </c>
      <c r="R843" t="s">
        <v>40</v>
      </c>
      <c r="S843" t="s">
        <v>67</v>
      </c>
      <c r="T843" t="s">
        <v>286</v>
      </c>
      <c r="U843" t="s">
        <v>40</v>
      </c>
      <c r="V843" t="s">
        <v>82</v>
      </c>
      <c r="W843" t="s">
        <v>83</v>
      </c>
      <c r="X843" t="s">
        <v>76</v>
      </c>
      <c r="Y843">
        <v>100</v>
      </c>
      <c r="Z843" t="s">
        <v>93</v>
      </c>
      <c r="AA843" t="s">
        <v>94</v>
      </c>
      <c r="AB843" s="1">
        <v>45981</v>
      </c>
      <c r="AC843" t="s">
        <v>40</v>
      </c>
      <c r="AD843" t="s">
        <v>40</v>
      </c>
      <c r="AE843" t="s">
        <v>86</v>
      </c>
      <c r="AF843" t="s">
        <v>40</v>
      </c>
      <c r="AG843">
        <v>0</v>
      </c>
      <c r="AH843" t="s">
        <v>100</v>
      </c>
    </row>
    <row r="844" spans="1:34" x14ac:dyDescent="0.3">
      <c r="A844" t="s">
        <v>1425</v>
      </c>
      <c r="B844" t="s">
        <v>239</v>
      </c>
      <c r="C844" t="s">
        <v>89</v>
      </c>
      <c r="D844" t="s">
        <v>80</v>
      </c>
      <c r="E844" s="1">
        <v>45891</v>
      </c>
      <c r="F844" s="1">
        <v>45951</v>
      </c>
      <c r="G844" t="s">
        <v>81</v>
      </c>
      <c r="H844">
        <v>9199</v>
      </c>
      <c r="I844" t="s">
        <v>39</v>
      </c>
      <c r="J844" t="b">
        <v>0</v>
      </c>
      <c r="K844">
        <v>60</v>
      </c>
      <c r="L844">
        <v>10</v>
      </c>
      <c r="M844">
        <v>2025</v>
      </c>
      <c r="N844">
        <v>1</v>
      </c>
      <c r="O844">
        <v>8</v>
      </c>
      <c r="P844">
        <v>2025</v>
      </c>
      <c r="Q844">
        <v>4</v>
      </c>
      <c r="R844" t="s">
        <v>40</v>
      </c>
      <c r="S844" t="s">
        <v>41</v>
      </c>
      <c r="T844" t="s">
        <v>42</v>
      </c>
      <c r="U844" t="s">
        <v>40</v>
      </c>
      <c r="V844" t="s">
        <v>91</v>
      </c>
      <c r="W844" t="s">
        <v>92</v>
      </c>
      <c r="X844" t="s">
        <v>76</v>
      </c>
      <c r="Y844">
        <v>65</v>
      </c>
      <c r="Z844" t="s">
        <v>84</v>
      </c>
      <c r="AA844" t="s">
        <v>85</v>
      </c>
      <c r="AB844" s="1">
        <v>45951</v>
      </c>
      <c r="AC844" t="s">
        <v>40</v>
      </c>
      <c r="AD844" t="s">
        <v>40</v>
      </c>
      <c r="AE844" t="s">
        <v>60</v>
      </c>
      <c r="AF844" t="s">
        <v>40</v>
      </c>
      <c r="AG844">
        <v>0</v>
      </c>
      <c r="AH844" t="s">
        <v>61</v>
      </c>
    </row>
    <row r="845" spans="1:34" x14ac:dyDescent="0.3">
      <c r="A845" t="s">
        <v>1426</v>
      </c>
      <c r="B845" t="s">
        <v>1000</v>
      </c>
      <c r="C845" t="s">
        <v>36</v>
      </c>
      <c r="D845" t="s">
        <v>130</v>
      </c>
      <c r="E845" s="1">
        <v>46115</v>
      </c>
      <c r="F845" s="1">
        <v>46145</v>
      </c>
      <c r="G845" t="s">
        <v>38</v>
      </c>
      <c r="H845">
        <v>4248</v>
      </c>
      <c r="I845" t="s">
        <v>39</v>
      </c>
      <c r="J845" t="b">
        <v>0</v>
      </c>
      <c r="K845">
        <v>30</v>
      </c>
      <c r="L845">
        <v>5</v>
      </c>
      <c r="M845">
        <v>2026</v>
      </c>
      <c r="N845">
        <v>6</v>
      </c>
      <c r="O845">
        <v>4</v>
      </c>
      <c r="P845">
        <v>2026</v>
      </c>
      <c r="Q845">
        <v>4</v>
      </c>
      <c r="R845" t="s">
        <v>66</v>
      </c>
      <c r="S845" t="s">
        <v>45</v>
      </c>
      <c r="T845" t="s">
        <v>42</v>
      </c>
      <c r="U845" t="s">
        <v>40</v>
      </c>
      <c r="V845" t="s">
        <v>43</v>
      </c>
      <c r="W845" t="s">
        <v>44</v>
      </c>
      <c r="X845" t="s">
        <v>45</v>
      </c>
      <c r="Y845">
        <v>150</v>
      </c>
      <c r="Z845" t="s">
        <v>133</v>
      </c>
      <c r="AA845" t="s">
        <v>134</v>
      </c>
      <c r="AB845" s="1">
        <v>46145</v>
      </c>
      <c r="AC845" t="s">
        <v>66</v>
      </c>
      <c r="AD845" t="s">
        <v>40</v>
      </c>
      <c r="AE845" t="s">
        <v>69</v>
      </c>
      <c r="AF845" t="s">
        <v>40</v>
      </c>
      <c r="AG845">
        <v>0</v>
      </c>
      <c r="AH845" t="s">
        <v>70</v>
      </c>
    </row>
    <row r="846" spans="1:34" x14ac:dyDescent="0.3">
      <c r="A846" t="s">
        <v>1427</v>
      </c>
      <c r="B846" t="s">
        <v>415</v>
      </c>
      <c r="C846" t="s">
        <v>155</v>
      </c>
      <c r="D846" t="s">
        <v>53</v>
      </c>
      <c r="E846" s="1">
        <v>46223</v>
      </c>
      <c r="F846" s="1">
        <v>46230</v>
      </c>
      <c r="G846" t="s">
        <v>38</v>
      </c>
      <c r="H846">
        <v>4042</v>
      </c>
      <c r="I846" t="s">
        <v>54</v>
      </c>
      <c r="J846" t="b">
        <v>0</v>
      </c>
      <c r="K846">
        <v>7</v>
      </c>
      <c r="L846">
        <v>7</v>
      </c>
      <c r="M846">
        <v>2026</v>
      </c>
      <c r="N846">
        <v>0</v>
      </c>
      <c r="O846">
        <v>7</v>
      </c>
      <c r="P846">
        <v>2026</v>
      </c>
      <c r="Q846">
        <v>0</v>
      </c>
      <c r="R846" t="s">
        <v>40</v>
      </c>
      <c r="S846" t="s">
        <v>45</v>
      </c>
      <c r="T846" t="s">
        <v>42</v>
      </c>
      <c r="U846" t="s">
        <v>40</v>
      </c>
      <c r="V846" t="s">
        <v>156</v>
      </c>
      <c r="W846" t="s">
        <v>157</v>
      </c>
      <c r="X846" t="s">
        <v>158</v>
      </c>
      <c r="Y846">
        <v>70</v>
      </c>
      <c r="Z846" t="s">
        <v>58</v>
      </c>
      <c r="AA846" t="s">
        <v>59</v>
      </c>
      <c r="AB846" s="1">
        <v>46230</v>
      </c>
      <c r="AC846" t="s">
        <v>40</v>
      </c>
      <c r="AD846" t="s">
        <v>40</v>
      </c>
      <c r="AE846" t="s">
        <v>86</v>
      </c>
      <c r="AF846" t="s">
        <v>40</v>
      </c>
      <c r="AG846">
        <v>1</v>
      </c>
      <c r="AH846" t="s">
        <v>100</v>
      </c>
    </row>
    <row r="847" spans="1:34" x14ac:dyDescent="0.3">
      <c r="A847" t="s">
        <v>1428</v>
      </c>
      <c r="B847" t="s">
        <v>1429</v>
      </c>
      <c r="C847" t="s">
        <v>155</v>
      </c>
      <c r="D847" t="s">
        <v>104</v>
      </c>
      <c r="E847" s="1">
        <v>46133</v>
      </c>
      <c r="F847" s="1">
        <v>46136</v>
      </c>
      <c r="G847" t="s">
        <v>64</v>
      </c>
      <c r="H847">
        <v>3817</v>
      </c>
      <c r="I847" t="s">
        <v>54</v>
      </c>
      <c r="J847" t="b">
        <v>0</v>
      </c>
      <c r="K847">
        <v>3</v>
      </c>
      <c r="L847">
        <v>4</v>
      </c>
      <c r="M847">
        <v>2026</v>
      </c>
      <c r="N847">
        <v>4</v>
      </c>
      <c r="O847">
        <v>4</v>
      </c>
      <c r="P847">
        <v>2026</v>
      </c>
      <c r="Q847">
        <v>1</v>
      </c>
      <c r="R847" t="s">
        <v>40</v>
      </c>
      <c r="S847" t="s">
        <v>45</v>
      </c>
      <c r="T847" t="s">
        <v>42</v>
      </c>
      <c r="U847" t="s">
        <v>40</v>
      </c>
      <c r="V847" t="s">
        <v>156</v>
      </c>
      <c r="W847" t="s">
        <v>157</v>
      </c>
      <c r="X847" t="s">
        <v>158</v>
      </c>
      <c r="Y847">
        <v>70</v>
      </c>
      <c r="Z847" t="s">
        <v>107</v>
      </c>
      <c r="AA847" t="s">
        <v>108</v>
      </c>
      <c r="AB847" s="1">
        <v>46136</v>
      </c>
      <c r="AC847" t="s">
        <v>40</v>
      </c>
      <c r="AD847" t="s">
        <v>40</v>
      </c>
      <c r="AE847" t="s">
        <v>69</v>
      </c>
      <c r="AF847" t="s">
        <v>40</v>
      </c>
      <c r="AG847">
        <v>1</v>
      </c>
      <c r="AH847" t="s">
        <v>100</v>
      </c>
    </row>
    <row r="848" spans="1:34" x14ac:dyDescent="0.3">
      <c r="A848" t="s">
        <v>1430</v>
      </c>
      <c r="B848" t="s">
        <v>277</v>
      </c>
      <c r="C848" t="s">
        <v>36</v>
      </c>
      <c r="D848" t="s">
        <v>80</v>
      </c>
      <c r="E848" s="1">
        <v>46261</v>
      </c>
      <c r="F848" s="1">
        <v>46268</v>
      </c>
      <c r="G848" t="s">
        <v>41</v>
      </c>
      <c r="H848">
        <v>6760</v>
      </c>
      <c r="I848" t="s">
        <v>65</v>
      </c>
      <c r="J848" t="b">
        <v>0</v>
      </c>
      <c r="K848">
        <v>7</v>
      </c>
      <c r="L848">
        <v>9</v>
      </c>
      <c r="M848">
        <v>2026</v>
      </c>
      <c r="N848">
        <v>3</v>
      </c>
      <c r="O848">
        <v>8</v>
      </c>
      <c r="P848">
        <v>2026</v>
      </c>
      <c r="Q848">
        <v>3</v>
      </c>
      <c r="R848" t="s">
        <v>40</v>
      </c>
      <c r="S848" t="s">
        <v>45</v>
      </c>
      <c r="T848" t="s">
        <v>123</v>
      </c>
      <c r="U848" t="s">
        <v>66</v>
      </c>
      <c r="V848" t="s">
        <v>43</v>
      </c>
      <c r="W848" t="s">
        <v>44</v>
      </c>
      <c r="X848" t="s">
        <v>45</v>
      </c>
      <c r="Y848">
        <v>150</v>
      </c>
      <c r="Z848" t="s">
        <v>84</v>
      </c>
      <c r="AA848" t="s">
        <v>85</v>
      </c>
      <c r="AB848" s="1">
        <v>46268</v>
      </c>
      <c r="AC848" t="s">
        <v>40</v>
      </c>
      <c r="AD848" t="s">
        <v>40</v>
      </c>
      <c r="AE848" t="s">
        <v>60</v>
      </c>
      <c r="AF848" t="s">
        <v>40</v>
      </c>
      <c r="AG848">
        <v>0</v>
      </c>
      <c r="AH848" t="s">
        <v>100</v>
      </c>
    </row>
    <row r="849" spans="1:34" x14ac:dyDescent="0.3">
      <c r="A849" t="s">
        <v>1431</v>
      </c>
      <c r="B849" t="s">
        <v>1039</v>
      </c>
      <c r="C849" t="s">
        <v>155</v>
      </c>
      <c r="D849" t="s">
        <v>37</v>
      </c>
      <c r="E849" s="1">
        <v>46287</v>
      </c>
      <c r="F849" s="1">
        <v>46347</v>
      </c>
      <c r="G849" t="s">
        <v>64</v>
      </c>
      <c r="H849">
        <v>3745</v>
      </c>
      <c r="I849" t="s">
        <v>39</v>
      </c>
      <c r="J849" t="b">
        <v>0</v>
      </c>
      <c r="K849">
        <v>60</v>
      </c>
      <c r="L849">
        <v>11</v>
      </c>
      <c r="M849">
        <v>2026</v>
      </c>
      <c r="N849">
        <v>5</v>
      </c>
      <c r="O849">
        <v>9</v>
      </c>
      <c r="P849">
        <v>2026</v>
      </c>
      <c r="Q849">
        <v>1</v>
      </c>
      <c r="R849" t="s">
        <v>66</v>
      </c>
      <c r="S849" t="s">
        <v>55</v>
      </c>
      <c r="T849" t="s">
        <v>42</v>
      </c>
      <c r="U849" t="s">
        <v>40</v>
      </c>
      <c r="V849" t="s">
        <v>156</v>
      </c>
      <c r="W849" t="s">
        <v>157</v>
      </c>
      <c r="X849" t="s">
        <v>158</v>
      </c>
      <c r="Y849">
        <v>70</v>
      </c>
      <c r="Z849" t="s">
        <v>46</v>
      </c>
      <c r="AA849" t="s">
        <v>47</v>
      </c>
      <c r="AB849" s="1">
        <v>46347</v>
      </c>
      <c r="AC849" t="s">
        <v>66</v>
      </c>
      <c r="AD849" t="s">
        <v>40</v>
      </c>
      <c r="AE849" t="s">
        <v>86</v>
      </c>
      <c r="AF849" t="s">
        <v>40</v>
      </c>
      <c r="AG849">
        <v>0</v>
      </c>
      <c r="AH849" t="s">
        <v>61</v>
      </c>
    </row>
    <row r="850" spans="1:34" x14ac:dyDescent="0.3">
      <c r="A850" t="s">
        <v>1432</v>
      </c>
      <c r="B850" t="s">
        <v>1433</v>
      </c>
      <c r="C850" t="s">
        <v>169</v>
      </c>
      <c r="D850" t="s">
        <v>37</v>
      </c>
      <c r="E850" s="1">
        <v>45964</v>
      </c>
      <c r="F850" s="1">
        <v>45971</v>
      </c>
      <c r="G850" t="s">
        <v>38</v>
      </c>
      <c r="H850">
        <v>5798</v>
      </c>
      <c r="I850" t="s">
        <v>54</v>
      </c>
      <c r="J850" t="b">
        <v>0</v>
      </c>
      <c r="K850">
        <v>7</v>
      </c>
      <c r="L850">
        <v>11</v>
      </c>
      <c r="M850">
        <v>2025</v>
      </c>
      <c r="N850">
        <v>0</v>
      </c>
      <c r="O850">
        <v>11</v>
      </c>
      <c r="P850">
        <v>2025</v>
      </c>
      <c r="Q850">
        <v>0</v>
      </c>
      <c r="R850" t="s">
        <v>40</v>
      </c>
      <c r="S850" t="s">
        <v>55</v>
      </c>
      <c r="T850" t="s">
        <v>68</v>
      </c>
      <c r="U850" t="s">
        <v>40</v>
      </c>
      <c r="V850" t="s">
        <v>170</v>
      </c>
      <c r="W850" t="s">
        <v>171</v>
      </c>
      <c r="X850" t="s">
        <v>126</v>
      </c>
      <c r="Y850">
        <v>90</v>
      </c>
      <c r="Z850" t="s">
        <v>46</v>
      </c>
      <c r="AA850" t="s">
        <v>47</v>
      </c>
      <c r="AB850" s="1">
        <v>45971</v>
      </c>
      <c r="AC850" t="s">
        <v>40</v>
      </c>
      <c r="AD850" t="s">
        <v>40</v>
      </c>
      <c r="AE850" t="s">
        <v>86</v>
      </c>
      <c r="AF850" t="s">
        <v>40</v>
      </c>
      <c r="AG850">
        <v>1</v>
      </c>
      <c r="AH850" t="s">
        <v>100</v>
      </c>
    </row>
    <row r="851" spans="1:34" x14ac:dyDescent="0.3">
      <c r="A851" t="s">
        <v>1434</v>
      </c>
      <c r="B851" t="s">
        <v>1435</v>
      </c>
      <c r="C851" t="s">
        <v>122</v>
      </c>
      <c r="D851" t="s">
        <v>130</v>
      </c>
      <c r="E851" s="1">
        <v>45984</v>
      </c>
      <c r="F851" s="1">
        <v>46084</v>
      </c>
      <c r="G851" t="s">
        <v>41</v>
      </c>
      <c r="H851">
        <v>8114</v>
      </c>
      <c r="I851" t="s">
        <v>65</v>
      </c>
      <c r="J851" t="b">
        <v>0</v>
      </c>
      <c r="K851">
        <v>100</v>
      </c>
      <c r="L851">
        <v>3</v>
      </c>
      <c r="M851">
        <v>2026</v>
      </c>
      <c r="N851">
        <v>1</v>
      </c>
      <c r="O851">
        <v>11</v>
      </c>
      <c r="P851">
        <v>2025</v>
      </c>
      <c r="Q851">
        <v>6</v>
      </c>
      <c r="R851" t="s">
        <v>40</v>
      </c>
      <c r="S851" t="s">
        <v>41</v>
      </c>
      <c r="T851" t="s">
        <v>42</v>
      </c>
      <c r="U851" t="s">
        <v>40</v>
      </c>
      <c r="V851" t="s">
        <v>124</v>
      </c>
      <c r="W851" t="s">
        <v>125</v>
      </c>
      <c r="X851" t="s">
        <v>126</v>
      </c>
      <c r="Y851">
        <v>85</v>
      </c>
      <c r="Z851" t="s">
        <v>133</v>
      </c>
      <c r="AA851" t="s">
        <v>134</v>
      </c>
      <c r="AB851" s="1">
        <v>46084</v>
      </c>
      <c r="AC851" t="s">
        <v>40</v>
      </c>
      <c r="AD851" t="s">
        <v>40</v>
      </c>
      <c r="AE851" t="s">
        <v>60</v>
      </c>
      <c r="AF851" t="s">
        <v>40</v>
      </c>
      <c r="AG851">
        <v>0</v>
      </c>
      <c r="AH851" t="s">
        <v>49</v>
      </c>
    </row>
    <row r="852" spans="1:34" x14ac:dyDescent="0.3">
      <c r="A852" t="s">
        <v>1436</v>
      </c>
      <c r="B852" t="s">
        <v>1437</v>
      </c>
      <c r="C852" t="s">
        <v>79</v>
      </c>
      <c r="D852" t="s">
        <v>37</v>
      </c>
      <c r="E852" s="1">
        <v>46209</v>
      </c>
      <c r="F852" s="1">
        <v>46309</v>
      </c>
      <c r="G852" t="s">
        <v>38</v>
      </c>
      <c r="H852">
        <v>4449</v>
      </c>
      <c r="I852" t="s">
        <v>39</v>
      </c>
      <c r="J852" t="b">
        <v>0</v>
      </c>
      <c r="K852">
        <v>100</v>
      </c>
      <c r="L852">
        <v>10</v>
      </c>
      <c r="M852">
        <v>2026</v>
      </c>
      <c r="N852">
        <v>2</v>
      </c>
      <c r="O852">
        <v>7</v>
      </c>
      <c r="P852">
        <v>2026</v>
      </c>
      <c r="Q852">
        <v>0</v>
      </c>
      <c r="R852" t="s">
        <v>40</v>
      </c>
      <c r="S852" t="s">
        <v>45</v>
      </c>
      <c r="T852" t="s">
        <v>42</v>
      </c>
      <c r="U852" t="s">
        <v>40</v>
      </c>
      <c r="V852" t="s">
        <v>82</v>
      </c>
      <c r="W852" t="s">
        <v>83</v>
      </c>
      <c r="X852" t="s">
        <v>76</v>
      </c>
      <c r="Y852">
        <v>100</v>
      </c>
      <c r="Z852" t="s">
        <v>46</v>
      </c>
      <c r="AA852" t="s">
        <v>47</v>
      </c>
      <c r="AB852" s="1">
        <v>46309</v>
      </c>
      <c r="AC852" t="s">
        <v>40</v>
      </c>
      <c r="AD852" t="s">
        <v>40</v>
      </c>
      <c r="AE852" t="s">
        <v>60</v>
      </c>
      <c r="AF852" t="s">
        <v>40</v>
      </c>
      <c r="AG852">
        <v>0</v>
      </c>
      <c r="AH852" t="s">
        <v>49</v>
      </c>
    </row>
    <row r="853" spans="1:34" x14ac:dyDescent="0.3">
      <c r="A853" t="s">
        <v>1438</v>
      </c>
      <c r="B853" t="s">
        <v>1439</v>
      </c>
      <c r="C853" t="s">
        <v>129</v>
      </c>
      <c r="D853" t="s">
        <v>53</v>
      </c>
      <c r="E853" s="1">
        <v>46282</v>
      </c>
      <c r="F853" s="1">
        <v>46289</v>
      </c>
      <c r="G853" t="s">
        <v>38</v>
      </c>
      <c r="H853">
        <v>4286</v>
      </c>
      <c r="I853" t="s">
        <v>54</v>
      </c>
      <c r="J853" t="b">
        <v>0</v>
      </c>
      <c r="K853">
        <v>7</v>
      </c>
      <c r="L853">
        <v>9</v>
      </c>
      <c r="M853">
        <v>2026</v>
      </c>
      <c r="N853">
        <v>3</v>
      </c>
      <c r="O853">
        <v>9</v>
      </c>
      <c r="P853">
        <v>2026</v>
      </c>
      <c r="Q853">
        <v>3</v>
      </c>
      <c r="R853" t="s">
        <v>40</v>
      </c>
      <c r="S853" t="s">
        <v>67</v>
      </c>
      <c r="T853" t="s">
        <v>42</v>
      </c>
      <c r="U853" t="s">
        <v>40</v>
      </c>
      <c r="V853" t="s">
        <v>131</v>
      </c>
      <c r="W853" t="s">
        <v>132</v>
      </c>
      <c r="X853" t="s">
        <v>45</v>
      </c>
      <c r="Y853">
        <v>110</v>
      </c>
      <c r="Z853" t="s">
        <v>58</v>
      </c>
      <c r="AA853" t="s">
        <v>59</v>
      </c>
      <c r="AB853" s="1">
        <v>46289</v>
      </c>
      <c r="AC853" t="s">
        <v>40</v>
      </c>
      <c r="AD853" t="s">
        <v>40</v>
      </c>
      <c r="AE853" t="s">
        <v>60</v>
      </c>
      <c r="AF853" t="s">
        <v>40</v>
      </c>
      <c r="AG853">
        <v>1</v>
      </c>
      <c r="AH853" t="s">
        <v>100</v>
      </c>
    </row>
    <row r="854" spans="1:34" x14ac:dyDescent="0.3">
      <c r="A854" t="s">
        <v>1440</v>
      </c>
      <c r="B854" t="s">
        <v>1441</v>
      </c>
      <c r="C854" t="s">
        <v>79</v>
      </c>
      <c r="D854" t="s">
        <v>80</v>
      </c>
      <c r="E854" s="1">
        <v>46143</v>
      </c>
      <c r="F854" s="1">
        <v>46173</v>
      </c>
      <c r="G854" t="s">
        <v>41</v>
      </c>
      <c r="H854">
        <v>8827</v>
      </c>
      <c r="I854" t="s">
        <v>39</v>
      </c>
      <c r="J854" t="b">
        <v>0</v>
      </c>
      <c r="K854">
        <v>30</v>
      </c>
      <c r="L854">
        <v>5</v>
      </c>
      <c r="M854">
        <v>2026</v>
      </c>
      <c r="N854">
        <v>6</v>
      </c>
      <c r="O854">
        <v>5</v>
      </c>
      <c r="P854">
        <v>2026</v>
      </c>
      <c r="Q854">
        <v>4</v>
      </c>
      <c r="R854" t="s">
        <v>66</v>
      </c>
      <c r="S854" t="s">
        <v>45</v>
      </c>
      <c r="T854" t="s">
        <v>42</v>
      </c>
      <c r="U854" t="s">
        <v>40</v>
      </c>
      <c r="V854" t="s">
        <v>82</v>
      </c>
      <c r="W854" t="s">
        <v>83</v>
      </c>
      <c r="X854" t="s">
        <v>76</v>
      </c>
      <c r="Y854">
        <v>100</v>
      </c>
      <c r="Z854" t="s">
        <v>84</v>
      </c>
      <c r="AA854" t="s">
        <v>85</v>
      </c>
      <c r="AB854" s="1">
        <v>46173</v>
      </c>
      <c r="AC854" t="s">
        <v>66</v>
      </c>
      <c r="AD854" t="s">
        <v>40</v>
      </c>
      <c r="AE854" t="s">
        <v>69</v>
      </c>
      <c r="AF854" t="s">
        <v>40</v>
      </c>
      <c r="AG854">
        <v>0</v>
      </c>
      <c r="AH854" t="s">
        <v>70</v>
      </c>
    </row>
    <row r="855" spans="1:34" x14ac:dyDescent="0.3">
      <c r="A855" t="s">
        <v>1442</v>
      </c>
      <c r="B855" t="s">
        <v>1218</v>
      </c>
      <c r="C855" t="s">
        <v>89</v>
      </c>
      <c r="D855" t="s">
        <v>53</v>
      </c>
      <c r="E855" s="1">
        <v>45980</v>
      </c>
      <c r="F855" s="1">
        <v>45994</v>
      </c>
      <c r="G855" t="s">
        <v>41</v>
      </c>
      <c r="H855">
        <v>8122</v>
      </c>
      <c r="I855" t="s">
        <v>54</v>
      </c>
      <c r="J855" t="b">
        <v>0</v>
      </c>
      <c r="K855">
        <v>14</v>
      </c>
      <c r="L855">
        <v>12</v>
      </c>
      <c r="M855">
        <v>2025</v>
      </c>
      <c r="N855">
        <v>2</v>
      </c>
      <c r="O855">
        <v>11</v>
      </c>
      <c r="P855">
        <v>2025</v>
      </c>
      <c r="Q855">
        <v>2</v>
      </c>
      <c r="R855" t="s">
        <v>40</v>
      </c>
      <c r="S855" t="s">
        <v>55</v>
      </c>
      <c r="T855" t="s">
        <v>42</v>
      </c>
      <c r="U855" t="s">
        <v>40</v>
      </c>
      <c r="V855" t="s">
        <v>91</v>
      </c>
      <c r="W855" t="s">
        <v>92</v>
      </c>
      <c r="X855" t="s">
        <v>76</v>
      </c>
      <c r="Y855">
        <v>65</v>
      </c>
      <c r="Z855" t="s">
        <v>58</v>
      </c>
      <c r="AA855" t="s">
        <v>59</v>
      </c>
      <c r="AB855" s="1">
        <v>45994</v>
      </c>
      <c r="AC855" t="s">
        <v>40</v>
      </c>
      <c r="AD855" t="s">
        <v>40</v>
      </c>
      <c r="AE855" t="s">
        <v>69</v>
      </c>
      <c r="AF855" t="s">
        <v>40</v>
      </c>
      <c r="AG855">
        <v>1</v>
      </c>
      <c r="AH855" t="s">
        <v>70</v>
      </c>
    </row>
    <row r="856" spans="1:34" x14ac:dyDescent="0.3">
      <c r="A856" t="s">
        <v>1443</v>
      </c>
      <c r="B856" t="s">
        <v>96</v>
      </c>
      <c r="C856" t="s">
        <v>79</v>
      </c>
      <c r="D856" t="s">
        <v>37</v>
      </c>
      <c r="E856" s="1">
        <v>45801</v>
      </c>
      <c r="F856" s="1">
        <v>46021</v>
      </c>
      <c r="G856" t="s">
        <v>81</v>
      </c>
      <c r="H856">
        <v>8208</v>
      </c>
      <c r="I856" t="s">
        <v>54</v>
      </c>
      <c r="J856" t="b">
        <v>0</v>
      </c>
      <c r="K856">
        <v>220</v>
      </c>
      <c r="L856">
        <v>12</v>
      </c>
      <c r="M856">
        <v>2025</v>
      </c>
      <c r="N856">
        <v>1</v>
      </c>
      <c r="O856">
        <v>5</v>
      </c>
      <c r="P856">
        <v>2025</v>
      </c>
      <c r="Q856">
        <v>5</v>
      </c>
      <c r="R856" t="s">
        <v>40</v>
      </c>
      <c r="S856" t="s">
        <v>67</v>
      </c>
      <c r="T856" t="s">
        <v>42</v>
      </c>
      <c r="U856" t="s">
        <v>40</v>
      </c>
      <c r="V856" t="s">
        <v>82</v>
      </c>
      <c r="W856" t="s">
        <v>83</v>
      </c>
      <c r="X856" t="s">
        <v>76</v>
      </c>
      <c r="Y856">
        <v>100</v>
      </c>
      <c r="Z856" t="s">
        <v>46</v>
      </c>
      <c r="AA856" t="s">
        <v>47</v>
      </c>
      <c r="AB856" s="1">
        <v>46021</v>
      </c>
      <c r="AC856" t="s">
        <v>40</v>
      </c>
      <c r="AD856" t="s">
        <v>40</v>
      </c>
      <c r="AE856" t="s">
        <v>69</v>
      </c>
      <c r="AF856" t="s">
        <v>40</v>
      </c>
      <c r="AG856">
        <v>1</v>
      </c>
      <c r="AH856" t="s">
        <v>142</v>
      </c>
    </row>
    <row r="857" spans="1:34" x14ac:dyDescent="0.3">
      <c r="A857" t="s">
        <v>1444</v>
      </c>
      <c r="B857" t="s">
        <v>1003</v>
      </c>
      <c r="C857" t="s">
        <v>52</v>
      </c>
      <c r="D857" t="s">
        <v>53</v>
      </c>
      <c r="E857" s="1">
        <v>46095</v>
      </c>
      <c r="F857" s="1">
        <v>46155</v>
      </c>
      <c r="G857" t="s">
        <v>81</v>
      </c>
      <c r="H857">
        <v>8261</v>
      </c>
      <c r="I857" t="s">
        <v>39</v>
      </c>
      <c r="J857" t="b">
        <v>0</v>
      </c>
      <c r="K857">
        <v>60</v>
      </c>
      <c r="L857">
        <v>5</v>
      </c>
      <c r="M857">
        <v>2026</v>
      </c>
      <c r="N857">
        <v>2</v>
      </c>
      <c r="O857">
        <v>3</v>
      </c>
      <c r="P857">
        <v>2026</v>
      </c>
      <c r="Q857">
        <v>5</v>
      </c>
      <c r="R857" t="s">
        <v>40</v>
      </c>
      <c r="S857" t="s">
        <v>41</v>
      </c>
      <c r="T857" t="s">
        <v>42</v>
      </c>
      <c r="U857" t="s">
        <v>66</v>
      </c>
      <c r="V857" t="s">
        <v>56</v>
      </c>
      <c r="W857" t="s">
        <v>57</v>
      </c>
      <c r="X857" t="s">
        <v>45</v>
      </c>
      <c r="Y857">
        <v>120</v>
      </c>
      <c r="Z857" t="s">
        <v>58</v>
      </c>
      <c r="AA857" t="s">
        <v>59</v>
      </c>
      <c r="AB857" s="1">
        <v>46155</v>
      </c>
      <c r="AC857" t="s">
        <v>40</v>
      </c>
      <c r="AD857" t="s">
        <v>40</v>
      </c>
      <c r="AE857" t="s">
        <v>69</v>
      </c>
      <c r="AF857" t="s">
        <v>40</v>
      </c>
      <c r="AG857">
        <v>0</v>
      </c>
      <c r="AH857" t="s">
        <v>61</v>
      </c>
    </row>
    <row r="858" spans="1:34" x14ac:dyDescent="0.3">
      <c r="A858" t="s">
        <v>1445</v>
      </c>
      <c r="B858" t="s">
        <v>177</v>
      </c>
      <c r="C858" t="s">
        <v>97</v>
      </c>
      <c r="D858" t="s">
        <v>53</v>
      </c>
      <c r="E858" s="1">
        <v>46149</v>
      </c>
      <c r="F858" s="1">
        <v>46299</v>
      </c>
      <c r="G858" t="s">
        <v>41</v>
      </c>
      <c r="H858">
        <v>6023</v>
      </c>
      <c r="I858" t="s">
        <v>39</v>
      </c>
      <c r="J858" t="b">
        <v>0</v>
      </c>
      <c r="K858">
        <v>150</v>
      </c>
      <c r="L858">
        <v>10</v>
      </c>
      <c r="M858">
        <v>2026</v>
      </c>
      <c r="N858">
        <v>6</v>
      </c>
      <c r="O858">
        <v>5</v>
      </c>
      <c r="P858">
        <v>2026</v>
      </c>
      <c r="Q858">
        <v>3</v>
      </c>
      <c r="R858" t="s">
        <v>66</v>
      </c>
      <c r="S858" t="s">
        <v>55</v>
      </c>
      <c r="T858" t="s">
        <v>68</v>
      </c>
      <c r="U858" t="s">
        <v>40</v>
      </c>
      <c r="V858" t="s">
        <v>98</v>
      </c>
      <c r="W858" t="s">
        <v>99</v>
      </c>
      <c r="X858" t="s">
        <v>76</v>
      </c>
      <c r="Y858">
        <v>80</v>
      </c>
      <c r="Z858" t="s">
        <v>58</v>
      </c>
      <c r="AA858" t="s">
        <v>59</v>
      </c>
      <c r="AB858" s="1">
        <v>46299</v>
      </c>
      <c r="AC858" t="s">
        <v>66</v>
      </c>
      <c r="AD858" t="s">
        <v>40</v>
      </c>
      <c r="AE858" t="s">
        <v>60</v>
      </c>
      <c r="AF858" t="s">
        <v>40</v>
      </c>
      <c r="AG858">
        <v>0</v>
      </c>
      <c r="AH858" t="s">
        <v>49</v>
      </c>
    </row>
    <row r="859" spans="1:34" x14ac:dyDescent="0.3">
      <c r="A859" t="s">
        <v>1446</v>
      </c>
      <c r="B859" t="s">
        <v>938</v>
      </c>
      <c r="C859" t="s">
        <v>52</v>
      </c>
      <c r="D859" t="s">
        <v>37</v>
      </c>
      <c r="E859" s="1">
        <v>46008</v>
      </c>
      <c r="F859" s="1">
        <v>46015</v>
      </c>
      <c r="G859" t="s">
        <v>81</v>
      </c>
      <c r="H859">
        <v>7409</v>
      </c>
      <c r="I859" t="s">
        <v>39</v>
      </c>
      <c r="J859" t="b">
        <v>0</v>
      </c>
      <c r="K859">
        <v>7</v>
      </c>
      <c r="L859">
        <v>12</v>
      </c>
      <c r="M859">
        <v>2025</v>
      </c>
      <c r="N859">
        <v>2</v>
      </c>
      <c r="O859">
        <v>12</v>
      </c>
      <c r="P859">
        <v>2025</v>
      </c>
      <c r="Q859">
        <v>2</v>
      </c>
      <c r="R859" t="s">
        <v>40</v>
      </c>
      <c r="S859" t="s">
        <v>67</v>
      </c>
      <c r="T859" t="s">
        <v>139</v>
      </c>
      <c r="U859" t="s">
        <v>66</v>
      </c>
      <c r="V859" t="s">
        <v>56</v>
      </c>
      <c r="W859" t="s">
        <v>57</v>
      </c>
      <c r="X859" t="s">
        <v>45</v>
      </c>
      <c r="Y859">
        <v>120</v>
      </c>
      <c r="Z859" t="s">
        <v>46</v>
      </c>
      <c r="AA859" t="s">
        <v>47</v>
      </c>
      <c r="AB859" s="1">
        <v>46015</v>
      </c>
      <c r="AC859" t="s">
        <v>40</v>
      </c>
      <c r="AD859" t="s">
        <v>40</v>
      </c>
      <c r="AE859" t="s">
        <v>69</v>
      </c>
      <c r="AF859" t="s">
        <v>40</v>
      </c>
      <c r="AG859">
        <v>0</v>
      </c>
      <c r="AH859" t="s">
        <v>100</v>
      </c>
    </row>
    <row r="860" spans="1:34" x14ac:dyDescent="0.3">
      <c r="A860" t="s">
        <v>1447</v>
      </c>
      <c r="B860" t="s">
        <v>1448</v>
      </c>
      <c r="C860" t="s">
        <v>97</v>
      </c>
      <c r="D860" t="s">
        <v>90</v>
      </c>
      <c r="E860" s="1">
        <v>46261</v>
      </c>
      <c r="F860" s="1">
        <v>46268</v>
      </c>
      <c r="G860" t="s">
        <v>38</v>
      </c>
      <c r="H860">
        <v>5295</v>
      </c>
      <c r="I860" t="s">
        <v>39</v>
      </c>
      <c r="J860" t="b">
        <v>0</v>
      </c>
      <c r="K860">
        <v>7</v>
      </c>
      <c r="L860">
        <v>9</v>
      </c>
      <c r="M860">
        <v>2026</v>
      </c>
      <c r="N860">
        <v>3</v>
      </c>
      <c r="O860">
        <v>8</v>
      </c>
      <c r="P860">
        <v>2026</v>
      </c>
      <c r="Q860">
        <v>3</v>
      </c>
      <c r="R860" t="s">
        <v>40</v>
      </c>
      <c r="S860" t="s">
        <v>45</v>
      </c>
      <c r="T860" t="s">
        <v>42</v>
      </c>
      <c r="U860" t="s">
        <v>40</v>
      </c>
      <c r="V860" t="s">
        <v>98</v>
      </c>
      <c r="W860" t="s">
        <v>99</v>
      </c>
      <c r="X860" t="s">
        <v>76</v>
      </c>
      <c r="Y860">
        <v>80</v>
      </c>
      <c r="Z860" t="s">
        <v>93</v>
      </c>
      <c r="AA860" t="s">
        <v>94</v>
      </c>
      <c r="AB860" s="1">
        <v>46268</v>
      </c>
      <c r="AC860" t="s">
        <v>40</v>
      </c>
      <c r="AD860" t="s">
        <v>40</v>
      </c>
      <c r="AE860" t="s">
        <v>60</v>
      </c>
      <c r="AF860" t="s">
        <v>40</v>
      </c>
      <c r="AG860">
        <v>0</v>
      </c>
      <c r="AH860" t="s">
        <v>100</v>
      </c>
    </row>
    <row r="861" spans="1:34" x14ac:dyDescent="0.3">
      <c r="A861" t="s">
        <v>1449</v>
      </c>
      <c r="B861" t="s">
        <v>1450</v>
      </c>
      <c r="C861" t="s">
        <v>169</v>
      </c>
      <c r="D861" t="s">
        <v>37</v>
      </c>
      <c r="E861" s="1">
        <v>45680</v>
      </c>
      <c r="F861" s="1">
        <v>45683</v>
      </c>
      <c r="G861" t="s">
        <v>64</v>
      </c>
      <c r="H861">
        <v>4160</v>
      </c>
      <c r="I861" t="s">
        <v>39</v>
      </c>
      <c r="J861" t="b">
        <v>0</v>
      </c>
      <c r="K861">
        <v>3</v>
      </c>
      <c r="L861">
        <v>1</v>
      </c>
      <c r="M861">
        <v>2025</v>
      </c>
      <c r="N861">
        <v>6</v>
      </c>
      <c r="O861">
        <v>1</v>
      </c>
      <c r="P861">
        <v>2025</v>
      </c>
      <c r="Q861">
        <v>3</v>
      </c>
      <c r="R861" t="s">
        <v>66</v>
      </c>
      <c r="S861" t="s">
        <v>45</v>
      </c>
      <c r="T861" t="s">
        <v>42</v>
      </c>
      <c r="U861" t="s">
        <v>40</v>
      </c>
      <c r="V861" t="s">
        <v>170</v>
      </c>
      <c r="W861" t="s">
        <v>171</v>
      </c>
      <c r="X861" t="s">
        <v>126</v>
      </c>
      <c r="Y861">
        <v>90</v>
      </c>
      <c r="Z861" t="s">
        <v>46</v>
      </c>
      <c r="AA861" t="s">
        <v>47</v>
      </c>
      <c r="AB861" s="1">
        <v>45683</v>
      </c>
      <c r="AC861" t="s">
        <v>66</v>
      </c>
      <c r="AD861" t="s">
        <v>66</v>
      </c>
      <c r="AE861" t="s">
        <v>86</v>
      </c>
      <c r="AF861" t="s">
        <v>40</v>
      </c>
      <c r="AG861">
        <v>0</v>
      </c>
      <c r="AH861" t="s">
        <v>100</v>
      </c>
    </row>
    <row r="862" spans="1:34" x14ac:dyDescent="0.3">
      <c r="A862" t="s">
        <v>1451</v>
      </c>
      <c r="B862" t="s">
        <v>550</v>
      </c>
      <c r="C862" t="s">
        <v>79</v>
      </c>
      <c r="D862" t="s">
        <v>53</v>
      </c>
      <c r="E862" s="1">
        <v>45861</v>
      </c>
      <c r="F862" s="1">
        <v>45921</v>
      </c>
      <c r="G862" t="s">
        <v>81</v>
      </c>
      <c r="H862">
        <v>7649</v>
      </c>
      <c r="I862" t="s">
        <v>65</v>
      </c>
      <c r="J862" t="b">
        <v>0</v>
      </c>
      <c r="K862">
        <v>60</v>
      </c>
      <c r="L862">
        <v>9</v>
      </c>
      <c r="M862">
        <v>2025</v>
      </c>
      <c r="N862">
        <v>6</v>
      </c>
      <c r="O862">
        <v>7</v>
      </c>
      <c r="P862">
        <v>2025</v>
      </c>
      <c r="Q862">
        <v>2</v>
      </c>
      <c r="R862" t="s">
        <v>66</v>
      </c>
      <c r="S862" t="s">
        <v>45</v>
      </c>
      <c r="T862" t="s">
        <v>42</v>
      </c>
      <c r="U862" t="s">
        <v>40</v>
      </c>
      <c r="V862" t="s">
        <v>82</v>
      </c>
      <c r="W862" t="s">
        <v>83</v>
      </c>
      <c r="X862" t="s">
        <v>76</v>
      </c>
      <c r="Y862">
        <v>100</v>
      </c>
      <c r="Z862" t="s">
        <v>58</v>
      </c>
      <c r="AA862" t="s">
        <v>59</v>
      </c>
      <c r="AB862" s="1">
        <v>45921</v>
      </c>
      <c r="AC862" t="s">
        <v>66</v>
      </c>
      <c r="AD862" t="s">
        <v>40</v>
      </c>
      <c r="AE862" t="s">
        <v>60</v>
      </c>
      <c r="AF862" t="s">
        <v>40</v>
      </c>
      <c r="AG862">
        <v>0</v>
      </c>
      <c r="AH862" t="s">
        <v>61</v>
      </c>
    </row>
    <row r="863" spans="1:34" x14ac:dyDescent="0.3">
      <c r="A863" t="s">
        <v>1452</v>
      </c>
      <c r="B863" t="s">
        <v>72</v>
      </c>
      <c r="C863" t="s">
        <v>146</v>
      </c>
      <c r="D863" t="s">
        <v>130</v>
      </c>
      <c r="E863" s="1">
        <v>46182</v>
      </c>
      <c r="F863" s="1">
        <v>46196</v>
      </c>
      <c r="G863" t="s">
        <v>41</v>
      </c>
      <c r="H863">
        <v>8236</v>
      </c>
      <c r="I863" t="s">
        <v>39</v>
      </c>
      <c r="J863" t="b">
        <v>0</v>
      </c>
      <c r="K863">
        <v>14</v>
      </c>
      <c r="L863">
        <v>6</v>
      </c>
      <c r="M863">
        <v>2026</v>
      </c>
      <c r="N863">
        <v>1</v>
      </c>
      <c r="O863">
        <v>6</v>
      </c>
      <c r="P863">
        <v>2026</v>
      </c>
      <c r="Q863">
        <v>1</v>
      </c>
      <c r="R863" t="s">
        <v>40</v>
      </c>
      <c r="S863" t="s">
        <v>41</v>
      </c>
      <c r="T863" t="s">
        <v>42</v>
      </c>
      <c r="U863" t="s">
        <v>40</v>
      </c>
      <c r="V863" t="s">
        <v>147</v>
      </c>
      <c r="W863" t="s">
        <v>148</v>
      </c>
      <c r="X863" t="s">
        <v>45</v>
      </c>
      <c r="Y863">
        <v>160</v>
      </c>
      <c r="Z863" t="s">
        <v>133</v>
      </c>
      <c r="AA863" t="s">
        <v>134</v>
      </c>
      <c r="AB863" s="1">
        <v>46196</v>
      </c>
      <c r="AC863" t="s">
        <v>40</v>
      </c>
      <c r="AD863" t="s">
        <v>40</v>
      </c>
      <c r="AE863" t="s">
        <v>60</v>
      </c>
      <c r="AF863" t="s">
        <v>40</v>
      </c>
      <c r="AG863">
        <v>0</v>
      </c>
      <c r="AH863" t="s">
        <v>70</v>
      </c>
    </row>
    <row r="864" spans="1:34" x14ac:dyDescent="0.3">
      <c r="A864" t="s">
        <v>1453</v>
      </c>
      <c r="B864" t="s">
        <v>1257</v>
      </c>
      <c r="C864" t="s">
        <v>89</v>
      </c>
      <c r="D864" t="s">
        <v>130</v>
      </c>
      <c r="E864" s="1">
        <v>46236</v>
      </c>
      <c r="F864" s="1">
        <v>46239</v>
      </c>
      <c r="G864" t="s">
        <v>64</v>
      </c>
      <c r="H864">
        <v>2524</v>
      </c>
      <c r="I864" t="s">
        <v>212</v>
      </c>
      <c r="J864" t="b">
        <v>0</v>
      </c>
      <c r="K864">
        <v>3</v>
      </c>
      <c r="L864">
        <v>8</v>
      </c>
      <c r="M864">
        <v>2026</v>
      </c>
      <c r="N864">
        <v>2</v>
      </c>
      <c r="O864">
        <v>8</v>
      </c>
      <c r="P864">
        <v>2026</v>
      </c>
      <c r="Q864">
        <v>6</v>
      </c>
      <c r="R864" t="s">
        <v>40</v>
      </c>
      <c r="S864" t="s">
        <v>45</v>
      </c>
      <c r="T864" t="s">
        <v>42</v>
      </c>
      <c r="U864" t="s">
        <v>40</v>
      </c>
      <c r="V864" t="s">
        <v>91</v>
      </c>
      <c r="W864" t="s">
        <v>92</v>
      </c>
      <c r="X864" t="s">
        <v>76</v>
      </c>
      <c r="Y864">
        <v>65</v>
      </c>
      <c r="Z864" t="s">
        <v>133</v>
      </c>
      <c r="AA864" t="s">
        <v>134</v>
      </c>
      <c r="AB864" s="1">
        <v>46239</v>
      </c>
      <c r="AC864" t="s">
        <v>40</v>
      </c>
      <c r="AD864" t="s">
        <v>40</v>
      </c>
      <c r="AE864" t="s">
        <v>86</v>
      </c>
      <c r="AF864" t="s">
        <v>40</v>
      </c>
      <c r="AG864">
        <v>0</v>
      </c>
      <c r="AH864" t="s">
        <v>100</v>
      </c>
    </row>
    <row r="865" spans="1:34" x14ac:dyDescent="0.3">
      <c r="A865" t="s">
        <v>1454</v>
      </c>
      <c r="B865" t="s">
        <v>1455</v>
      </c>
      <c r="C865" t="s">
        <v>129</v>
      </c>
      <c r="D865" t="s">
        <v>104</v>
      </c>
      <c r="E865" s="1">
        <v>45941</v>
      </c>
      <c r="F865" s="1">
        <v>45955</v>
      </c>
      <c r="G865" t="s">
        <v>38</v>
      </c>
      <c r="H865">
        <v>4244</v>
      </c>
      <c r="I865" t="s">
        <v>65</v>
      </c>
      <c r="J865" t="b">
        <v>0</v>
      </c>
      <c r="K865">
        <v>14</v>
      </c>
      <c r="L865">
        <v>10</v>
      </c>
      <c r="M865">
        <v>2025</v>
      </c>
      <c r="N865">
        <v>5</v>
      </c>
      <c r="O865">
        <v>10</v>
      </c>
      <c r="P865">
        <v>2025</v>
      </c>
      <c r="Q865">
        <v>5</v>
      </c>
      <c r="R865" t="s">
        <v>66</v>
      </c>
      <c r="S865" t="s">
        <v>45</v>
      </c>
      <c r="T865" t="s">
        <v>113</v>
      </c>
      <c r="U865" t="s">
        <v>66</v>
      </c>
      <c r="V865" t="s">
        <v>131</v>
      </c>
      <c r="W865" t="s">
        <v>132</v>
      </c>
      <c r="X865" t="s">
        <v>45</v>
      </c>
      <c r="Y865">
        <v>110</v>
      </c>
      <c r="Z865" t="s">
        <v>107</v>
      </c>
      <c r="AA865" t="s">
        <v>108</v>
      </c>
      <c r="AB865" s="1">
        <v>45955</v>
      </c>
      <c r="AC865" t="s">
        <v>66</v>
      </c>
      <c r="AD865" t="s">
        <v>40</v>
      </c>
      <c r="AE865" t="s">
        <v>60</v>
      </c>
      <c r="AF865" t="s">
        <v>40</v>
      </c>
      <c r="AG865">
        <v>0</v>
      </c>
      <c r="AH865" t="s">
        <v>70</v>
      </c>
    </row>
    <row r="866" spans="1:34" x14ac:dyDescent="0.3">
      <c r="A866" t="s">
        <v>1456</v>
      </c>
      <c r="B866" t="s">
        <v>195</v>
      </c>
      <c r="C866" t="s">
        <v>52</v>
      </c>
      <c r="D866" t="s">
        <v>104</v>
      </c>
      <c r="E866" s="1">
        <v>46246</v>
      </c>
      <c r="F866" s="1">
        <v>46253</v>
      </c>
      <c r="G866" t="s">
        <v>41</v>
      </c>
      <c r="H866">
        <v>6749</v>
      </c>
      <c r="I866" t="s">
        <v>39</v>
      </c>
      <c r="J866" t="b">
        <v>0</v>
      </c>
      <c r="K866">
        <v>7</v>
      </c>
      <c r="L866">
        <v>8</v>
      </c>
      <c r="M866">
        <v>2026</v>
      </c>
      <c r="N866">
        <v>2</v>
      </c>
      <c r="O866">
        <v>8</v>
      </c>
      <c r="P866">
        <v>2026</v>
      </c>
      <c r="Q866">
        <v>2</v>
      </c>
      <c r="R866" t="s">
        <v>40</v>
      </c>
      <c r="S866" t="s">
        <v>55</v>
      </c>
      <c r="T866" t="s">
        <v>42</v>
      </c>
      <c r="U866" t="s">
        <v>40</v>
      </c>
      <c r="V866" t="s">
        <v>56</v>
      </c>
      <c r="W866" t="s">
        <v>57</v>
      </c>
      <c r="X866" t="s">
        <v>45</v>
      </c>
      <c r="Y866">
        <v>120</v>
      </c>
      <c r="Z866" t="s">
        <v>107</v>
      </c>
      <c r="AA866" t="s">
        <v>108</v>
      </c>
      <c r="AB866" s="1">
        <v>46253</v>
      </c>
      <c r="AC866" t="s">
        <v>40</v>
      </c>
      <c r="AD866" t="s">
        <v>40</v>
      </c>
      <c r="AE866" t="s">
        <v>86</v>
      </c>
      <c r="AF866" t="s">
        <v>40</v>
      </c>
      <c r="AG866">
        <v>0</v>
      </c>
      <c r="AH866" t="s">
        <v>100</v>
      </c>
    </row>
    <row r="867" spans="1:34" x14ac:dyDescent="0.3">
      <c r="A867" t="s">
        <v>1457</v>
      </c>
      <c r="B867" t="s">
        <v>1311</v>
      </c>
      <c r="C867" t="s">
        <v>146</v>
      </c>
      <c r="D867" t="s">
        <v>104</v>
      </c>
      <c r="E867" s="1">
        <v>46327</v>
      </c>
      <c r="F867" s="1">
        <v>46357</v>
      </c>
      <c r="G867" t="s">
        <v>81</v>
      </c>
      <c r="H867">
        <v>7714</v>
      </c>
      <c r="I867" t="s">
        <v>54</v>
      </c>
      <c r="J867" t="b">
        <v>0</v>
      </c>
      <c r="K867">
        <v>30</v>
      </c>
      <c r="L867">
        <v>12</v>
      </c>
      <c r="M867">
        <v>2026</v>
      </c>
      <c r="N867">
        <v>1</v>
      </c>
      <c r="O867">
        <v>11</v>
      </c>
      <c r="P867">
        <v>2026</v>
      </c>
      <c r="Q867">
        <v>6</v>
      </c>
      <c r="R867" t="s">
        <v>40</v>
      </c>
      <c r="S867" t="s">
        <v>45</v>
      </c>
      <c r="T867" t="s">
        <v>48</v>
      </c>
      <c r="U867" t="s">
        <v>40</v>
      </c>
      <c r="V867" t="s">
        <v>147</v>
      </c>
      <c r="W867" t="s">
        <v>148</v>
      </c>
      <c r="X867" t="s">
        <v>45</v>
      </c>
      <c r="Y867">
        <v>160</v>
      </c>
      <c r="Z867" t="s">
        <v>107</v>
      </c>
      <c r="AA867" t="s">
        <v>108</v>
      </c>
      <c r="AB867" s="1">
        <v>46357</v>
      </c>
      <c r="AC867" t="s">
        <v>40</v>
      </c>
      <c r="AD867" t="s">
        <v>40</v>
      </c>
      <c r="AE867" t="s">
        <v>69</v>
      </c>
      <c r="AF867" t="s">
        <v>40</v>
      </c>
      <c r="AG867">
        <v>1</v>
      </c>
      <c r="AH867" t="s">
        <v>70</v>
      </c>
    </row>
    <row r="868" spans="1:34" x14ac:dyDescent="0.3">
      <c r="A868" t="s">
        <v>1458</v>
      </c>
      <c r="B868" t="s">
        <v>916</v>
      </c>
      <c r="C868" t="s">
        <v>155</v>
      </c>
      <c r="D868" t="s">
        <v>130</v>
      </c>
      <c r="E868" s="1">
        <v>45788</v>
      </c>
      <c r="F868" s="1">
        <v>45818</v>
      </c>
      <c r="G868" t="s">
        <v>64</v>
      </c>
      <c r="H868">
        <v>3982</v>
      </c>
      <c r="I868" t="s">
        <v>39</v>
      </c>
      <c r="J868" t="b">
        <v>0</v>
      </c>
      <c r="K868">
        <v>30</v>
      </c>
      <c r="L868">
        <v>6</v>
      </c>
      <c r="M868">
        <v>2025</v>
      </c>
      <c r="N868">
        <v>1</v>
      </c>
      <c r="O868">
        <v>5</v>
      </c>
      <c r="P868">
        <v>2025</v>
      </c>
      <c r="Q868">
        <v>6</v>
      </c>
      <c r="R868" t="s">
        <v>40</v>
      </c>
      <c r="S868" t="s">
        <v>55</v>
      </c>
      <c r="T868" t="s">
        <v>42</v>
      </c>
      <c r="U868" t="s">
        <v>66</v>
      </c>
      <c r="V868" t="s">
        <v>156</v>
      </c>
      <c r="W868" t="s">
        <v>157</v>
      </c>
      <c r="X868" t="s">
        <v>158</v>
      </c>
      <c r="Y868">
        <v>70</v>
      </c>
      <c r="Z868" t="s">
        <v>133</v>
      </c>
      <c r="AA868" t="s">
        <v>134</v>
      </c>
      <c r="AB868" s="1">
        <v>45818</v>
      </c>
      <c r="AC868" t="s">
        <v>40</v>
      </c>
      <c r="AD868" t="s">
        <v>40</v>
      </c>
      <c r="AE868" t="s">
        <v>60</v>
      </c>
      <c r="AF868" t="s">
        <v>40</v>
      </c>
      <c r="AG868">
        <v>0</v>
      </c>
      <c r="AH868" t="s">
        <v>70</v>
      </c>
    </row>
    <row r="869" spans="1:34" x14ac:dyDescent="0.3">
      <c r="A869" t="s">
        <v>1459</v>
      </c>
      <c r="B869" t="s">
        <v>1340</v>
      </c>
      <c r="C869" t="s">
        <v>73</v>
      </c>
      <c r="D869" t="s">
        <v>90</v>
      </c>
      <c r="E869" s="1">
        <v>46021</v>
      </c>
      <c r="F869" s="1">
        <v>46022</v>
      </c>
      <c r="G869" t="s">
        <v>41</v>
      </c>
      <c r="H869">
        <v>6818</v>
      </c>
      <c r="I869" t="s">
        <v>39</v>
      </c>
      <c r="J869" t="b">
        <v>0</v>
      </c>
      <c r="K869">
        <v>1</v>
      </c>
      <c r="L869">
        <v>12</v>
      </c>
      <c r="M869">
        <v>2025</v>
      </c>
      <c r="N869">
        <v>2</v>
      </c>
      <c r="O869">
        <v>12</v>
      </c>
      <c r="P869">
        <v>2025</v>
      </c>
      <c r="Q869">
        <v>1</v>
      </c>
      <c r="R869" t="s">
        <v>40</v>
      </c>
      <c r="S869" t="s">
        <v>45</v>
      </c>
      <c r="T869" t="s">
        <v>42</v>
      </c>
      <c r="U869" t="s">
        <v>40</v>
      </c>
      <c r="V869" t="s">
        <v>74</v>
      </c>
      <c r="W869" t="s">
        <v>75</v>
      </c>
      <c r="X869" t="s">
        <v>76</v>
      </c>
      <c r="Y869">
        <v>75</v>
      </c>
      <c r="Z869" t="s">
        <v>93</v>
      </c>
      <c r="AA869" t="s">
        <v>94</v>
      </c>
      <c r="AB869" s="1">
        <v>46022</v>
      </c>
      <c r="AC869" t="s">
        <v>40</v>
      </c>
      <c r="AD869" t="s">
        <v>40</v>
      </c>
      <c r="AE869" t="s">
        <v>69</v>
      </c>
      <c r="AF869" t="s">
        <v>40</v>
      </c>
      <c r="AG869">
        <v>0</v>
      </c>
      <c r="AH869" t="s">
        <v>100</v>
      </c>
    </row>
    <row r="870" spans="1:34" x14ac:dyDescent="0.3">
      <c r="A870" t="s">
        <v>1460</v>
      </c>
      <c r="B870" t="s">
        <v>591</v>
      </c>
      <c r="C870" t="s">
        <v>122</v>
      </c>
      <c r="D870" t="s">
        <v>104</v>
      </c>
      <c r="E870" s="1">
        <v>46066</v>
      </c>
      <c r="F870" s="1">
        <v>46073</v>
      </c>
      <c r="G870" t="s">
        <v>41</v>
      </c>
      <c r="H870">
        <v>8970</v>
      </c>
      <c r="I870" t="s">
        <v>65</v>
      </c>
      <c r="J870" t="b">
        <v>0</v>
      </c>
      <c r="K870">
        <v>7</v>
      </c>
      <c r="L870">
        <v>2</v>
      </c>
      <c r="M870">
        <v>2026</v>
      </c>
      <c r="N870">
        <v>4</v>
      </c>
      <c r="O870">
        <v>2</v>
      </c>
      <c r="P870">
        <v>2026</v>
      </c>
      <c r="Q870">
        <v>4</v>
      </c>
      <c r="R870" t="s">
        <v>40</v>
      </c>
      <c r="S870" t="s">
        <v>67</v>
      </c>
      <c r="T870" t="s">
        <v>42</v>
      </c>
      <c r="U870" t="s">
        <v>40</v>
      </c>
      <c r="V870" t="s">
        <v>124</v>
      </c>
      <c r="W870" t="s">
        <v>125</v>
      </c>
      <c r="X870" t="s">
        <v>126</v>
      </c>
      <c r="Y870">
        <v>85</v>
      </c>
      <c r="Z870" t="s">
        <v>107</v>
      </c>
      <c r="AA870" t="s">
        <v>108</v>
      </c>
      <c r="AB870" s="1">
        <v>46073</v>
      </c>
      <c r="AC870" t="s">
        <v>40</v>
      </c>
      <c r="AD870" t="s">
        <v>40</v>
      </c>
      <c r="AE870" t="s">
        <v>60</v>
      </c>
      <c r="AF870" t="s">
        <v>40</v>
      </c>
      <c r="AG870">
        <v>0</v>
      </c>
      <c r="AH870" t="s">
        <v>100</v>
      </c>
    </row>
    <row r="871" spans="1:34" x14ac:dyDescent="0.3">
      <c r="A871" t="s">
        <v>1461</v>
      </c>
      <c r="B871" t="s">
        <v>500</v>
      </c>
      <c r="C871" t="s">
        <v>97</v>
      </c>
      <c r="D871" t="s">
        <v>90</v>
      </c>
      <c r="E871" s="1">
        <v>45781</v>
      </c>
      <c r="F871" s="1">
        <v>45931</v>
      </c>
      <c r="G871" t="s">
        <v>81</v>
      </c>
      <c r="H871">
        <v>8223</v>
      </c>
      <c r="I871" t="s">
        <v>39</v>
      </c>
      <c r="J871" t="b">
        <v>0</v>
      </c>
      <c r="K871">
        <v>150</v>
      </c>
      <c r="L871">
        <v>10</v>
      </c>
      <c r="M871">
        <v>2025</v>
      </c>
      <c r="N871">
        <v>2</v>
      </c>
      <c r="O871">
        <v>5</v>
      </c>
      <c r="P871">
        <v>2025</v>
      </c>
      <c r="Q871">
        <v>6</v>
      </c>
      <c r="R871" t="s">
        <v>40</v>
      </c>
      <c r="S871" t="s">
        <v>41</v>
      </c>
      <c r="T871" t="s">
        <v>42</v>
      </c>
      <c r="U871" t="s">
        <v>40</v>
      </c>
      <c r="V871" t="s">
        <v>98</v>
      </c>
      <c r="W871" t="s">
        <v>99</v>
      </c>
      <c r="X871" t="s">
        <v>76</v>
      </c>
      <c r="Y871">
        <v>80</v>
      </c>
      <c r="Z871" t="s">
        <v>93</v>
      </c>
      <c r="AA871" t="s">
        <v>94</v>
      </c>
      <c r="AB871" s="1">
        <v>45931</v>
      </c>
      <c r="AC871" t="s">
        <v>40</v>
      </c>
      <c r="AD871" t="s">
        <v>40</v>
      </c>
      <c r="AE871" t="s">
        <v>60</v>
      </c>
      <c r="AF871" t="s">
        <v>40</v>
      </c>
      <c r="AG871">
        <v>0</v>
      </c>
      <c r="AH871" t="s">
        <v>49</v>
      </c>
    </row>
    <row r="872" spans="1:34" x14ac:dyDescent="0.3">
      <c r="A872" t="s">
        <v>1462</v>
      </c>
      <c r="B872" t="s">
        <v>760</v>
      </c>
      <c r="C872" t="s">
        <v>122</v>
      </c>
      <c r="D872" t="s">
        <v>130</v>
      </c>
      <c r="E872" s="1">
        <v>45665</v>
      </c>
      <c r="F872" s="1">
        <v>45679</v>
      </c>
      <c r="G872" t="s">
        <v>41</v>
      </c>
      <c r="H872">
        <v>6476</v>
      </c>
      <c r="I872" t="s">
        <v>39</v>
      </c>
      <c r="J872" t="b">
        <v>0</v>
      </c>
      <c r="K872">
        <v>14</v>
      </c>
      <c r="L872">
        <v>1</v>
      </c>
      <c r="M872">
        <v>2025</v>
      </c>
      <c r="N872">
        <v>2</v>
      </c>
      <c r="O872">
        <v>1</v>
      </c>
      <c r="P872">
        <v>2025</v>
      </c>
      <c r="Q872">
        <v>2</v>
      </c>
      <c r="R872" t="s">
        <v>40</v>
      </c>
      <c r="S872" t="s">
        <v>55</v>
      </c>
      <c r="T872" t="s">
        <v>42</v>
      </c>
      <c r="U872" t="s">
        <v>40</v>
      </c>
      <c r="V872" t="s">
        <v>124</v>
      </c>
      <c r="W872" t="s">
        <v>125</v>
      </c>
      <c r="X872" t="s">
        <v>126</v>
      </c>
      <c r="Y872">
        <v>85</v>
      </c>
      <c r="Z872" t="s">
        <v>133</v>
      </c>
      <c r="AA872" t="s">
        <v>134</v>
      </c>
      <c r="AB872" s="1">
        <v>45679</v>
      </c>
      <c r="AC872" t="s">
        <v>40</v>
      </c>
      <c r="AD872" t="s">
        <v>40</v>
      </c>
      <c r="AE872" t="s">
        <v>86</v>
      </c>
      <c r="AF872" t="s">
        <v>40</v>
      </c>
      <c r="AG872">
        <v>0</v>
      </c>
      <c r="AH872" t="s">
        <v>70</v>
      </c>
    </row>
    <row r="873" spans="1:34" x14ac:dyDescent="0.3">
      <c r="A873" t="s">
        <v>1463</v>
      </c>
      <c r="B873" t="s">
        <v>175</v>
      </c>
      <c r="C873" t="s">
        <v>73</v>
      </c>
      <c r="D873" t="s">
        <v>37</v>
      </c>
      <c r="E873" s="1">
        <v>45744</v>
      </c>
      <c r="F873" s="1">
        <v>45774</v>
      </c>
      <c r="G873" t="s">
        <v>41</v>
      </c>
      <c r="H873">
        <v>8675</v>
      </c>
      <c r="I873" t="s">
        <v>39</v>
      </c>
      <c r="J873" t="b">
        <v>0</v>
      </c>
      <c r="K873">
        <v>30</v>
      </c>
      <c r="L873">
        <v>4</v>
      </c>
      <c r="M873">
        <v>2025</v>
      </c>
      <c r="N873">
        <v>6</v>
      </c>
      <c r="O873">
        <v>3</v>
      </c>
      <c r="P873">
        <v>2025</v>
      </c>
      <c r="Q873">
        <v>4</v>
      </c>
      <c r="R873" t="s">
        <v>66</v>
      </c>
      <c r="S873" t="s">
        <v>41</v>
      </c>
      <c r="T873" t="s">
        <v>42</v>
      </c>
      <c r="U873" t="s">
        <v>40</v>
      </c>
      <c r="V873" t="s">
        <v>74</v>
      </c>
      <c r="W873" t="s">
        <v>75</v>
      </c>
      <c r="X873" t="s">
        <v>76</v>
      </c>
      <c r="Y873">
        <v>75</v>
      </c>
      <c r="Z873" t="s">
        <v>46</v>
      </c>
      <c r="AA873" t="s">
        <v>47</v>
      </c>
      <c r="AB873" s="1">
        <v>45774</v>
      </c>
      <c r="AC873" t="s">
        <v>66</v>
      </c>
      <c r="AD873" t="s">
        <v>40</v>
      </c>
      <c r="AE873" t="s">
        <v>69</v>
      </c>
      <c r="AF873" t="s">
        <v>40</v>
      </c>
      <c r="AG873">
        <v>0</v>
      </c>
      <c r="AH873" t="s">
        <v>70</v>
      </c>
    </row>
    <row r="874" spans="1:34" x14ac:dyDescent="0.3">
      <c r="A874" t="s">
        <v>1464</v>
      </c>
      <c r="B874" t="s">
        <v>697</v>
      </c>
      <c r="C874" t="s">
        <v>103</v>
      </c>
      <c r="D874" t="s">
        <v>90</v>
      </c>
      <c r="E874" s="1">
        <v>45836</v>
      </c>
      <c r="F874" s="1">
        <v>45986</v>
      </c>
      <c r="G874" t="s">
        <v>38</v>
      </c>
      <c r="H874">
        <v>3948</v>
      </c>
      <c r="I874" t="s">
        <v>39</v>
      </c>
      <c r="J874" t="b">
        <v>0</v>
      </c>
      <c r="K874">
        <v>150</v>
      </c>
      <c r="L874">
        <v>11</v>
      </c>
      <c r="M874">
        <v>2025</v>
      </c>
      <c r="N874">
        <v>1</v>
      </c>
      <c r="O874">
        <v>6</v>
      </c>
      <c r="P874">
        <v>2025</v>
      </c>
      <c r="Q874">
        <v>5</v>
      </c>
      <c r="R874" t="s">
        <v>40</v>
      </c>
      <c r="S874" t="s">
        <v>41</v>
      </c>
      <c r="T874" t="s">
        <v>286</v>
      </c>
      <c r="U874" t="s">
        <v>40</v>
      </c>
      <c r="V874" t="s">
        <v>105</v>
      </c>
      <c r="W874" t="s">
        <v>106</v>
      </c>
      <c r="X874" t="s">
        <v>45</v>
      </c>
      <c r="Y874">
        <v>140</v>
      </c>
      <c r="Z874" t="s">
        <v>93</v>
      </c>
      <c r="AA874" t="s">
        <v>94</v>
      </c>
      <c r="AB874" s="1">
        <v>45986</v>
      </c>
      <c r="AC874" t="s">
        <v>40</v>
      </c>
      <c r="AD874" t="s">
        <v>40</v>
      </c>
      <c r="AE874" t="s">
        <v>86</v>
      </c>
      <c r="AF874" t="s">
        <v>40</v>
      </c>
      <c r="AG874">
        <v>0</v>
      </c>
      <c r="AH874" t="s">
        <v>49</v>
      </c>
    </row>
    <row r="875" spans="1:34" x14ac:dyDescent="0.3">
      <c r="A875" t="s">
        <v>1465</v>
      </c>
      <c r="B875" t="s">
        <v>1466</v>
      </c>
      <c r="C875" t="s">
        <v>155</v>
      </c>
      <c r="D875" t="s">
        <v>53</v>
      </c>
      <c r="E875" s="1">
        <v>45687</v>
      </c>
      <c r="F875" s="1">
        <v>45747</v>
      </c>
      <c r="G875" t="s">
        <v>81</v>
      </c>
      <c r="H875">
        <v>6780</v>
      </c>
      <c r="I875" t="s">
        <v>39</v>
      </c>
      <c r="J875" t="b">
        <v>0</v>
      </c>
      <c r="K875">
        <v>60</v>
      </c>
      <c r="L875">
        <v>3</v>
      </c>
      <c r="M875">
        <v>2025</v>
      </c>
      <c r="N875">
        <v>0</v>
      </c>
      <c r="O875">
        <v>1</v>
      </c>
      <c r="P875">
        <v>2025</v>
      </c>
      <c r="Q875">
        <v>3</v>
      </c>
      <c r="R875" t="s">
        <v>40</v>
      </c>
      <c r="S875" t="s">
        <v>41</v>
      </c>
      <c r="T875" t="s">
        <v>42</v>
      </c>
      <c r="U875" t="s">
        <v>66</v>
      </c>
      <c r="V875" t="s">
        <v>156</v>
      </c>
      <c r="W875" t="s">
        <v>157</v>
      </c>
      <c r="X875" t="s">
        <v>158</v>
      </c>
      <c r="Y875">
        <v>70</v>
      </c>
      <c r="Z875" t="s">
        <v>58</v>
      </c>
      <c r="AA875" t="s">
        <v>59</v>
      </c>
      <c r="AB875" s="1">
        <v>45747</v>
      </c>
      <c r="AC875" t="s">
        <v>40</v>
      </c>
      <c r="AD875" t="s">
        <v>40</v>
      </c>
      <c r="AE875" t="s">
        <v>60</v>
      </c>
      <c r="AF875" t="s">
        <v>40</v>
      </c>
      <c r="AG875">
        <v>0</v>
      </c>
      <c r="AH875" t="s">
        <v>61</v>
      </c>
    </row>
    <row r="876" spans="1:34" x14ac:dyDescent="0.3">
      <c r="A876" t="s">
        <v>1467</v>
      </c>
      <c r="B876" t="s">
        <v>983</v>
      </c>
      <c r="C876" t="s">
        <v>155</v>
      </c>
      <c r="D876" t="s">
        <v>37</v>
      </c>
      <c r="E876" s="1">
        <v>46195</v>
      </c>
      <c r="F876" s="1">
        <v>46198</v>
      </c>
      <c r="G876" t="s">
        <v>64</v>
      </c>
      <c r="H876">
        <v>2914</v>
      </c>
      <c r="I876" t="s">
        <v>54</v>
      </c>
      <c r="J876" t="b">
        <v>0</v>
      </c>
      <c r="K876">
        <v>3</v>
      </c>
      <c r="L876">
        <v>6</v>
      </c>
      <c r="M876">
        <v>2026</v>
      </c>
      <c r="N876">
        <v>3</v>
      </c>
      <c r="O876">
        <v>6</v>
      </c>
      <c r="P876">
        <v>2026</v>
      </c>
      <c r="Q876">
        <v>0</v>
      </c>
      <c r="R876" t="s">
        <v>40</v>
      </c>
      <c r="S876" t="s">
        <v>41</v>
      </c>
      <c r="T876" t="s">
        <v>42</v>
      </c>
      <c r="U876" t="s">
        <v>40</v>
      </c>
      <c r="V876" t="s">
        <v>156</v>
      </c>
      <c r="W876" t="s">
        <v>157</v>
      </c>
      <c r="X876" t="s">
        <v>158</v>
      </c>
      <c r="Y876">
        <v>70</v>
      </c>
      <c r="Z876" t="s">
        <v>46</v>
      </c>
      <c r="AA876" t="s">
        <v>47</v>
      </c>
      <c r="AB876" s="1">
        <v>46198</v>
      </c>
      <c r="AC876" t="s">
        <v>40</v>
      </c>
      <c r="AD876" t="s">
        <v>40</v>
      </c>
      <c r="AE876" t="s">
        <v>60</v>
      </c>
      <c r="AF876" t="s">
        <v>40</v>
      </c>
      <c r="AG876">
        <v>1</v>
      </c>
      <c r="AH876" t="s">
        <v>100</v>
      </c>
    </row>
    <row r="877" spans="1:34" x14ac:dyDescent="0.3">
      <c r="A877" t="s">
        <v>1468</v>
      </c>
      <c r="B877" t="s">
        <v>460</v>
      </c>
      <c r="C877" t="s">
        <v>122</v>
      </c>
      <c r="D877" t="s">
        <v>104</v>
      </c>
      <c r="E877" s="1">
        <v>46207</v>
      </c>
      <c r="F877" s="1">
        <v>46221</v>
      </c>
      <c r="G877" t="s">
        <v>64</v>
      </c>
      <c r="H877">
        <v>3175</v>
      </c>
      <c r="I877" t="s">
        <v>212</v>
      </c>
      <c r="J877" t="b">
        <v>0</v>
      </c>
      <c r="K877">
        <v>14</v>
      </c>
      <c r="L877">
        <v>7</v>
      </c>
      <c r="M877">
        <v>2026</v>
      </c>
      <c r="N877">
        <v>5</v>
      </c>
      <c r="O877">
        <v>7</v>
      </c>
      <c r="P877">
        <v>2026</v>
      </c>
      <c r="Q877">
        <v>5</v>
      </c>
      <c r="R877" t="s">
        <v>66</v>
      </c>
      <c r="S877" t="s">
        <v>41</v>
      </c>
      <c r="T877" t="s">
        <v>286</v>
      </c>
      <c r="U877" t="s">
        <v>40</v>
      </c>
      <c r="V877" t="s">
        <v>124</v>
      </c>
      <c r="W877" t="s">
        <v>125</v>
      </c>
      <c r="X877" t="s">
        <v>126</v>
      </c>
      <c r="Y877">
        <v>85</v>
      </c>
      <c r="Z877" t="s">
        <v>107</v>
      </c>
      <c r="AA877" t="s">
        <v>108</v>
      </c>
      <c r="AB877" s="1">
        <v>46221</v>
      </c>
      <c r="AC877" t="s">
        <v>66</v>
      </c>
      <c r="AD877" t="s">
        <v>40</v>
      </c>
      <c r="AE877" t="s">
        <v>86</v>
      </c>
      <c r="AF877" t="s">
        <v>40</v>
      </c>
      <c r="AG877">
        <v>0</v>
      </c>
      <c r="AH877" t="s">
        <v>70</v>
      </c>
    </row>
    <row r="878" spans="1:34" x14ac:dyDescent="0.3">
      <c r="A878" t="s">
        <v>1469</v>
      </c>
      <c r="B878" t="s">
        <v>1470</v>
      </c>
      <c r="C878" t="s">
        <v>122</v>
      </c>
      <c r="D878" t="s">
        <v>104</v>
      </c>
      <c r="E878" s="1">
        <v>46242</v>
      </c>
      <c r="F878" s="1">
        <v>46249</v>
      </c>
      <c r="G878" t="s">
        <v>38</v>
      </c>
      <c r="H878">
        <v>4084</v>
      </c>
      <c r="I878" t="s">
        <v>54</v>
      </c>
      <c r="J878" t="b">
        <v>0</v>
      </c>
      <c r="K878">
        <v>7</v>
      </c>
      <c r="L878">
        <v>8</v>
      </c>
      <c r="M878">
        <v>2026</v>
      </c>
      <c r="N878">
        <v>5</v>
      </c>
      <c r="O878">
        <v>8</v>
      </c>
      <c r="P878">
        <v>2026</v>
      </c>
      <c r="Q878">
        <v>5</v>
      </c>
      <c r="R878" t="s">
        <v>66</v>
      </c>
      <c r="S878" t="s">
        <v>41</v>
      </c>
      <c r="T878" t="s">
        <v>42</v>
      </c>
      <c r="U878" t="s">
        <v>40</v>
      </c>
      <c r="V878" t="s">
        <v>124</v>
      </c>
      <c r="W878" t="s">
        <v>125</v>
      </c>
      <c r="X878" t="s">
        <v>126</v>
      </c>
      <c r="Y878">
        <v>85</v>
      </c>
      <c r="Z878" t="s">
        <v>107</v>
      </c>
      <c r="AA878" t="s">
        <v>108</v>
      </c>
      <c r="AB878" s="1">
        <v>46249</v>
      </c>
      <c r="AC878" t="s">
        <v>66</v>
      </c>
      <c r="AD878" t="s">
        <v>66</v>
      </c>
      <c r="AE878" t="s">
        <v>86</v>
      </c>
      <c r="AF878" t="s">
        <v>66</v>
      </c>
      <c r="AG878">
        <v>1</v>
      </c>
      <c r="AH878" t="s">
        <v>100</v>
      </c>
    </row>
    <row r="879" spans="1:34" x14ac:dyDescent="0.3">
      <c r="A879" t="s">
        <v>1471</v>
      </c>
      <c r="B879" t="s">
        <v>350</v>
      </c>
      <c r="C879" t="s">
        <v>169</v>
      </c>
      <c r="D879" t="s">
        <v>80</v>
      </c>
      <c r="E879" s="1">
        <v>45765</v>
      </c>
      <c r="F879" s="1">
        <v>45772</v>
      </c>
      <c r="G879" t="s">
        <v>81</v>
      </c>
      <c r="H879">
        <v>9192</v>
      </c>
      <c r="I879" t="s">
        <v>39</v>
      </c>
      <c r="J879" t="b">
        <v>0</v>
      </c>
      <c r="K879">
        <v>7</v>
      </c>
      <c r="L879">
        <v>4</v>
      </c>
      <c r="M879">
        <v>2025</v>
      </c>
      <c r="N879">
        <v>4</v>
      </c>
      <c r="O879">
        <v>4</v>
      </c>
      <c r="P879">
        <v>2025</v>
      </c>
      <c r="Q879">
        <v>4</v>
      </c>
      <c r="R879" t="s">
        <v>40</v>
      </c>
      <c r="S879" t="s">
        <v>55</v>
      </c>
      <c r="T879" t="s">
        <v>42</v>
      </c>
      <c r="U879" t="s">
        <v>40</v>
      </c>
      <c r="V879" t="s">
        <v>170</v>
      </c>
      <c r="W879" t="s">
        <v>171</v>
      </c>
      <c r="X879" t="s">
        <v>126</v>
      </c>
      <c r="Y879">
        <v>90</v>
      </c>
      <c r="Z879" t="s">
        <v>84</v>
      </c>
      <c r="AA879" t="s">
        <v>85</v>
      </c>
      <c r="AB879" s="1">
        <v>45772</v>
      </c>
      <c r="AC879" t="s">
        <v>40</v>
      </c>
      <c r="AD879" t="s">
        <v>40</v>
      </c>
      <c r="AE879" t="s">
        <v>69</v>
      </c>
      <c r="AF879" t="s">
        <v>40</v>
      </c>
      <c r="AG879">
        <v>0</v>
      </c>
      <c r="AH879" t="s">
        <v>100</v>
      </c>
    </row>
    <row r="880" spans="1:34" x14ac:dyDescent="0.3">
      <c r="A880" t="s">
        <v>1472</v>
      </c>
      <c r="B880" t="s">
        <v>965</v>
      </c>
      <c r="C880" t="s">
        <v>169</v>
      </c>
      <c r="D880" t="s">
        <v>90</v>
      </c>
      <c r="E880" s="1">
        <v>45993</v>
      </c>
      <c r="F880" s="1">
        <v>46007</v>
      </c>
      <c r="G880" t="s">
        <v>38</v>
      </c>
      <c r="H880">
        <v>3640</v>
      </c>
      <c r="I880" t="s">
        <v>39</v>
      </c>
      <c r="J880" t="b">
        <v>0</v>
      </c>
      <c r="K880">
        <v>14</v>
      </c>
      <c r="L880">
        <v>12</v>
      </c>
      <c r="M880">
        <v>2025</v>
      </c>
      <c r="N880">
        <v>1</v>
      </c>
      <c r="O880">
        <v>12</v>
      </c>
      <c r="P880">
        <v>2025</v>
      </c>
      <c r="Q880">
        <v>1</v>
      </c>
      <c r="R880" t="s">
        <v>40</v>
      </c>
      <c r="S880" t="s">
        <v>55</v>
      </c>
      <c r="T880" t="s">
        <v>68</v>
      </c>
      <c r="U880" t="s">
        <v>40</v>
      </c>
      <c r="V880" t="s">
        <v>170</v>
      </c>
      <c r="W880" t="s">
        <v>171</v>
      </c>
      <c r="X880" t="s">
        <v>126</v>
      </c>
      <c r="Y880">
        <v>90</v>
      </c>
      <c r="Z880" t="s">
        <v>93</v>
      </c>
      <c r="AA880" t="s">
        <v>94</v>
      </c>
      <c r="AB880" s="1">
        <v>46007</v>
      </c>
      <c r="AC880" t="s">
        <v>40</v>
      </c>
      <c r="AD880" t="s">
        <v>40</v>
      </c>
      <c r="AE880" t="s">
        <v>69</v>
      </c>
      <c r="AF880" t="s">
        <v>40</v>
      </c>
      <c r="AG880">
        <v>0</v>
      </c>
      <c r="AH880" t="s">
        <v>70</v>
      </c>
    </row>
    <row r="881" spans="1:34" x14ac:dyDescent="0.3">
      <c r="A881" t="s">
        <v>1473</v>
      </c>
      <c r="B881" t="s">
        <v>357</v>
      </c>
      <c r="C881" t="s">
        <v>129</v>
      </c>
      <c r="D881" t="s">
        <v>130</v>
      </c>
      <c r="E881" s="1">
        <v>45901</v>
      </c>
      <c r="F881" s="1">
        <v>45904</v>
      </c>
      <c r="G881" t="s">
        <v>81</v>
      </c>
      <c r="H881">
        <v>10463</v>
      </c>
      <c r="I881" t="s">
        <v>65</v>
      </c>
      <c r="J881" t="b">
        <v>0</v>
      </c>
      <c r="K881">
        <v>3</v>
      </c>
      <c r="L881">
        <v>9</v>
      </c>
      <c r="M881">
        <v>2025</v>
      </c>
      <c r="N881">
        <v>3</v>
      </c>
      <c r="O881">
        <v>9</v>
      </c>
      <c r="P881">
        <v>2025</v>
      </c>
      <c r="Q881">
        <v>0</v>
      </c>
      <c r="R881" t="s">
        <v>40</v>
      </c>
      <c r="S881" t="s">
        <v>45</v>
      </c>
      <c r="T881" t="s">
        <v>123</v>
      </c>
      <c r="U881" t="s">
        <v>40</v>
      </c>
      <c r="V881" t="s">
        <v>131</v>
      </c>
      <c r="W881" t="s">
        <v>132</v>
      </c>
      <c r="X881" t="s">
        <v>45</v>
      </c>
      <c r="Y881">
        <v>110</v>
      </c>
      <c r="Z881" t="s">
        <v>133</v>
      </c>
      <c r="AA881" t="s">
        <v>134</v>
      </c>
      <c r="AB881" s="1">
        <v>45904</v>
      </c>
      <c r="AC881" t="s">
        <v>40</v>
      </c>
      <c r="AD881" t="s">
        <v>40</v>
      </c>
      <c r="AE881" t="s">
        <v>60</v>
      </c>
      <c r="AF881" t="s">
        <v>40</v>
      </c>
      <c r="AG881">
        <v>0</v>
      </c>
      <c r="AH881" t="s">
        <v>100</v>
      </c>
    </row>
    <row r="882" spans="1:34" x14ac:dyDescent="0.3">
      <c r="A882" t="s">
        <v>1474</v>
      </c>
      <c r="B882" t="s">
        <v>965</v>
      </c>
      <c r="C882" t="s">
        <v>103</v>
      </c>
      <c r="D882" t="s">
        <v>104</v>
      </c>
      <c r="E882" s="1">
        <v>45877</v>
      </c>
      <c r="F882" s="1">
        <v>45891</v>
      </c>
      <c r="G882" t="s">
        <v>81</v>
      </c>
      <c r="H882">
        <v>8788</v>
      </c>
      <c r="I882" t="s">
        <v>39</v>
      </c>
      <c r="J882" t="b">
        <v>0</v>
      </c>
      <c r="K882">
        <v>14</v>
      </c>
      <c r="L882">
        <v>8</v>
      </c>
      <c r="M882">
        <v>2025</v>
      </c>
      <c r="N882">
        <v>4</v>
      </c>
      <c r="O882">
        <v>8</v>
      </c>
      <c r="P882">
        <v>2025</v>
      </c>
      <c r="Q882">
        <v>4</v>
      </c>
      <c r="R882" t="s">
        <v>40</v>
      </c>
      <c r="S882" t="s">
        <v>55</v>
      </c>
      <c r="T882" t="s">
        <v>68</v>
      </c>
      <c r="U882" t="s">
        <v>40</v>
      </c>
      <c r="V882" t="s">
        <v>105</v>
      </c>
      <c r="W882" t="s">
        <v>106</v>
      </c>
      <c r="X882" t="s">
        <v>45</v>
      </c>
      <c r="Y882">
        <v>140</v>
      </c>
      <c r="Z882" t="s">
        <v>107</v>
      </c>
      <c r="AA882" t="s">
        <v>108</v>
      </c>
      <c r="AB882" s="1">
        <v>45891</v>
      </c>
      <c r="AC882" t="s">
        <v>40</v>
      </c>
      <c r="AD882" t="s">
        <v>40</v>
      </c>
      <c r="AE882" t="s">
        <v>86</v>
      </c>
      <c r="AF882" t="s">
        <v>40</v>
      </c>
      <c r="AG882">
        <v>0</v>
      </c>
      <c r="AH882" t="s">
        <v>70</v>
      </c>
    </row>
    <row r="883" spans="1:34" x14ac:dyDescent="0.3">
      <c r="A883" t="s">
        <v>1475</v>
      </c>
      <c r="B883" t="s">
        <v>570</v>
      </c>
      <c r="C883" t="s">
        <v>169</v>
      </c>
      <c r="D883" t="s">
        <v>53</v>
      </c>
      <c r="E883" s="1">
        <v>46157</v>
      </c>
      <c r="F883" s="1">
        <v>46217</v>
      </c>
      <c r="G883" t="s">
        <v>41</v>
      </c>
      <c r="H883">
        <v>6076</v>
      </c>
      <c r="I883" t="s">
        <v>39</v>
      </c>
      <c r="J883" t="b">
        <v>0</v>
      </c>
      <c r="K883">
        <v>60</v>
      </c>
      <c r="L883">
        <v>7</v>
      </c>
      <c r="M883">
        <v>2026</v>
      </c>
      <c r="N883">
        <v>1</v>
      </c>
      <c r="O883">
        <v>5</v>
      </c>
      <c r="P883">
        <v>2026</v>
      </c>
      <c r="Q883">
        <v>4</v>
      </c>
      <c r="R883" t="s">
        <v>40</v>
      </c>
      <c r="S883" t="s">
        <v>41</v>
      </c>
      <c r="T883" t="s">
        <v>42</v>
      </c>
      <c r="U883" t="s">
        <v>40</v>
      </c>
      <c r="V883" t="s">
        <v>170</v>
      </c>
      <c r="W883" t="s">
        <v>171</v>
      </c>
      <c r="X883" t="s">
        <v>126</v>
      </c>
      <c r="Y883">
        <v>90</v>
      </c>
      <c r="Z883" t="s">
        <v>58</v>
      </c>
      <c r="AA883" t="s">
        <v>59</v>
      </c>
      <c r="AB883" s="1">
        <v>46217</v>
      </c>
      <c r="AC883" t="s">
        <v>40</v>
      </c>
      <c r="AD883" t="s">
        <v>40</v>
      </c>
      <c r="AE883" t="s">
        <v>86</v>
      </c>
      <c r="AF883" t="s">
        <v>40</v>
      </c>
      <c r="AG883">
        <v>0</v>
      </c>
      <c r="AH883" t="s">
        <v>61</v>
      </c>
    </row>
    <row r="884" spans="1:34" x14ac:dyDescent="0.3">
      <c r="A884" t="s">
        <v>1476</v>
      </c>
      <c r="B884" t="s">
        <v>285</v>
      </c>
      <c r="C884" t="s">
        <v>97</v>
      </c>
      <c r="D884" t="s">
        <v>130</v>
      </c>
      <c r="E884" s="1">
        <v>45890</v>
      </c>
      <c r="F884" s="1">
        <v>46110</v>
      </c>
      <c r="G884" t="s">
        <v>64</v>
      </c>
      <c r="H884">
        <v>3327</v>
      </c>
      <c r="I884" t="s">
        <v>39</v>
      </c>
      <c r="J884" t="b">
        <v>0</v>
      </c>
      <c r="K884">
        <v>220</v>
      </c>
      <c r="L884">
        <v>3</v>
      </c>
      <c r="M884">
        <v>2026</v>
      </c>
      <c r="N884">
        <v>6</v>
      </c>
      <c r="O884">
        <v>8</v>
      </c>
      <c r="P884">
        <v>2025</v>
      </c>
      <c r="Q884">
        <v>3</v>
      </c>
      <c r="R884" t="s">
        <v>66</v>
      </c>
      <c r="S884" t="s">
        <v>45</v>
      </c>
      <c r="T884" t="s">
        <v>286</v>
      </c>
      <c r="U884" t="s">
        <v>40</v>
      </c>
      <c r="V884" t="s">
        <v>98</v>
      </c>
      <c r="W884" t="s">
        <v>99</v>
      </c>
      <c r="X884" t="s">
        <v>76</v>
      </c>
      <c r="Y884">
        <v>80</v>
      </c>
      <c r="Z884" t="s">
        <v>133</v>
      </c>
      <c r="AA884" t="s">
        <v>134</v>
      </c>
      <c r="AB884" s="1">
        <v>46110</v>
      </c>
      <c r="AC884" t="s">
        <v>66</v>
      </c>
      <c r="AD884" t="s">
        <v>40</v>
      </c>
      <c r="AE884" t="s">
        <v>60</v>
      </c>
      <c r="AF884" t="s">
        <v>40</v>
      </c>
      <c r="AG884">
        <v>0</v>
      </c>
      <c r="AH884" t="s">
        <v>142</v>
      </c>
    </row>
    <row r="885" spans="1:34" x14ac:dyDescent="0.3">
      <c r="A885" t="s">
        <v>1477</v>
      </c>
      <c r="B885" t="s">
        <v>243</v>
      </c>
      <c r="C885" t="s">
        <v>146</v>
      </c>
      <c r="D885" t="s">
        <v>90</v>
      </c>
      <c r="E885" s="1">
        <v>46065</v>
      </c>
      <c r="F885" s="1">
        <v>46165</v>
      </c>
      <c r="G885" t="s">
        <v>38</v>
      </c>
      <c r="H885">
        <v>4408</v>
      </c>
      <c r="I885" t="s">
        <v>39</v>
      </c>
      <c r="J885" t="b">
        <v>0</v>
      </c>
      <c r="K885">
        <v>100</v>
      </c>
      <c r="L885">
        <v>5</v>
      </c>
      <c r="M885">
        <v>2026</v>
      </c>
      <c r="N885">
        <v>5</v>
      </c>
      <c r="O885">
        <v>2</v>
      </c>
      <c r="P885">
        <v>2026</v>
      </c>
      <c r="Q885">
        <v>3</v>
      </c>
      <c r="R885" t="s">
        <v>66</v>
      </c>
      <c r="S885" t="s">
        <v>55</v>
      </c>
      <c r="T885" t="s">
        <v>42</v>
      </c>
      <c r="U885" t="s">
        <v>40</v>
      </c>
      <c r="V885" t="s">
        <v>147</v>
      </c>
      <c r="W885" t="s">
        <v>148</v>
      </c>
      <c r="X885" t="s">
        <v>45</v>
      </c>
      <c r="Y885">
        <v>160</v>
      </c>
      <c r="Z885" t="s">
        <v>93</v>
      </c>
      <c r="AA885" t="s">
        <v>94</v>
      </c>
      <c r="AB885" s="1">
        <v>46165</v>
      </c>
      <c r="AC885" t="s">
        <v>66</v>
      </c>
      <c r="AD885" t="s">
        <v>40</v>
      </c>
      <c r="AE885" t="s">
        <v>69</v>
      </c>
      <c r="AF885" t="s">
        <v>40</v>
      </c>
      <c r="AG885">
        <v>0</v>
      </c>
      <c r="AH885" t="s">
        <v>49</v>
      </c>
    </row>
    <row r="886" spans="1:34" x14ac:dyDescent="0.3">
      <c r="A886" t="s">
        <v>1478</v>
      </c>
      <c r="B886" t="s">
        <v>1314</v>
      </c>
      <c r="C886" t="s">
        <v>155</v>
      </c>
      <c r="D886" t="s">
        <v>80</v>
      </c>
      <c r="E886" s="1">
        <v>46195</v>
      </c>
      <c r="F886" s="1">
        <v>46196</v>
      </c>
      <c r="G886" t="s">
        <v>81</v>
      </c>
      <c r="H886">
        <v>7866</v>
      </c>
      <c r="I886" t="s">
        <v>39</v>
      </c>
      <c r="J886" t="b">
        <v>0</v>
      </c>
      <c r="K886">
        <v>1</v>
      </c>
      <c r="L886">
        <v>6</v>
      </c>
      <c r="M886">
        <v>2026</v>
      </c>
      <c r="N886">
        <v>1</v>
      </c>
      <c r="O886">
        <v>6</v>
      </c>
      <c r="P886">
        <v>2026</v>
      </c>
      <c r="Q886">
        <v>0</v>
      </c>
      <c r="R886" t="s">
        <v>40</v>
      </c>
      <c r="S886" t="s">
        <v>55</v>
      </c>
      <c r="T886" t="s">
        <v>42</v>
      </c>
      <c r="U886" t="s">
        <v>40</v>
      </c>
      <c r="V886" t="s">
        <v>156</v>
      </c>
      <c r="W886" t="s">
        <v>157</v>
      </c>
      <c r="X886" t="s">
        <v>158</v>
      </c>
      <c r="Y886">
        <v>70</v>
      </c>
      <c r="Z886" t="s">
        <v>84</v>
      </c>
      <c r="AA886" t="s">
        <v>85</v>
      </c>
      <c r="AB886" s="1">
        <v>46196</v>
      </c>
      <c r="AC886" t="s">
        <v>40</v>
      </c>
      <c r="AD886" t="s">
        <v>40</v>
      </c>
      <c r="AE886" t="s">
        <v>60</v>
      </c>
      <c r="AF886" t="s">
        <v>40</v>
      </c>
      <c r="AG886">
        <v>0</v>
      </c>
      <c r="AH886" t="s">
        <v>100</v>
      </c>
    </row>
    <row r="887" spans="1:34" x14ac:dyDescent="0.3">
      <c r="A887" t="s">
        <v>1479</v>
      </c>
      <c r="B887" t="s">
        <v>391</v>
      </c>
      <c r="C887" t="s">
        <v>73</v>
      </c>
      <c r="D887" t="s">
        <v>37</v>
      </c>
      <c r="E887" s="1">
        <v>45813</v>
      </c>
      <c r="F887" s="1">
        <v>45843</v>
      </c>
      <c r="G887" t="s">
        <v>41</v>
      </c>
      <c r="H887">
        <v>6214</v>
      </c>
      <c r="I887" t="s">
        <v>39</v>
      </c>
      <c r="J887" t="b">
        <v>0</v>
      </c>
      <c r="K887">
        <v>30</v>
      </c>
      <c r="L887">
        <v>7</v>
      </c>
      <c r="M887">
        <v>2025</v>
      </c>
      <c r="N887">
        <v>5</v>
      </c>
      <c r="O887">
        <v>6</v>
      </c>
      <c r="P887">
        <v>2025</v>
      </c>
      <c r="Q887">
        <v>3</v>
      </c>
      <c r="R887" t="s">
        <v>66</v>
      </c>
      <c r="S887" t="s">
        <v>55</v>
      </c>
      <c r="T887" t="s">
        <v>42</v>
      </c>
      <c r="U887" t="s">
        <v>40</v>
      </c>
      <c r="V887" t="s">
        <v>74</v>
      </c>
      <c r="W887" t="s">
        <v>75</v>
      </c>
      <c r="X887" t="s">
        <v>76</v>
      </c>
      <c r="Y887">
        <v>75</v>
      </c>
      <c r="Z887" t="s">
        <v>46</v>
      </c>
      <c r="AA887" t="s">
        <v>47</v>
      </c>
      <c r="AB887" s="1">
        <v>45843</v>
      </c>
      <c r="AC887" t="s">
        <v>66</v>
      </c>
      <c r="AD887" t="s">
        <v>40</v>
      </c>
      <c r="AE887" t="s">
        <v>86</v>
      </c>
      <c r="AF887" t="s">
        <v>40</v>
      </c>
      <c r="AG887">
        <v>0</v>
      </c>
      <c r="AH887" t="s">
        <v>70</v>
      </c>
    </row>
    <row r="888" spans="1:34" x14ac:dyDescent="0.3">
      <c r="A888" t="s">
        <v>1480</v>
      </c>
      <c r="B888" t="s">
        <v>460</v>
      </c>
      <c r="C888" t="s">
        <v>122</v>
      </c>
      <c r="D888" t="s">
        <v>53</v>
      </c>
      <c r="E888" s="1">
        <v>45797</v>
      </c>
      <c r="F888" s="1">
        <v>45857</v>
      </c>
      <c r="G888" t="s">
        <v>81</v>
      </c>
      <c r="H888">
        <v>11052</v>
      </c>
      <c r="I888" t="s">
        <v>39</v>
      </c>
      <c r="J888" t="b">
        <v>0</v>
      </c>
      <c r="K888">
        <v>60</v>
      </c>
      <c r="L888">
        <v>7</v>
      </c>
      <c r="M888">
        <v>2025</v>
      </c>
      <c r="N888">
        <v>5</v>
      </c>
      <c r="O888">
        <v>5</v>
      </c>
      <c r="P888">
        <v>2025</v>
      </c>
      <c r="Q888">
        <v>1</v>
      </c>
      <c r="R888" t="s">
        <v>66</v>
      </c>
      <c r="S888" t="s">
        <v>41</v>
      </c>
      <c r="T888" t="s">
        <v>286</v>
      </c>
      <c r="U888" t="s">
        <v>40</v>
      </c>
      <c r="V888" t="s">
        <v>124</v>
      </c>
      <c r="W888" t="s">
        <v>125</v>
      </c>
      <c r="X888" t="s">
        <v>126</v>
      </c>
      <c r="Y888">
        <v>85</v>
      </c>
      <c r="Z888" t="s">
        <v>58</v>
      </c>
      <c r="AA888" t="s">
        <v>59</v>
      </c>
      <c r="AB888" s="1">
        <v>45857</v>
      </c>
      <c r="AC888" t="s">
        <v>66</v>
      </c>
      <c r="AD888" t="s">
        <v>40</v>
      </c>
      <c r="AE888" t="s">
        <v>86</v>
      </c>
      <c r="AF888" t="s">
        <v>40</v>
      </c>
      <c r="AG888">
        <v>0</v>
      </c>
      <c r="AH888" t="s">
        <v>61</v>
      </c>
    </row>
    <row r="889" spans="1:34" x14ac:dyDescent="0.3">
      <c r="A889" t="s">
        <v>1481</v>
      </c>
      <c r="B889" t="s">
        <v>1257</v>
      </c>
      <c r="C889" t="s">
        <v>52</v>
      </c>
      <c r="D889" t="s">
        <v>104</v>
      </c>
      <c r="E889" s="1">
        <v>45801</v>
      </c>
      <c r="F889" s="1">
        <v>45804</v>
      </c>
      <c r="G889" t="s">
        <v>38</v>
      </c>
      <c r="H889">
        <v>4153</v>
      </c>
      <c r="I889" t="s">
        <v>65</v>
      </c>
      <c r="J889" t="b">
        <v>0</v>
      </c>
      <c r="K889">
        <v>3</v>
      </c>
      <c r="L889">
        <v>5</v>
      </c>
      <c r="M889">
        <v>2025</v>
      </c>
      <c r="N889">
        <v>1</v>
      </c>
      <c r="O889">
        <v>5</v>
      </c>
      <c r="P889">
        <v>2025</v>
      </c>
      <c r="Q889">
        <v>5</v>
      </c>
      <c r="R889" t="s">
        <v>40</v>
      </c>
      <c r="S889" t="s">
        <v>45</v>
      </c>
      <c r="T889" t="s">
        <v>42</v>
      </c>
      <c r="U889" t="s">
        <v>40</v>
      </c>
      <c r="V889" t="s">
        <v>56</v>
      </c>
      <c r="W889" t="s">
        <v>57</v>
      </c>
      <c r="X889" t="s">
        <v>45</v>
      </c>
      <c r="Y889">
        <v>120</v>
      </c>
      <c r="Z889" t="s">
        <v>107</v>
      </c>
      <c r="AA889" t="s">
        <v>108</v>
      </c>
      <c r="AB889" s="1">
        <v>45804</v>
      </c>
      <c r="AC889" t="s">
        <v>40</v>
      </c>
      <c r="AD889" t="s">
        <v>40</v>
      </c>
      <c r="AE889" t="s">
        <v>69</v>
      </c>
      <c r="AF889" t="s">
        <v>40</v>
      </c>
      <c r="AG889">
        <v>0</v>
      </c>
      <c r="AH889" t="s">
        <v>100</v>
      </c>
    </row>
    <row r="890" spans="1:34" x14ac:dyDescent="0.3">
      <c r="A890" t="s">
        <v>1482</v>
      </c>
      <c r="B890" t="s">
        <v>628</v>
      </c>
      <c r="C890" t="s">
        <v>73</v>
      </c>
      <c r="D890" t="s">
        <v>53</v>
      </c>
      <c r="E890" s="1">
        <v>45801</v>
      </c>
      <c r="F890" s="1">
        <v>45901</v>
      </c>
      <c r="G890" t="s">
        <v>64</v>
      </c>
      <c r="H890">
        <v>4134</v>
      </c>
      <c r="I890" t="s">
        <v>54</v>
      </c>
      <c r="J890" t="b">
        <v>0</v>
      </c>
      <c r="K890">
        <v>100</v>
      </c>
      <c r="L890">
        <v>9</v>
      </c>
      <c r="M890">
        <v>2025</v>
      </c>
      <c r="N890">
        <v>0</v>
      </c>
      <c r="O890">
        <v>5</v>
      </c>
      <c r="P890">
        <v>2025</v>
      </c>
      <c r="Q890">
        <v>5</v>
      </c>
      <c r="R890" t="s">
        <v>40</v>
      </c>
      <c r="S890" t="s">
        <v>45</v>
      </c>
      <c r="T890" t="s">
        <v>113</v>
      </c>
      <c r="U890" t="s">
        <v>66</v>
      </c>
      <c r="V890" t="s">
        <v>74</v>
      </c>
      <c r="W890" t="s">
        <v>75</v>
      </c>
      <c r="X890" t="s">
        <v>76</v>
      </c>
      <c r="Y890">
        <v>75</v>
      </c>
      <c r="Z890" t="s">
        <v>58</v>
      </c>
      <c r="AA890" t="s">
        <v>59</v>
      </c>
      <c r="AB890" s="1">
        <v>45901</v>
      </c>
      <c r="AC890" t="s">
        <v>40</v>
      </c>
      <c r="AD890" t="s">
        <v>40</v>
      </c>
      <c r="AE890" t="s">
        <v>60</v>
      </c>
      <c r="AF890" t="s">
        <v>40</v>
      </c>
      <c r="AG890">
        <v>1</v>
      </c>
      <c r="AH890" t="s">
        <v>49</v>
      </c>
    </row>
    <row r="891" spans="1:34" x14ac:dyDescent="0.3">
      <c r="A891" t="s">
        <v>1483</v>
      </c>
      <c r="B891" t="s">
        <v>220</v>
      </c>
      <c r="C891" t="s">
        <v>52</v>
      </c>
      <c r="D891" t="s">
        <v>37</v>
      </c>
      <c r="E891" s="1">
        <v>45778</v>
      </c>
      <c r="F891" s="1">
        <v>45808</v>
      </c>
      <c r="G891" t="s">
        <v>64</v>
      </c>
      <c r="H891">
        <v>3164</v>
      </c>
      <c r="I891" t="s">
        <v>65</v>
      </c>
      <c r="J891" t="b">
        <v>0</v>
      </c>
      <c r="K891">
        <v>30</v>
      </c>
      <c r="L891">
        <v>5</v>
      </c>
      <c r="M891">
        <v>2025</v>
      </c>
      <c r="N891">
        <v>5</v>
      </c>
      <c r="O891">
        <v>5</v>
      </c>
      <c r="P891">
        <v>2025</v>
      </c>
      <c r="Q891">
        <v>3</v>
      </c>
      <c r="R891" t="s">
        <v>66</v>
      </c>
      <c r="S891" t="s">
        <v>45</v>
      </c>
      <c r="T891" t="s">
        <v>42</v>
      </c>
      <c r="U891" t="s">
        <v>66</v>
      </c>
      <c r="V891" t="s">
        <v>56</v>
      </c>
      <c r="W891" t="s">
        <v>57</v>
      </c>
      <c r="X891" t="s">
        <v>45</v>
      </c>
      <c r="Y891">
        <v>120</v>
      </c>
      <c r="Z891" t="s">
        <v>46</v>
      </c>
      <c r="AA891" t="s">
        <v>47</v>
      </c>
      <c r="AB891" s="1">
        <v>45808</v>
      </c>
      <c r="AC891" t="s">
        <v>66</v>
      </c>
      <c r="AD891" t="s">
        <v>40</v>
      </c>
      <c r="AE891" t="s">
        <v>69</v>
      </c>
      <c r="AF891" t="s">
        <v>40</v>
      </c>
      <c r="AG891">
        <v>0</v>
      </c>
      <c r="AH891" t="s">
        <v>70</v>
      </c>
    </row>
    <row r="892" spans="1:34" x14ac:dyDescent="0.3">
      <c r="A892" t="s">
        <v>1484</v>
      </c>
      <c r="B892" t="s">
        <v>299</v>
      </c>
      <c r="C892" t="s">
        <v>169</v>
      </c>
      <c r="D892" t="s">
        <v>90</v>
      </c>
      <c r="E892" s="1">
        <v>46193</v>
      </c>
      <c r="F892" s="1">
        <v>46196</v>
      </c>
      <c r="G892" t="s">
        <v>81</v>
      </c>
      <c r="H892">
        <v>10042</v>
      </c>
      <c r="I892" t="s">
        <v>65</v>
      </c>
      <c r="J892" t="b">
        <v>0</v>
      </c>
      <c r="K892">
        <v>3</v>
      </c>
      <c r="L892">
        <v>6</v>
      </c>
      <c r="M892">
        <v>2026</v>
      </c>
      <c r="N892">
        <v>1</v>
      </c>
      <c r="O892">
        <v>6</v>
      </c>
      <c r="P892">
        <v>2026</v>
      </c>
      <c r="Q892">
        <v>5</v>
      </c>
      <c r="R892" t="s">
        <v>40</v>
      </c>
      <c r="S892" t="s">
        <v>67</v>
      </c>
      <c r="T892" t="s">
        <v>68</v>
      </c>
      <c r="U892" t="s">
        <v>66</v>
      </c>
      <c r="V892" t="s">
        <v>170</v>
      </c>
      <c r="W892" t="s">
        <v>171</v>
      </c>
      <c r="X892" t="s">
        <v>126</v>
      </c>
      <c r="Y892">
        <v>90</v>
      </c>
      <c r="Z892" t="s">
        <v>93</v>
      </c>
      <c r="AA892" t="s">
        <v>94</v>
      </c>
      <c r="AB892" s="1">
        <v>46196</v>
      </c>
      <c r="AC892" t="s">
        <v>40</v>
      </c>
      <c r="AD892" t="s">
        <v>40</v>
      </c>
      <c r="AE892" t="s">
        <v>60</v>
      </c>
      <c r="AF892" t="s">
        <v>40</v>
      </c>
      <c r="AG892">
        <v>0</v>
      </c>
      <c r="AH892" t="s">
        <v>100</v>
      </c>
    </row>
    <row r="893" spans="1:34" x14ac:dyDescent="0.3">
      <c r="A893" t="s">
        <v>1485</v>
      </c>
      <c r="B893" t="s">
        <v>1486</v>
      </c>
      <c r="C893" t="s">
        <v>169</v>
      </c>
      <c r="D893" t="s">
        <v>37</v>
      </c>
      <c r="E893" s="1">
        <v>46178</v>
      </c>
      <c r="F893" s="1">
        <v>46192</v>
      </c>
      <c r="G893" t="s">
        <v>81</v>
      </c>
      <c r="H893">
        <v>7328</v>
      </c>
      <c r="I893" t="s">
        <v>39</v>
      </c>
      <c r="J893" t="b">
        <v>0</v>
      </c>
      <c r="K893">
        <v>14</v>
      </c>
      <c r="L893">
        <v>6</v>
      </c>
      <c r="M893">
        <v>2026</v>
      </c>
      <c r="N893">
        <v>4</v>
      </c>
      <c r="O893">
        <v>6</v>
      </c>
      <c r="P893">
        <v>2026</v>
      </c>
      <c r="Q893">
        <v>4</v>
      </c>
      <c r="R893" t="s">
        <v>40</v>
      </c>
      <c r="S893" t="s">
        <v>45</v>
      </c>
      <c r="T893" t="s">
        <v>42</v>
      </c>
      <c r="U893" t="s">
        <v>40</v>
      </c>
      <c r="V893" t="s">
        <v>170</v>
      </c>
      <c r="W893" t="s">
        <v>171</v>
      </c>
      <c r="X893" t="s">
        <v>126</v>
      </c>
      <c r="Y893">
        <v>90</v>
      </c>
      <c r="Z893" t="s">
        <v>46</v>
      </c>
      <c r="AA893" t="s">
        <v>47</v>
      </c>
      <c r="AB893" s="1">
        <v>46192</v>
      </c>
      <c r="AC893" t="s">
        <v>40</v>
      </c>
      <c r="AD893" t="s">
        <v>40</v>
      </c>
      <c r="AE893" t="s">
        <v>60</v>
      </c>
      <c r="AF893" t="s">
        <v>40</v>
      </c>
      <c r="AG893">
        <v>0</v>
      </c>
      <c r="AH893" t="s">
        <v>70</v>
      </c>
    </row>
    <row r="894" spans="1:34" x14ac:dyDescent="0.3">
      <c r="A894" t="s">
        <v>1487</v>
      </c>
      <c r="B894" t="s">
        <v>88</v>
      </c>
      <c r="C894" t="s">
        <v>103</v>
      </c>
      <c r="D894" t="s">
        <v>37</v>
      </c>
      <c r="E894" s="1">
        <v>45930</v>
      </c>
      <c r="F894" s="1">
        <v>45933</v>
      </c>
      <c r="G894" t="s">
        <v>41</v>
      </c>
      <c r="H894">
        <v>7484</v>
      </c>
      <c r="I894" t="s">
        <v>39</v>
      </c>
      <c r="J894" t="b">
        <v>0</v>
      </c>
      <c r="K894">
        <v>3</v>
      </c>
      <c r="L894">
        <v>10</v>
      </c>
      <c r="M894">
        <v>2025</v>
      </c>
      <c r="N894">
        <v>4</v>
      </c>
      <c r="O894">
        <v>9</v>
      </c>
      <c r="P894">
        <v>2025</v>
      </c>
      <c r="Q894">
        <v>1</v>
      </c>
      <c r="R894" t="s">
        <v>40</v>
      </c>
      <c r="S894" t="s">
        <v>67</v>
      </c>
      <c r="T894" t="s">
        <v>42</v>
      </c>
      <c r="U894" t="s">
        <v>40</v>
      </c>
      <c r="V894" t="s">
        <v>105</v>
      </c>
      <c r="W894" t="s">
        <v>106</v>
      </c>
      <c r="X894" t="s">
        <v>45</v>
      </c>
      <c r="Y894">
        <v>140</v>
      </c>
      <c r="Z894" t="s">
        <v>46</v>
      </c>
      <c r="AA894" t="s">
        <v>47</v>
      </c>
      <c r="AB894" s="1">
        <v>45933</v>
      </c>
      <c r="AC894" t="s">
        <v>40</v>
      </c>
      <c r="AD894" t="s">
        <v>40</v>
      </c>
      <c r="AE894" t="s">
        <v>60</v>
      </c>
      <c r="AF894" t="s">
        <v>40</v>
      </c>
      <c r="AG894">
        <v>0</v>
      </c>
      <c r="AH894" t="s">
        <v>100</v>
      </c>
    </row>
    <row r="895" spans="1:34" x14ac:dyDescent="0.3">
      <c r="A895" t="s">
        <v>1488</v>
      </c>
      <c r="B895" t="s">
        <v>799</v>
      </c>
      <c r="C895" t="s">
        <v>36</v>
      </c>
      <c r="D895" t="s">
        <v>80</v>
      </c>
      <c r="E895" s="1">
        <v>46316</v>
      </c>
      <c r="F895" s="1">
        <v>46466</v>
      </c>
      <c r="G895" t="s">
        <v>64</v>
      </c>
      <c r="H895">
        <v>4179</v>
      </c>
      <c r="I895" t="s">
        <v>39</v>
      </c>
      <c r="J895" t="b">
        <v>0</v>
      </c>
      <c r="K895">
        <v>150</v>
      </c>
      <c r="L895">
        <v>3</v>
      </c>
      <c r="M895">
        <v>2027</v>
      </c>
      <c r="N895">
        <v>5</v>
      </c>
      <c r="O895">
        <v>10</v>
      </c>
      <c r="P895">
        <v>2026</v>
      </c>
      <c r="Q895">
        <v>2</v>
      </c>
      <c r="R895" t="s">
        <v>66</v>
      </c>
      <c r="S895" t="s">
        <v>55</v>
      </c>
      <c r="T895" t="s">
        <v>42</v>
      </c>
      <c r="U895" t="s">
        <v>40</v>
      </c>
      <c r="V895" t="s">
        <v>43</v>
      </c>
      <c r="W895" t="s">
        <v>44</v>
      </c>
      <c r="X895" t="s">
        <v>45</v>
      </c>
      <c r="Y895">
        <v>150</v>
      </c>
      <c r="Z895" t="s">
        <v>84</v>
      </c>
      <c r="AA895" t="s">
        <v>85</v>
      </c>
      <c r="AB895" s="1"/>
      <c r="AC895" t="s">
        <v>48</v>
      </c>
      <c r="AD895" t="s">
        <v>48</v>
      </c>
      <c r="AE895" t="s">
        <v>48</v>
      </c>
      <c r="AF895" t="s">
        <v>48</v>
      </c>
      <c r="AG895">
        <v>0</v>
      </c>
      <c r="AH895" t="s">
        <v>49</v>
      </c>
    </row>
    <row r="896" spans="1:34" x14ac:dyDescent="0.3">
      <c r="A896" t="s">
        <v>1489</v>
      </c>
      <c r="B896" t="s">
        <v>267</v>
      </c>
      <c r="C896" t="s">
        <v>89</v>
      </c>
      <c r="D896" t="s">
        <v>37</v>
      </c>
      <c r="E896" s="1">
        <v>45698</v>
      </c>
      <c r="F896" s="1">
        <v>45712</v>
      </c>
      <c r="G896" t="s">
        <v>41</v>
      </c>
      <c r="H896">
        <v>8851</v>
      </c>
      <c r="I896" t="s">
        <v>65</v>
      </c>
      <c r="J896" t="b">
        <v>0</v>
      </c>
      <c r="K896">
        <v>14</v>
      </c>
      <c r="L896">
        <v>2</v>
      </c>
      <c r="M896">
        <v>2025</v>
      </c>
      <c r="N896">
        <v>0</v>
      </c>
      <c r="O896">
        <v>2</v>
      </c>
      <c r="P896">
        <v>2025</v>
      </c>
      <c r="Q896">
        <v>0</v>
      </c>
      <c r="R896" t="s">
        <v>40</v>
      </c>
      <c r="S896" t="s">
        <v>45</v>
      </c>
      <c r="T896" t="s">
        <v>42</v>
      </c>
      <c r="U896" t="s">
        <v>40</v>
      </c>
      <c r="V896" t="s">
        <v>91</v>
      </c>
      <c r="W896" t="s">
        <v>92</v>
      </c>
      <c r="X896" t="s">
        <v>76</v>
      </c>
      <c r="Y896">
        <v>65</v>
      </c>
      <c r="Z896" t="s">
        <v>46</v>
      </c>
      <c r="AA896" t="s">
        <v>47</v>
      </c>
      <c r="AB896" s="1">
        <v>45712</v>
      </c>
      <c r="AC896" t="s">
        <v>40</v>
      </c>
      <c r="AD896" t="s">
        <v>40</v>
      </c>
      <c r="AE896" t="s">
        <v>60</v>
      </c>
      <c r="AF896" t="s">
        <v>40</v>
      </c>
      <c r="AG896">
        <v>0</v>
      </c>
      <c r="AH896" t="s">
        <v>70</v>
      </c>
    </row>
    <row r="897" spans="1:34" x14ac:dyDescent="0.3">
      <c r="A897" t="s">
        <v>1490</v>
      </c>
      <c r="B897" t="s">
        <v>195</v>
      </c>
      <c r="C897" t="s">
        <v>129</v>
      </c>
      <c r="D897" t="s">
        <v>130</v>
      </c>
      <c r="E897" s="1">
        <v>45879</v>
      </c>
      <c r="F897" s="1">
        <v>45909</v>
      </c>
      <c r="G897" t="s">
        <v>64</v>
      </c>
      <c r="H897">
        <v>2402</v>
      </c>
      <c r="I897" t="s">
        <v>65</v>
      </c>
      <c r="J897" t="b">
        <v>0</v>
      </c>
      <c r="K897">
        <v>30</v>
      </c>
      <c r="L897">
        <v>9</v>
      </c>
      <c r="M897">
        <v>2025</v>
      </c>
      <c r="N897">
        <v>1</v>
      </c>
      <c r="O897">
        <v>8</v>
      </c>
      <c r="P897">
        <v>2025</v>
      </c>
      <c r="Q897">
        <v>6</v>
      </c>
      <c r="R897" t="s">
        <v>40</v>
      </c>
      <c r="S897" t="s">
        <v>55</v>
      </c>
      <c r="T897" t="s">
        <v>42</v>
      </c>
      <c r="U897" t="s">
        <v>40</v>
      </c>
      <c r="V897" t="s">
        <v>131</v>
      </c>
      <c r="W897" t="s">
        <v>132</v>
      </c>
      <c r="X897" t="s">
        <v>45</v>
      </c>
      <c r="Y897">
        <v>110</v>
      </c>
      <c r="Z897" t="s">
        <v>133</v>
      </c>
      <c r="AA897" t="s">
        <v>134</v>
      </c>
      <c r="AB897" s="1">
        <v>45909</v>
      </c>
      <c r="AC897" t="s">
        <v>40</v>
      </c>
      <c r="AD897" t="s">
        <v>40</v>
      </c>
      <c r="AE897" t="s">
        <v>60</v>
      </c>
      <c r="AF897" t="s">
        <v>40</v>
      </c>
      <c r="AG897">
        <v>0</v>
      </c>
      <c r="AH897" t="s">
        <v>70</v>
      </c>
    </row>
    <row r="898" spans="1:34" x14ac:dyDescent="0.3">
      <c r="A898" t="s">
        <v>1491</v>
      </c>
      <c r="B898" t="s">
        <v>205</v>
      </c>
      <c r="C898" t="s">
        <v>129</v>
      </c>
      <c r="D898" t="s">
        <v>53</v>
      </c>
      <c r="E898" s="1">
        <v>46018</v>
      </c>
      <c r="F898" s="1">
        <v>46238</v>
      </c>
      <c r="G898" t="s">
        <v>38</v>
      </c>
      <c r="H898">
        <v>3695</v>
      </c>
      <c r="I898" t="s">
        <v>65</v>
      </c>
      <c r="J898" t="b">
        <v>0</v>
      </c>
      <c r="K898">
        <v>220</v>
      </c>
      <c r="L898">
        <v>8</v>
      </c>
      <c r="M898">
        <v>2026</v>
      </c>
      <c r="N898">
        <v>1</v>
      </c>
      <c r="O898">
        <v>12</v>
      </c>
      <c r="P898">
        <v>2025</v>
      </c>
      <c r="Q898">
        <v>5</v>
      </c>
      <c r="R898" t="s">
        <v>40</v>
      </c>
      <c r="S898" t="s">
        <v>55</v>
      </c>
      <c r="T898" t="s">
        <v>42</v>
      </c>
      <c r="U898" t="s">
        <v>40</v>
      </c>
      <c r="V898" t="s">
        <v>131</v>
      </c>
      <c r="W898" t="s">
        <v>132</v>
      </c>
      <c r="X898" t="s">
        <v>45</v>
      </c>
      <c r="Y898">
        <v>110</v>
      </c>
      <c r="Z898" t="s">
        <v>58</v>
      </c>
      <c r="AA898" t="s">
        <v>59</v>
      </c>
      <c r="AB898" s="1">
        <v>46238</v>
      </c>
      <c r="AC898" t="s">
        <v>40</v>
      </c>
      <c r="AD898" t="s">
        <v>40</v>
      </c>
      <c r="AE898" t="s">
        <v>86</v>
      </c>
      <c r="AF898" t="s">
        <v>40</v>
      </c>
      <c r="AG898">
        <v>0</v>
      </c>
      <c r="AH898" t="s">
        <v>142</v>
      </c>
    </row>
    <row r="899" spans="1:34" x14ac:dyDescent="0.3">
      <c r="A899" t="s">
        <v>1492</v>
      </c>
      <c r="B899" t="s">
        <v>408</v>
      </c>
      <c r="C899" t="s">
        <v>73</v>
      </c>
      <c r="D899" t="s">
        <v>80</v>
      </c>
      <c r="E899" s="1">
        <v>46218</v>
      </c>
      <c r="F899" s="1">
        <v>46248</v>
      </c>
      <c r="G899" t="s">
        <v>41</v>
      </c>
      <c r="H899">
        <v>8508</v>
      </c>
      <c r="I899" t="s">
        <v>39</v>
      </c>
      <c r="J899" t="b">
        <v>0</v>
      </c>
      <c r="K899">
        <v>30</v>
      </c>
      <c r="L899">
        <v>8</v>
      </c>
      <c r="M899">
        <v>2026</v>
      </c>
      <c r="N899">
        <v>4</v>
      </c>
      <c r="O899">
        <v>7</v>
      </c>
      <c r="P899">
        <v>2026</v>
      </c>
      <c r="Q899">
        <v>2</v>
      </c>
      <c r="R899" t="s">
        <v>40</v>
      </c>
      <c r="S899" t="s">
        <v>45</v>
      </c>
      <c r="T899" t="s">
        <v>42</v>
      </c>
      <c r="U899" t="s">
        <v>40</v>
      </c>
      <c r="V899" t="s">
        <v>74</v>
      </c>
      <c r="W899" t="s">
        <v>75</v>
      </c>
      <c r="X899" t="s">
        <v>76</v>
      </c>
      <c r="Y899">
        <v>75</v>
      </c>
      <c r="Z899" t="s">
        <v>84</v>
      </c>
      <c r="AA899" t="s">
        <v>85</v>
      </c>
      <c r="AB899" s="1">
        <v>46248</v>
      </c>
      <c r="AC899" t="s">
        <v>40</v>
      </c>
      <c r="AD899" t="s">
        <v>40</v>
      </c>
      <c r="AE899" t="s">
        <v>86</v>
      </c>
      <c r="AF899" t="s">
        <v>40</v>
      </c>
      <c r="AG899">
        <v>0</v>
      </c>
      <c r="AH899" t="s">
        <v>70</v>
      </c>
    </row>
    <row r="900" spans="1:34" x14ac:dyDescent="0.3">
      <c r="A900" t="s">
        <v>1493</v>
      </c>
      <c r="B900" t="s">
        <v>427</v>
      </c>
      <c r="C900" t="s">
        <v>79</v>
      </c>
      <c r="D900" t="s">
        <v>53</v>
      </c>
      <c r="E900" s="1">
        <v>45761</v>
      </c>
      <c r="F900" s="1">
        <v>45911</v>
      </c>
      <c r="G900" t="s">
        <v>64</v>
      </c>
      <c r="H900">
        <v>2840</v>
      </c>
      <c r="I900" t="s">
        <v>54</v>
      </c>
      <c r="J900" t="b">
        <v>0</v>
      </c>
      <c r="K900">
        <v>150</v>
      </c>
      <c r="L900">
        <v>9</v>
      </c>
      <c r="M900">
        <v>2025</v>
      </c>
      <c r="N900">
        <v>3</v>
      </c>
      <c r="O900">
        <v>4</v>
      </c>
      <c r="P900">
        <v>2025</v>
      </c>
      <c r="Q900">
        <v>0</v>
      </c>
      <c r="R900" t="s">
        <v>40</v>
      </c>
      <c r="S900" t="s">
        <v>45</v>
      </c>
      <c r="T900" t="s">
        <v>42</v>
      </c>
      <c r="U900" t="s">
        <v>40</v>
      </c>
      <c r="V900" t="s">
        <v>82</v>
      </c>
      <c r="W900" t="s">
        <v>83</v>
      </c>
      <c r="X900" t="s">
        <v>76</v>
      </c>
      <c r="Y900">
        <v>100</v>
      </c>
      <c r="Z900" t="s">
        <v>58</v>
      </c>
      <c r="AA900" t="s">
        <v>59</v>
      </c>
      <c r="AB900" s="1">
        <v>45911</v>
      </c>
      <c r="AC900" t="s">
        <v>40</v>
      </c>
      <c r="AD900" t="s">
        <v>40</v>
      </c>
      <c r="AE900" t="s">
        <v>60</v>
      </c>
      <c r="AF900" t="s">
        <v>40</v>
      </c>
      <c r="AG900">
        <v>1</v>
      </c>
      <c r="AH900" t="s">
        <v>49</v>
      </c>
    </row>
    <row r="901" spans="1:34" x14ac:dyDescent="0.3">
      <c r="A901" t="s">
        <v>1494</v>
      </c>
      <c r="B901" t="s">
        <v>1016</v>
      </c>
      <c r="C901" t="s">
        <v>79</v>
      </c>
      <c r="D901" t="s">
        <v>53</v>
      </c>
      <c r="E901" s="1">
        <v>46106</v>
      </c>
      <c r="F901" s="1">
        <v>46206</v>
      </c>
      <c r="G901" t="s">
        <v>38</v>
      </c>
      <c r="H901">
        <v>3565</v>
      </c>
      <c r="I901" t="s">
        <v>65</v>
      </c>
      <c r="J901" t="b">
        <v>0</v>
      </c>
      <c r="K901">
        <v>100</v>
      </c>
      <c r="L901">
        <v>7</v>
      </c>
      <c r="M901">
        <v>2026</v>
      </c>
      <c r="N901">
        <v>4</v>
      </c>
      <c r="O901">
        <v>3</v>
      </c>
      <c r="P901">
        <v>2026</v>
      </c>
      <c r="Q901">
        <v>2</v>
      </c>
      <c r="R901" t="s">
        <v>40</v>
      </c>
      <c r="S901" t="s">
        <v>55</v>
      </c>
      <c r="T901" t="s">
        <v>48</v>
      </c>
      <c r="U901" t="s">
        <v>40</v>
      </c>
      <c r="V901" t="s">
        <v>82</v>
      </c>
      <c r="W901" t="s">
        <v>83</v>
      </c>
      <c r="X901" t="s">
        <v>76</v>
      </c>
      <c r="Y901">
        <v>100</v>
      </c>
      <c r="Z901" t="s">
        <v>58</v>
      </c>
      <c r="AA901" t="s">
        <v>59</v>
      </c>
      <c r="AB901" s="1">
        <v>46206</v>
      </c>
      <c r="AC901" t="s">
        <v>40</v>
      </c>
      <c r="AD901" t="s">
        <v>40</v>
      </c>
      <c r="AE901" t="s">
        <v>86</v>
      </c>
      <c r="AF901" t="s">
        <v>40</v>
      </c>
      <c r="AG901">
        <v>0</v>
      </c>
      <c r="AH901" t="s">
        <v>49</v>
      </c>
    </row>
    <row r="902" spans="1:34" x14ac:dyDescent="0.3">
      <c r="A902" t="s">
        <v>1495</v>
      </c>
      <c r="B902" t="s">
        <v>1496</v>
      </c>
      <c r="C902" t="s">
        <v>169</v>
      </c>
      <c r="D902" t="s">
        <v>80</v>
      </c>
      <c r="E902" s="1">
        <v>46209</v>
      </c>
      <c r="F902" s="1">
        <v>46212</v>
      </c>
      <c r="G902" t="s">
        <v>64</v>
      </c>
      <c r="H902">
        <v>2391</v>
      </c>
      <c r="I902" t="s">
        <v>39</v>
      </c>
      <c r="J902" t="b">
        <v>0</v>
      </c>
      <c r="K902">
        <v>3</v>
      </c>
      <c r="L902">
        <v>7</v>
      </c>
      <c r="M902">
        <v>2026</v>
      </c>
      <c r="N902">
        <v>3</v>
      </c>
      <c r="O902">
        <v>7</v>
      </c>
      <c r="P902">
        <v>2026</v>
      </c>
      <c r="Q902">
        <v>0</v>
      </c>
      <c r="R902" t="s">
        <v>40</v>
      </c>
      <c r="S902" t="s">
        <v>41</v>
      </c>
      <c r="T902" t="s">
        <v>113</v>
      </c>
      <c r="U902" t="s">
        <v>66</v>
      </c>
      <c r="V902" t="s">
        <v>170</v>
      </c>
      <c r="W902" t="s">
        <v>171</v>
      </c>
      <c r="X902" t="s">
        <v>126</v>
      </c>
      <c r="Y902">
        <v>90</v>
      </c>
      <c r="Z902" t="s">
        <v>84</v>
      </c>
      <c r="AA902" t="s">
        <v>85</v>
      </c>
      <c r="AB902" s="1">
        <v>46212</v>
      </c>
      <c r="AC902" t="s">
        <v>40</v>
      </c>
      <c r="AD902" t="s">
        <v>40</v>
      </c>
      <c r="AE902" t="s">
        <v>86</v>
      </c>
      <c r="AF902" t="s">
        <v>40</v>
      </c>
      <c r="AG902">
        <v>0</v>
      </c>
      <c r="AH902" t="s">
        <v>100</v>
      </c>
    </row>
    <row r="903" spans="1:34" x14ac:dyDescent="0.3">
      <c r="A903" t="s">
        <v>1497</v>
      </c>
      <c r="B903" t="s">
        <v>1498</v>
      </c>
      <c r="C903" t="s">
        <v>146</v>
      </c>
      <c r="D903" t="s">
        <v>53</v>
      </c>
      <c r="E903" s="1">
        <v>46064</v>
      </c>
      <c r="F903" s="1">
        <v>46067</v>
      </c>
      <c r="G903" t="s">
        <v>41</v>
      </c>
      <c r="H903">
        <v>7335</v>
      </c>
      <c r="I903" t="s">
        <v>39</v>
      </c>
      <c r="J903" t="b">
        <v>0</v>
      </c>
      <c r="K903">
        <v>3</v>
      </c>
      <c r="L903">
        <v>2</v>
      </c>
      <c r="M903">
        <v>2026</v>
      </c>
      <c r="N903">
        <v>5</v>
      </c>
      <c r="O903">
        <v>2</v>
      </c>
      <c r="P903">
        <v>2026</v>
      </c>
      <c r="Q903">
        <v>2</v>
      </c>
      <c r="R903" t="s">
        <v>66</v>
      </c>
      <c r="S903" t="s">
        <v>41</v>
      </c>
      <c r="T903" t="s">
        <v>42</v>
      </c>
      <c r="U903" t="s">
        <v>66</v>
      </c>
      <c r="V903" t="s">
        <v>147</v>
      </c>
      <c r="W903" t="s">
        <v>148</v>
      </c>
      <c r="X903" t="s">
        <v>45</v>
      </c>
      <c r="Y903">
        <v>160</v>
      </c>
      <c r="Z903" t="s">
        <v>58</v>
      </c>
      <c r="AA903" t="s">
        <v>59</v>
      </c>
      <c r="AB903" s="1">
        <v>46067</v>
      </c>
      <c r="AC903" t="s">
        <v>66</v>
      </c>
      <c r="AD903" t="s">
        <v>40</v>
      </c>
      <c r="AE903" t="s">
        <v>60</v>
      </c>
      <c r="AF903" t="s">
        <v>40</v>
      </c>
      <c r="AG903">
        <v>0</v>
      </c>
      <c r="AH903" t="s">
        <v>100</v>
      </c>
    </row>
    <row r="904" spans="1:34" x14ac:dyDescent="0.3">
      <c r="A904" t="s">
        <v>1499</v>
      </c>
      <c r="B904" t="s">
        <v>415</v>
      </c>
      <c r="C904" t="s">
        <v>73</v>
      </c>
      <c r="D904" t="s">
        <v>80</v>
      </c>
      <c r="E904" s="1">
        <v>45816</v>
      </c>
      <c r="F904" s="1">
        <v>45846</v>
      </c>
      <c r="G904" t="s">
        <v>81</v>
      </c>
      <c r="H904">
        <v>8293</v>
      </c>
      <c r="I904" t="s">
        <v>65</v>
      </c>
      <c r="J904" t="b">
        <v>0</v>
      </c>
      <c r="K904">
        <v>30</v>
      </c>
      <c r="L904">
        <v>7</v>
      </c>
      <c r="M904">
        <v>2025</v>
      </c>
      <c r="N904">
        <v>1</v>
      </c>
      <c r="O904">
        <v>6</v>
      </c>
      <c r="P904">
        <v>2025</v>
      </c>
      <c r="Q904">
        <v>6</v>
      </c>
      <c r="R904" t="s">
        <v>40</v>
      </c>
      <c r="S904" t="s">
        <v>45</v>
      </c>
      <c r="T904" t="s">
        <v>42</v>
      </c>
      <c r="U904" t="s">
        <v>40</v>
      </c>
      <c r="V904" t="s">
        <v>74</v>
      </c>
      <c r="W904" t="s">
        <v>75</v>
      </c>
      <c r="X904" t="s">
        <v>76</v>
      </c>
      <c r="Y904">
        <v>75</v>
      </c>
      <c r="Z904" t="s">
        <v>84</v>
      </c>
      <c r="AA904" t="s">
        <v>85</v>
      </c>
      <c r="AB904" s="1">
        <v>45846</v>
      </c>
      <c r="AC904" t="s">
        <v>40</v>
      </c>
      <c r="AD904" t="s">
        <v>40</v>
      </c>
      <c r="AE904" t="s">
        <v>86</v>
      </c>
      <c r="AF904" t="s">
        <v>40</v>
      </c>
      <c r="AG904">
        <v>0</v>
      </c>
      <c r="AH904" t="s">
        <v>70</v>
      </c>
    </row>
    <row r="905" spans="1:34" x14ac:dyDescent="0.3">
      <c r="A905" t="s">
        <v>1500</v>
      </c>
      <c r="B905" t="s">
        <v>1390</v>
      </c>
      <c r="C905" t="s">
        <v>52</v>
      </c>
      <c r="D905" t="s">
        <v>53</v>
      </c>
      <c r="E905" s="1">
        <v>45907</v>
      </c>
      <c r="F905" s="1">
        <v>46057</v>
      </c>
      <c r="G905" t="s">
        <v>41</v>
      </c>
      <c r="H905">
        <v>7326</v>
      </c>
      <c r="I905" t="s">
        <v>54</v>
      </c>
      <c r="J905" t="b">
        <v>0</v>
      </c>
      <c r="K905">
        <v>150</v>
      </c>
      <c r="L905">
        <v>2</v>
      </c>
      <c r="M905">
        <v>2026</v>
      </c>
      <c r="N905">
        <v>2</v>
      </c>
      <c r="O905">
        <v>9</v>
      </c>
      <c r="P905">
        <v>2025</v>
      </c>
      <c r="Q905">
        <v>6</v>
      </c>
      <c r="R905" t="s">
        <v>40</v>
      </c>
      <c r="S905" t="s">
        <v>67</v>
      </c>
      <c r="T905" t="s">
        <v>42</v>
      </c>
      <c r="U905" t="s">
        <v>40</v>
      </c>
      <c r="V905" t="s">
        <v>56</v>
      </c>
      <c r="W905" t="s">
        <v>57</v>
      </c>
      <c r="X905" t="s">
        <v>45</v>
      </c>
      <c r="Y905">
        <v>120</v>
      </c>
      <c r="Z905" t="s">
        <v>58</v>
      </c>
      <c r="AA905" t="s">
        <v>59</v>
      </c>
      <c r="AB905" s="1">
        <v>46057</v>
      </c>
      <c r="AC905" t="s">
        <v>40</v>
      </c>
      <c r="AD905" t="s">
        <v>40</v>
      </c>
      <c r="AE905" t="s">
        <v>60</v>
      </c>
      <c r="AF905" t="s">
        <v>40</v>
      </c>
      <c r="AG905">
        <v>1</v>
      </c>
      <c r="AH905" t="s">
        <v>49</v>
      </c>
    </row>
    <row r="906" spans="1:34" x14ac:dyDescent="0.3">
      <c r="A906" t="s">
        <v>1501</v>
      </c>
      <c r="B906" t="s">
        <v>1502</v>
      </c>
      <c r="C906" t="s">
        <v>155</v>
      </c>
      <c r="D906" t="s">
        <v>104</v>
      </c>
      <c r="E906" s="1">
        <v>46300</v>
      </c>
      <c r="F906" s="1">
        <v>46330</v>
      </c>
      <c r="G906" t="s">
        <v>41</v>
      </c>
      <c r="H906">
        <v>6766</v>
      </c>
      <c r="I906" t="s">
        <v>65</v>
      </c>
      <c r="J906" t="b">
        <v>0</v>
      </c>
      <c r="K906">
        <v>30</v>
      </c>
      <c r="L906">
        <v>11</v>
      </c>
      <c r="M906">
        <v>2026</v>
      </c>
      <c r="N906">
        <v>2</v>
      </c>
      <c r="O906">
        <v>10</v>
      </c>
      <c r="P906">
        <v>2026</v>
      </c>
      <c r="Q906">
        <v>0</v>
      </c>
      <c r="R906" t="s">
        <v>40</v>
      </c>
      <c r="S906" t="s">
        <v>41</v>
      </c>
      <c r="T906" t="s">
        <v>42</v>
      </c>
      <c r="U906" t="s">
        <v>66</v>
      </c>
      <c r="V906" t="s">
        <v>156</v>
      </c>
      <c r="W906" t="s">
        <v>157</v>
      </c>
      <c r="X906" t="s">
        <v>158</v>
      </c>
      <c r="Y906">
        <v>70</v>
      </c>
      <c r="Z906" t="s">
        <v>107</v>
      </c>
      <c r="AA906" t="s">
        <v>108</v>
      </c>
      <c r="AB906" s="1">
        <v>46330</v>
      </c>
      <c r="AC906" t="s">
        <v>40</v>
      </c>
      <c r="AD906" t="s">
        <v>40</v>
      </c>
      <c r="AE906" t="s">
        <v>86</v>
      </c>
      <c r="AF906" t="s">
        <v>40</v>
      </c>
      <c r="AG906">
        <v>0</v>
      </c>
      <c r="AH906" t="s">
        <v>70</v>
      </c>
    </row>
    <row r="907" spans="1:34" x14ac:dyDescent="0.3">
      <c r="A907" t="s">
        <v>1503</v>
      </c>
      <c r="B907" t="s">
        <v>117</v>
      </c>
      <c r="C907" t="s">
        <v>146</v>
      </c>
      <c r="D907" t="s">
        <v>53</v>
      </c>
      <c r="E907" s="1">
        <v>45736</v>
      </c>
      <c r="F907" s="1">
        <v>45886</v>
      </c>
      <c r="G907" t="s">
        <v>38</v>
      </c>
      <c r="H907">
        <v>4511</v>
      </c>
      <c r="I907" t="s">
        <v>65</v>
      </c>
      <c r="J907" t="b">
        <v>0</v>
      </c>
      <c r="K907">
        <v>150</v>
      </c>
      <c r="L907">
        <v>8</v>
      </c>
      <c r="M907">
        <v>2025</v>
      </c>
      <c r="N907">
        <v>6</v>
      </c>
      <c r="O907">
        <v>3</v>
      </c>
      <c r="P907">
        <v>2025</v>
      </c>
      <c r="Q907">
        <v>3</v>
      </c>
      <c r="R907" t="s">
        <v>66</v>
      </c>
      <c r="S907" t="s">
        <v>67</v>
      </c>
      <c r="T907" t="s">
        <v>42</v>
      </c>
      <c r="U907" t="s">
        <v>40</v>
      </c>
      <c r="V907" t="s">
        <v>147</v>
      </c>
      <c r="W907" t="s">
        <v>148</v>
      </c>
      <c r="X907" t="s">
        <v>45</v>
      </c>
      <c r="Y907">
        <v>160</v>
      </c>
      <c r="Z907" t="s">
        <v>58</v>
      </c>
      <c r="AA907" t="s">
        <v>59</v>
      </c>
      <c r="AB907" s="1">
        <v>45886</v>
      </c>
      <c r="AC907" t="s">
        <v>66</v>
      </c>
      <c r="AD907" t="s">
        <v>40</v>
      </c>
      <c r="AE907" t="s">
        <v>86</v>
      </c>
      <c r="AF907" t="s">
        <v>40</v>
      </c>
      <c r="AG907">
        <v>0</v>
      </c>
      <c r="AH907" t="s">
        <v>49</v>
      </c>
    </row>
    <row r="908" spans="1:34" x14ac:dyDescent="0.3">
      <c r="A908" t="s">
        <v>1504</v>
      </c>
      <c r="B908" t="s">
        <v>1505</v>
      </c>
      <c r="C908" t="s">
        <v>89</v>
      </c>
      <c r="D908" t="s">
        <v>104</v>
      </c>
      <c r="E908" s="1">
        <v>46206</v>
      </c>
      <c r="F908" s="1">
        <v>46213</v>
      </c>
      <c r="G908" t="s">
        <v>38</v>
      </c>
      <c r="H908">
        <v>5769</v>
      </c>
      <c r="I908" t="s">
        <v>39</v>
      </c>
      <c r="J908" t="b">
        <v>0</v>
      </c>
      <c r="K908">
        <v>7</v>
      </c>
      <c r="L908">
        <v>7</v>
      </c>
      <c r="M908">
        <v>2026</v>
      </c>
      <c r="N908">
        <v>4</v>
      </c>
      <c r="O908">
        <v>7</v>
      </c>
      <c r="P908">
        <v>2026</v>
      </c>
      <c r="Q908">
        <v>4</v>
      </c>
      <c r="R908" t="s">
        <v>40</v>
      </c>
      <c r="S908" t="s">
        <v>45</v>
      </c>
      <c r="T908" t="s">
        <v>42</v>
      </c>
      <c r="U908" t="s">
        <v>40</v>
      </c>
      <c r="V908" t="s">
        <v>91</v>
      </c>
      <c r="W908" t="s">
        <v>92</v>
      </c>
      <c r="X908" t="s">
        <v>76</v>
      </c>
      <c r="Y908">
        <v>65</v>
      </c>
      <c r="Z908" t="s">
        <v>107</v>
      </c>
      <c r="AA908" t="s">
        <v>108</v>
      </c>
      <c r="AB908" s="1">
        <v>46213</v>
      </c>
      <c r="AC908" t="s">
        <v>40</v>
      </c>
      <c r="AD908" t="s">
        <v>40</v>
      </c>
      <c r="AE908" t="s">
        <v>86</v>
      </c>
      <c r="AF908" t="s">
        <v>40</v>
      </c>
      <c r="AG908">
        <v>0</v>
      </c>
      <c r="AH908" t="s">
        <v>100</v>
      </c>
    </row>
    <row r="909" spans="1:34" x14ac:dyDescent="0.3">
      <c r="A909" t="s">
        <v>1506</v>
      </c>
      <c r="B909" t="s">
        <v>191</v>
      </c>
      <c r="C909" t="s">
        <v>122</v>
      </c>
      <c r="D909" t="s">
        <v>80</v>
      </c>
      <c r="E909" s="1">
        <v>46104</v>
      </c>
      <c r="F909" s="1">
        <v>46105</v>
      </c>
      <c r="G909" t="s">
        <v>38</v>
      </c>
      <c r="H909">
        <v>5336</v>
      </c>
      <c r="I909" t="s">
        <v>65</v>
      </c>
      <c r="J909" t="b">
        <v>0</v>
      </c>
      <c r="K909">
        <v>1</v>
      </c>
      <c r="L909">
        <v>3</v>
      </c>
      <c r="M909">
        <v>2026</v>
      </c>
      <c r="N909">
        <v>1</v>
      </c>
      <c r="O909">
        <v>3</v>
      </c>
      <c r="P909">
        <v>2026</v>
      </c>
      <c r="Q909">
        <v>0</v>
      </c>
      <c r="R909" t="s">
        <v>40</v>
      </c>
      <c r="S909" t="s">
        <v>41</v>
      </c>
      <c r="T909" t="s">
        <v>42</v>
      </c>
      <c r="U909" t="s">
        <v>40</v>
      </c>
      <c r="V909" t="s">
        <v>124</v>
      </c>
      <c r="W909" t="s">
        <v>125</v>
      </c>
      <c r="X909" t="s">
        <v>126</v>
      </c>
      <c r="Y909">
        <v>85</v>
      </c>
      <c r="Z909" t="s">
        <v>84</v>
      </c>
      <c r="AA909" t="s">
        <v>85</v>
      </c>
      <c r="AB909" s="1">
        <v>46105</v>
      </c>
      <c r="AC909" t="s">
        <v>40</v>
      </c>
      <c r="AD909" t="s">
        <v>40</v>
      </c>
      <c r="AE909" t="s">
        <v>60</v>
      </c>
      <c r="AF909" t="s">
        <v>40</v>
      </c>
      <c r="AG909">
        <v>0</v>
      </c>
      <c r="AH909" t="s">
        <v>100</v>
      </c>
    </row>
    <row r="910" spans="1:34" x14ac:dyDescent="0.3">
      <c r="A910" t="s">
        <v>1507</v>
      </c>
      <c r="B910" t="s">
        <v>326</v>
      </c>
      <c r="C910" t="s">
        <v>36</v>
      </c>
      <c r="D910" t="s">
        <v>37</v>
      </c>
      <c r="E910" s="1">
        <v>46020</v>
      </c>
      <c r="F910" s="1">
        <v>46021</v>
      </c>
      <c r="G910" t="s">
        <v>81</v>
      </c>
      <c r="H910">
        <v>11396</v>
      </c>
      <c r="I910" t="s">
        <v>39</v>
      </c>
      <c r="J910" t="b">
        <v>0</v>
      </c>
      <c r="K910">
        <v>1</v>
      </c>
      <c r="L910">
        <v>12</v>
      </c>
      <c r="M910">
        <v>2025</v>
      </c>
      <c r="N910">
        <v>1</v>
      </c>
      <c r="O910">
        <v>12</v>
      </c>
      <c r="P910">
        <v>2025</v>
      </c>
      <c r="Q910">
        <v>0</v>
      </c>
      <c r="R910" t="s">
        <v>40</v>
      </c>
      <c r="S910" t="s">
        <v>55</v>
      </c>
      <c r="T910" t="s">
        <v>42</v>
      </c>
      <c r="U910" t="s">
        <v>40</v>
      </c>
      <c r="V910" t="s">
        <v>43</v>
      </c>
      <c r="W910" t="s">
        <v>44</v>
      </c>
      <c r="X910" t="s">
        <v>45</v>
      </c>
      <c r="Y910">
        <v>150</v>
      </c>
      <c r="Z910" t="s">
        <v>46</v>
      </c>
      <c r="AA910" t="s">
        <v>47</v>
      </c>
      <c r="AB910" s="1">
        <v>46021</v>
      </c>
      <c r="AC910" t="s">
        <v>40</v>
      </c>
      <c r="AD910" t="s">
        <v>40</v>
      </c>
      <c r="AE910" t="s">
        <v>69</v>
      </c>
      <c r="AF910" t="s">
        <v>40</v>
      </c>
      <c r="AG910">
        <v>0</v>
      </c>
      <c r="AH910" t="s">
        <v>100</v>
      </c>
    </row>
    <row r="911" spans="1:34" x14ac:dyDescent="0.3">
      <c r="A911" t="s">
        <v>1508</v>
      </c>
      <c r="B911" t="s">
        <v>924</v>
      </c>
      <c r="C911" t="s">
        <v>73</v>
      </c>
      <c r="D911" t="s">
        <v>37</v>
      </c>
      <c r="E911" s="1">
        <v>46120</v>
      </c>
      <c r="F911" s="1">
        <v>46127</v>
      </c>
      <c r="G911" t="s">
        <v>81</v>
      </c>
      <c r="H911">
        <v>10661</v>
      </c>
      <c r="I911" t="s">
        <v>212</v>
      </c>
      <c r="J911" t="b">
        <v>0</v>
      </c>
      <c r="K911">
        <v>7</v>
      </c>
      <c r="L911">
        <v>4</v>
      </c>
      <c r="M911">
        <v>2026</v>
      </c>
      <c r="N911">
        <v>2</v>
      </c>
      <c r="O911">
        <v>4</v>
      </c>
      <c r="P911">
        <v>2026</v>
      </c>
      <c r="Q911">
        <v>2</v>
      </c>
      <c r="R911" t="s">
        <v>40</v>
      </c>
      <c r="S911" t="s">
        <v>41</v>
      </c>
      <c r="T911" t="s">
        <v>123</v>
      </c>
      <c r="U911" t="s">
        <v>66</v>
      </c>
      <c r="V911" t="s">
        <v>74</v>
      </c>
      <c r="W911" t="s">
        <v>75</v>
      </c>
      <c r="X911" t="s">
        <v>76</v>
      </c>
      <c r="Y911">
        <v>75</v>
      </c>
      <c r="Z911" t="s">
        <v>46</v>
      </c>
      <c r="AA911" t="s">
        <v>47</v>
      </c>
      <c r="AB911" s="1">
        <v>46127</v>
      </c>
      <c r="AC911" t="s">
        <v>40</v>
      </c>
      <c r="AD911" t="s">
        <v>40</v>
      </c>
      <c r="AE911" t="s">
        <v>69</v>
      </c>
      <c r="AF911" t="s">
        <v>40</v>
      </c>
      <c r="AG911">
        <v>0</v>
      </c>
      <c r="AH911" t="s">
        <v>100</v>
      </c>
    </row>
    <row r="912" spans="1:34" x14ac:dyDescent="0.3">
      <c r="A912" t="s">
        <v>1509</v>
      </c>
      <c r="B912" t="s">
        <v>1510</v>
      </c>
      <c r="C912" t="s">
        <v>79</v>
      </c>
      <c r="D912" t="s">
        <v>130</v>
      </c>
      <c r="E912" s="1">
        <v>46282</v>
      </c>
      <c r="F912" s="1">
        <v>46283</v>
      </c>
      <c r="G912" t="s">
        <v>81</v>
      </c>
      <c r="H912">
        <v>11528</v>
      </c>
      <c r="I912" t="s">
        <v>65</v>
      </c>
      <c r="J912" t="b">
        <v>0</v>
      </c>
      <c r="K912">
        <v>1</v>
      </c>
      <c r="L912">
        <v>9</v>
      </c>
      <c r="M912">
        <v>2026</v>
      </c>
      <c r="N912">
        <v>4</v>
      </c>
      <c r="O912">
        <v>9</v>
      </c>
      <c r="P912">
        <v>2026</v>
      </c>
      <c r="Q912">
        <v>3</v>
      </c>
      <c r="R912" t="s">
        <v>40</v>
      </c>
      <c r="S912" t="s">
        <v>45</v>
      </c>
      <c r="T912" t="s">
        <v>42</v>
      </c>
      <c r="U912" t="s">
        <v>66</v>
      </c>
      <c r="V912" t="s">
        <v>82</v>
      </c>
      <c r="W912" t="s">
        <v>83</v>
      </c>
      <c r="X912" t="s">
        <v>76</v>
      </c>
      <c r="Y912">
        <v>100</v>
      </c>
      <c r="Z912" t="s">
        <v>133</v>
      </c>
      <c r="AA912" t="s">
        <v>134</v>
      </c>
      <c r="AB912" s="1">
        <v>46283</v>
      </c>
      <c r="AC912" t="s">
        <v>40</v>
      </c>
      <c r="AD912" t="s">
        <v>40</v>
      </c>
      <c r="AE912" t="s">
        <v>60</v>
      </c>
      <c r="AF912" t="s">
        <v>40</v>
      </c>
      <c r="AG912">
        <v>0</v>
      </c>
      <c r="AH912" t="s">
        <v>100</v>
      </c>
    </row>
    <row r="913" spans="1:34" x14ac:dyDescent="0.3">
      <c r="A913" t="s">
        <v>1511</v>
      </c>
      <c r="B913" t="s">
        <v>1019</v>
      </c>
      <c r="C913" t="s">
        <v>155</v>
      </c>
      <c r="D913" t="s">
        <v>90</v>
      </c>
      <c r="E913" s="1">
        <v>45843</v>
      </c>
      <c r="F913" s="1">
        <v>45844</v>
      </c>
      <c r="G913" t="s">
        <v>41</v>
      </c>
      <c r="H913">
        <v>8875</v>
      </c>
      <c r="I913" t="s">
        <v>65</v>
      </c>
      <c r="J913" t="b">
        <v>0</v>
      </c>
      <c r="K913">
        <v>1</v>
      </c>
      <c r="L913">
        <v>7</v>
      </c>
      <c r="M913">
        <v>2025</v>
      </c>
      <c r="N913">
        <v>6</v>
      </c>
      <c r="O913">
        <v>7</v>
      </c>
      <c r="P913">
        <v>2025</v>
      </c>
      <c r="Q913">
        <v>5</v>
      </c>
      <c r="R913" t="s">
        <v>66</v>
      </c>
      <c r="S913" t="s">
        <v>41</v>
      </c>
      <c r="T913" t="s">
        <v>42</v>
      </c>
      <c r="U913" t="s">
        <v>40</v>
      </c>
      <c r="V913" t="s">
        <v>156</v>
      </c>
      <c r="W913" t="s">
        <v>157</v>
      </c>
      <c r="X913" t="s">
        <v>158</v>
      </c>
      <c r="Y913">
        <v>70</v>
      </c>
      <c r="Z913" t="s">
        <v>93</v>
      </c>
      <c r="AA913" t="s">
        <v>94</v>
      </c>
      <c r="AB913" s="1">
        <v>45844</v>
      </c>
      <c r="AC913" t="s">
        <v>66</v>
      </c>
      <c r="AD913" t="s">
        <v>40</v>
      </c>
      <c r="AE913" t="s">
        <v>86</v>
      </c>
      <c r="AF913" t="s">
        <v>40</v>
      </c>
      <c r="AG913">
        <v>0</v>
      </c>
      <c r="AH913" t="s">
        <v>100</v>
      </c>
    </row>
    <row r="914" spans="1:34" x14ac:dyDescent="0.3">
      <c r="A914" t="s">
        <v>1512</v>
      </c>
      <c r="B914" t="s">
        <v>1291</v>
      </c>
      <c r="C914" t="s">
        <v>103</v>
      </c>
      <c r="D914" t="s">
        <v>37</v>
      </c>
      <c r="E914" s="1">
        <v>46143</v>
      </c>
      <c r="F914" s="1">
        <v>46146</v>
      </c>
      <c r="G914" t="s">
        <v>81</v>
      </c>
      <c r="H914">
        <v>9409</v>
      </c>
      <c r="I914" t="s">
        <v>39</v>
      </c>
      <c r="J914" t="b">
        <v>0</v>
      </c>
      <c r="K914">
        <v>3</v>
      </c>
      <c r="L914">
        <v>5</v>
      </c>
      <c r="M914">
        <v>2026</v>
      </c>
      <c r="N914">
        <v>0</v>
      </c>
      <c r="O914">
        <v>5</v>
      </c>
      <c r="P914">
        <v>2026</v>
      </c>
      <c r="Q914">
        <v>4</v>
      </c>
      <c r="R914" t="s">
        <v>40</v>
      </c>
      <c r="S914" t="s">
        <v>45</v>
      </c>
      <c r="T914" t="s">
        <v>42</v>
      </c>
      <c r="U914" t="s">
        <v>40</v>
      </c>
      <c r="V914" t="s">
        <v>105</v>
      </c>
      <c r="W914" t="s">
        <v>106</v>
      </c>
      <c r="X914" t="s">
        <v>45</v>
      </c>
      <c r="Y914">
        <v>140</v>
      </c>
      <c r="Z914" t="s">
        <v>46</v>
      </c>
      <c r="AA914" t="s">
        <v>47</v>
      </c>
      <c r="AB914" s="1">
        <v>46146</v>
      </c>
      <c r="AC914" t="s">
        <v>40</v>
      </c>
      <c r="AD914" t="s">
        <v>40</v>
      </c>
      <c r="AE914" t="s">
        <v>69</v>
      </c>
      <c r="AF914" t="s">
        <v>40</v>
      </c>
      <c r="AG914">
        <v>0</v>
      </c>
      <c r="AH914" t="s">
        <v>100</v>
      </c>
    </row>
    <row r="915" spans="1:34" x14ac:dyDescent="0.3">
      <c r="A915" t="s">
        <v>1513</v>
      </c>
      <c r="B915" t="s">
        <v>579</v>
      </c>
      <c r="C915" t="s">
        <v>169</v>
      </c>
      <c r="D915" t="s">
        <v>104</v>
      </c>
      <c r="E915" s="1">
        <v>45863</v>
      </c>
      <c r="F915" s="1">
        <v>45870</v>
      </c>
      <c r="G915" t="s">
        <v>64</v>
      </c>
      <c r="H915">
        <v>3125</v>
      </c>
      <c r="I915" t="s">
        <v>212</v>
      </c>
      <c r="J915" t="b">
        <v>0</v>
      </c>
      <c r="K915">
        <v>7</v>
      </c>
      <c r="L915">
        <v>8</v>
      </c>
      <c r="M915">
        <v>2025</v>
      </c>
      <c r="N915">
        <v>4</v>
      </c>
      <c r="O915">
        <v>7</v>
      </c>
      <c r="P915">
        <v>2025</v>
      </c>
      <c r="Q915">
        <v>4</v>
      </c>
      <c r="R915" t="s">
        <v>40</v>
      </c>
      <c r="S915" t="s">
        <v>41</v>
      </c>
      <c r="T915" t="s">
        <v>123</v>
      </c>
      <c r="U915" t="s">
        <v>66</v>
      </c>
      <c r="V915" t="s">
        <v>170</v>
      </c>
      <c r="W915" t="s">
        <v>171</v>
      </c>
      <c r="X915" t="s">
        <v>126</v>
      </c>
      <c r="Y915">
        <v>90</v>
      </c>
      <c r="Z915" t="s">
        <v>107</v>
      </c>
      <c r="AA915" t="s">
        <v>108</v>
      </c>
      <c r="AB915" s="1">
        <v>45870</v>
      </c>
      <c r="AC915" t="s">
        <v>40</v>
      </c>
      <c r="AD915" t="s">
        <v>40</v>
      </c>
      <c r="AE915" t="s">
        <v>86</v>
      </c>
      <c r="AF915" t="s">
        <v>40</v>
      </c>
      <c r="AG915">
        <v>0</v>
      </c>
      <c r="AH915" t="s">
        <v>100</v>
      </c>
    </row>
    <row r="916" spans="1:34" x14ac:dyDescent="0.3">
      <c r="A916" t="s">
        <v>1514</v>
      </c>
      <c r="B916" t="s">
        <v>1515</v>
      </c>
      <c r="C916" t="s">
        <v>129</v>
      </c>
      <c r="D916" t="s">
        <v>53</v>
      </c>
      <c r="E916" s="1">
        <v>45755</v>
      </c>
      <c r="F916" s="1">
        <v>45758</v>
      </c>
      <c r="G916" t="s">
        <v>64</v>
      </c>
      <c r="H916">
        <v>2869</v>
      </c>
      <c r="I916" t="s">
        <v>39</v>
      </c>
      <c r="J916" t="b">
        <v>0</v>
      </c>
      <c r="K916">
        <v>3</v>
      </c>
      <c r="L916">
        <v>4</v>
      </c>
      <c r="M916">
        <v>2025</v>
      </c>
      <c r="N916">
        <v>4</v>
      </c>
      <c r="O916">
        <v>4</v>
      </c>
      <c r="P916">
        <v>2025</v>
      </c>
      <c r="Q916">
        <v>1</v>
      </c>
      <c r="R916" t="s">
        <v>40</v>
      </c>
      <c r="S916" t="s">
        <v>41</v>
      </c>
      <c r="T916" t="s">
        <v>42</v>
      </c>
      <c r="U916" t="s">
        <v>40</v>
      </c>
      <c r="V916" t="s">
        <v>131</v>
      </c>
      <c r="W916" t="s">
        <v>132</v>
      </c>
      <c r="X916" t="s">
        <v>45</v>
      </c>
      <c r="Y916">
        <v>110</v>
      </c>
      <c r="Z916" t="s">
        <v>58</v>
      </c>
      <c r="AA916" t="s">
        <v>59</v>
      </c>
      <c r="AB916" s="1">
        <v>45758</v>
      </c>
      <c r="AC916" t="s">
        <v>40</v>
      </c>
      <c r="AD916" t="s">
        <v>40</v>
      </c>
      <c r="AE916" t="s">
        <v>69</v>
      </c>
      <c r="AF916" t="s">
        <v>40</v>
      </c>
      <c r="AG916">
        <v>0</v>
      </c>
      <c r="AH916" t="s">
        <v>100</v>
      </c>
    </row>
    <row r="917" spans="1:34" x14ac:dyDescent="0.3">
      <c r="A917" t="s">
        <v>1516</v>
      </c>
      <c r="B917" t="s">
        <v>1517</v>
      </c>
      <c r="C917" t="s">
        <v>97</v>
      </c>
      <c r="D917" t="s">
        <v>90</v>
      </c>
      <c r="E917" s="1">
        <v>46309</v>
      </c>
      <c r="F917" s="1">
        <v>46339</v>
      </c>
      <c r="G917" t="s">
        <v>38</v>
      </c>
      <c r="H917">
        <v>4914</v>
      </c>
      <c r="I917" t="s">
        <v>39</v>
      </c>
      <c r="J917" t="b">
        <v>0</v>
      </c>
      <c r="K917">
        <v>30</v>
      </c>
      <c r="L917">
        <v>11</v>
      </c>
      <c r="M917">
        <v>2026</v>
      </c>
      <c r="N917">
        <v>4</v>
      </c>
      <c r="O917">
        <v>10</v>
      </c>
      <c r="P917">
        <v>2026</v>
      </c>
      <c r="Q917">
        <v>2</v>
      </c>
      <c r="R917" t="s">
        <v>40</v>
      </c>
      <c r="S917" t="s">
        <v>45</v>
      </c>
      <c r="T917" t="s">
        <v>68</v>
      </c>
      <c r="U917" t="s">
        <v>40</v>
      </c>
      <c r="V917" t="s">
        <v>98</v>
      </c>
      <c r="W917" t="s">
        <v>99</v>
      </c>
      <c r="X917" t="s">
        <v>76</v>
      </c>
      <c r="Y917">
        <v>80</v>
      </c>
      <c r="Z917" t="s">
        <v>93</v>
      </c>
      <c r="AA917" t="s">
        <v>94</v>
      </c>
      <c r="AB917" s="1">
        <v>46339</v>
      </c>
      <c r="AC917" t="s">
        <v>40</v>
      </c>
      <c r="AD917" t="s">
        <v>40</v>
      </c>
      <c r="AE917" t="s">
        <v>86</v>
      </c>
      <c r="AF917" t="s">
        <v>40</v>
      </c>
      <c r="AG917">
        <v>0</v>
      </c>
      <c r="AH917" t="s">
        <v>70</v>
      </c>
    </row>
    <row r="918" spans="1:34" x14ac:dyDescent="0.3">
      <c r="A918" t="s">
        <v>1518</v>
      </c>
      <c r="B918" t="s">
        <v>511</v>
      </c>
      <c r="C918" t="s">
        <v>122</v>
      </c>
      <c r="D918" t="s">
        <v>37</v>
      </c>
      <c r="E918" s="1">
        <v>45839</v>
      </c>
      <c r="F918" s="1">
        <v>45869</v>
      </c>
      <c r="G918" t="s">
        <v>41</v>
      </c>
      <c r="H918">
        <v>8638</v>
      </c>
      <c r="I918" t="s">
        <v>65</v>
      </c>
      <c r="J918" t="b">
        <v>0</v>
      </c>
      <c r="K918">
        <v>30</v>
      </c>
      <c r="L918">
        <v>7</v>
      </c>
      <c r="M918">
        <v>2025</v>
      </c>
      <c r="N918">
        <v>3</v>
      </c>
      <c r="O918">
        <v>7</v>
      </c>
      <c r="P918">
        <v>2025</v>
      </c>
      <c r="Q918">
        <v>1</v>
      </c>
      <c r="R918" t="s">
        <v>40</v>
      </c>
      <c r="S918" t="s">
        <v>55</v>
      </c>
      <c r="T918" t="s">
        <v>42</v>
      </c>
      <c r="U918" t="s">
        <v>40</v>
      </c>
      <c r="V918" t="s">
        <v>124</v>
      </c>
      <c r="W918" t="s">
        <v>125</v>
      </c>
      <c r="X918" t="s">
        <v>126</v>
      </c>
      <c r="Y918">
        <v>85</v>
      </c>
      <c r="Z918" t="s">
        <v>46</v>
      </c>
      <c r="AA918" t="s">
        <v>47</v>
      </c>
      <c r="AB918" s="1">
        <v>45869</v>
      </c>
      <c r="AC918" t="s">
        <v>40</v>
      </c>
      <c r="AD918" t="s">
        <v>40</v>
      </c>
      <c r="AE918" t="s">
        <v>86</v>
      </c>
      <c r="AF918" t="s">
        <v>40</v>
      </c>
      <c r="AG918">
        <v>0</v>
      </c>
      <c r="AH918" t="s">
        <v>70</v>
      </c>
    </row>
    <row r="919" spans="1:34" x14ac:dyDescent="0.3">
      <c r="A919" t="s">
        <v>1519</v>
      </c>
      <c r="B919" t="s">
        <v>624</v>
      </c>
      <c r="C919" t="s">
        <v>169</v>
      </c>
      <c r="D919" t="s">
        <v>130</v>
      </c>
      <c r="E919" s="1">
        <v>46015</v>
      </c>
      <c r="F919" s="1">
        <v>46075</v>
      </c>
      <c r="G919" t="s">
        <v>38</v>
      </c>
      <c r="H919">
        <v>4291</v>
      </c>
      <c r="I919" t="s">
        <v>65</v>
      </c>
      <c r="J919" t="b">
        <v>0</v>
      </c>
      <c r="K919">
        <v>60</v>
      </c>
      <c r="L919">
        <v>2</v>
      </c>
      <c r="M919">
        <v>2026</v>
      </c>
      <c r="N919">
        <v>6</v>
      </c>
      <c r="O919">
        <v>12</v>
      </c>
      <c r="P919">
        <v>2025</v>
      </c>
      <c r="Q919">
        <v>2</v>
      </c>
      <c r="R919" t="s">
        <v>66</v>
      </c>
      <c r="S919" t="s">
        <v>45</v>
      </c>
      <c r="T919" t="s">
        <v>42</v>
      </c>
      <c r="U919" t="s">
        <v>40</v>
      </c>
      <c r="V919" t="s">
        <v>170</v>
      </c>
      <c r="W919" t="s">
        <v>171</v>
      </c>
      <c r="X919" t="s">
        <v>126</v>
      </c>
      <c r="Y919">
        <v>90</v>
      </c>
      <c r="Z919" t="s">
        <v>133</v>
      </c>
      <c r="AA919" t="s">
        <v>134</v>
      </c>
      <c r="AB919" s="1">
        <v>46075</v>
      </c>
      <c r="AC919" t="s">
        <v>66</v>
      </c>
      <c r="AD919" t="s">
        <v>40</v>
      </c>
      <c r="AE919" t="s">
        <v>60</v>
      </c>
      <c r="AF919" t="s">
        <v>40</v>
      </c>
      <c r="AG919">
        <v>0</v>
      </c>
      <c r="AH919" t="s">
        <v>61</v>
      </c>
    </row>
    <row r="920" spans="1:34" x14ac:dyDescent="0.3">
      <c r="A920" t="s">
        <v>1520</v>
      </c>
      <c r="B920" t="s">
        <v>1521</v>
      </c>
      <c r="C920" t="s">
        <v>103</v>
      </c>
      <c r="D920" t="s">
        <v>104</v>
      </c>
      <c r="E920" s="1">
        <v>45777</v>
      </c>
      <c r="F920" s="1">
        <v>45807</v>
      </c>
      <c r="G920" t="s">
        <v>64</v>
      </c>
      <c r="H920">
        <v>2704</v>
      </c>
      <c r="I920" t="s">
        <v>65</v>
      </c>
      <c r="J920" t="b">
        <v>0</v>
      </c>
      <c r="K920">
        <v>30</v>
      </c>
      <c r="L920">
        <v>5</v>
      </c>
      <c r="M920">
        <v>2025</v>
      </c>
      <c r="N920">
        <v>4</v>
      </c>
      <c r="O920">
        <v>4</v>
      </c>
      <c r="P920">
        <v>2025</v>
      </c>
      <c r="Q920">
        <v>2</v>
      </c>
      <c r="R920" t="s">
        <v>40</v>
      </c>
      <c r="S920" t="s">
        <v>67</v>
      </c>
      <c r="T920" t="s">
        <v>113</v>
      </c>
      <c r="U920" t="s">
        <v>66</v>
      </c>
      <c r="V920" t="s">
        <v>105</v>
      </c>
      <c r="W920" t="s">
        <v>106</v>
      </c>
      <c r="X920" t="s">
        <v>45</v>
      </c>
      <c r="Y920">
        <v>140</v>
      </c>
      <c r="Z920" t="s">
        <v>107</v>
      </c>
      <c r="AA920" t="s">
        <v>108</v>
      </c>
      <c r="AB920" s="1">
        <v>45807</v>
      </c>
      <c r="AC920" t="s">
        <v>40</v>
      </c>
      <c r="AD920" t="s">
        <v>40</v>
      </c>
      <c r="AE920" t="s">
        <v>69</v>
      </c>
      <c r="AF920" t="s">
        <v>40</v>
      </c>
      <c r="AG920">
        <v>0</v>
      </c>
      <c r="AH920" t="s">
        <v>70</v>
      </c>
    </row>
    <row r="921" spans="1:34" x14ac:dyDescent="0.3">
      <c r="A921" t="s">
        <v>1522</v>
      </c>
      <c r="B921" t="s">
        <v>556</v>
      </c>
      <c r="C921" t="s">
        <v>79</v>
      </c>
      <c r="D921" t="s">
        <v>130</v>
      </c>
      <c r="E921" s="1">
        <v>46149</v>
      </c>
      <c r="F921" s="1">
        <v>46249</v>
      </c>
      <c r="G921" t="s">
        <v>64</v>
      </c>
      <c r="H921">
        <v>2386</v>
      </c>
      <c r="I921" t="s">
        <v>39</v>
      </c>
      <c r="J921" t="b">
        <v>0</v>
      </c>
      <c r="K921">
        <v>100</v>
      </c>
      <c r="L921">
        <v>8</v>
      </c>
      <c r="M921">
        <v>2026</v>
      </c>
      <c r="N921">
        <v>5</v>
      </c>
      <c r="O921">
        <v>5</v>
      </c>
      <c r="P921">
        <v>2026</v>
      </c>
      <c r="Q921">
        <v>3</v>
      </c>
      <c r="R921" t="s">
        <v>66</v>
      </c>
      <c r="S921" t="s">
        <v>55</v>
      </c>
      <c r="T921" t="s">
        <v>139</v>
      </c>
      <c r="U921" t="s">
        <v>40</v>
      </c>
      <c r="V921" t="s">
        <v>82</v>
      </c>
      <c r="W921" t="s">
        <v>83</v>
      </c>
      <c r="X921" t="s">
        <v>76</v>
      </c>
      <c r="Y921">
        <v>100</v>
      </c>
      <c r="Z921" t="s">
        <v>133</v>
      </c>
      <c r="AA921" t="s">
        <v>134</v>
      </c>
      <c r="AB921" s="1">
        <v>46249</v>
      </c>
      <c r="AC921" t="s">
        <v>66</v>
      </c>
      <c r="AD921" t="s">
        <v>66</v>
      </c>
      <c r="AE921" t="s">
        <v>86</v>
      </c>
      <c r="AF921" t="s">
        <v>66</v>
      </c>
      <c r="AG921">
        <v>0</v>
      </c>
      <c r="AH921" t="s">
        <v>49</v>
      </c>
    </row>
    <row r="922" spans="1:34" x14ac:dyDescent="0.3">
      <c r="A922" t="s">
        <v>1523</v>
      </c>
      <c r="B922" t="s">
        <v>261</v>
      </c>
      <c r="C922" t="s">
        <v>129</v>
      </c>
      <c r="D922" t="s">
        <v>90</v>
      </c>
      <c r="E922" s="1">
        <v>45947</v>
      </c>
      <c r="F922" s="1">
        <v>45961</v>
      </c>
      <c r="G922" t="s">
        <v>41</v>
      </c>
      <c r="H922">
        <v>6782</v>
      </c>
      <c r="I922" t="s">
        <v>39</v>
      </c>
      <c r="J922" t="b">
        <v>0</v>
      </c>
      <c r="K922">
        <v>14</v>
      </c>
      <c r="L922">
        <v>10</v>
      </c>
      <c r="M922">
        <v>2025</v>
      </c>
      <c r="N922">
        <v>4</v>
      </c>
      <c r="O922">
        <v>10</v>
      </c>
      <c r="P922">
        <v>2025</v>
      </c>
      <c r="Q922">
        <v>4</v>
      </c>
      <c r="R922" t="s">
        <v>40</v>
      </c>
      <c r="S922" t="s">
        <v>55</v>
      </c>
      <c r="T922" t="s">
        <v>42</v>
      </c>
      <c r="U922" t="s">
        <v>66</v>
      </c>
      <c r="V922" t="s">
        <v>131</v>
      </c>
      <c r="W922" t="s">
        <v>132</v>
      </c>
      <c r="X922" t="s">
        <v>45</v>
      </c>
      <c r="Y922">
        <v>110</v>
      </c>
      <c r="Z922" t="s">
        <v>93</v>
      </c>
      <c r="AA922" t="s">
        <v>94</v>
      </c>
      <c r="AB922" s="1">
        <v>45961</v>
      </c>
      <c r="AC922" t="s">
        <v>40</v>
      </c>
      <c r="AD922" t="s">
        <v>40</v>
      </c>
      <c r="AE922" t="s">
        <v>60</v>
      </c>
      <c r="AF922" t="s">
        <v>40</v>
      </c>
      <c r="AG922">
        <v>0</v>
      </c>
      <c r="AH922" t="s">
        <v>70</v>
      </c>
    </row>
    <row r="923" spans="1:34" x14ac:dyDescent="0.3">
      <c r="A923" t="s">
        <v>1524</v>
      </c>
      <c r="B923" t="s">
        <v>1525</v>
      </c>
      <c r="C923" t="s">
        <v>146</v>
      </c>
      <c r="D923" t="s">
        <v>104</v>
      </c>
      <c r="E923" s="1">
        <v>46282</v>
      </c>
      <c r="F923" s="1">
        <v>46296</v>
      </c>
      <c r="G923" t="s">
        <v>41</v>
      </c>
      <c r="H923">
        <v>8404</v>
      </c>
      <c r="I923" t="s">
        <v>39</v>
      </c>
      <c r="J923" t="b">
        <v>0</v>
      </c>
      <c r="K923">
        <v>14</v>
      </c>
      <c r="L923">
        <v>10</v>
      </c>
      <c r="M923">
        <v>2026</v>
      </c>
      <c r="N923">
        <v>3</v>
      </c>
      <c r="O923">
        <v>9</v>
      </c>
      <c r="P923">
        <v>2026</v>
      </c>
      <c r="Q923">
        <v>3</v>
      </c>
      <c r="R923" t="s">
        <v>40</v>
      </c>
      <c r="S923" t="s">
        <v>45</v>
      </c>
      <c r="T923" t="s">
        <v>113</v>
      </c>
      <c r="U923" t="s">
        <v>66</v>
      </c>
      <c r="V923" t="s">
        <v>147</v>
      </c>
      <c r="W923" t="s">
        <v>148</v>
      </c>
      <c r="X923" t="s">
        <v>45</v>
      </c>
      <c r="Y923">
        <v>160</v>
      </c>
      <c r="Z923" t="s">
        <v>107</v>
      </c>
      <c r="AA923" t="s">
        <v>108</v>
      </c>
      <c r="AB923" s="1">
        <v>46296</v>
      </c>
      <c r="AC923" t="s">
        <v>40</v>
      </c>
      <c r="AD923" t="s">
        <v>40</v>
      </c>
      <c r="AE923" t="s">
        <v>60</v>
      </c>
      <c r="AF923" t="s">
        <v>40</v>
      </c>
      <c r="AG923">
        <v>0</v>
      </c>
      <c r="AH923" t="s">
        <v>70</v>
      </c>
    </row>
    <row r="924" spans="1:34" x14ac:dyDescent="0.3">
      <c r="A924" t="s">
        <v>1526</v>
      </c>
      <c r="B924" t="s">
        <v>241</v>
      </c>
      <c r="C924" t="s">
        <v>89</v>
      </c>
      <c r="D924" t="s">
        <v>80</v>
      </c>
      <c r="E924" s="1">
        <v>46213</v>
      </c>
      <c r="F924" s="1">
        <v>46216</v>
      </c>
      <c r="G924" t="s">
        <v>81</v>
      </c>
      <c r="H924">
        <v>6886</v>
      </c>
      <c r="I924" t="s">
        <v>212</v>
      </c>
      <c r="J924" t="b">
        <v>0</v>
      </c>
      <c r="K924">
        <v>3</v>
      </c>
      <c r="L924">
        <v>7</v>
      </c>
      <c r="M924">
        <v>2026</v>
      </c>
      <c r="N924">
        <v>0</v>
      </c>
      <c r="O924">
        <v>7</v>
      </c>
      <c r="P924">
        <v>2026</v>
      </c>
      <c r="Q924">
        <v>4</v>
      </c>
      <c r="R924" t="s">
        <v>40</v>
      </c>
      <c r="S924" t="s">
        <v>45</v>
      </c>
      <c r="T924" t="s">
        <v>113</v>
      </c>
      <c r="U924" t="s">
        <v>66</v>
      </c>
      <c r="V924" t="s">
        <v>91</v>
      </c>
      <c r="W924" t="s">
        <v>92</v>
      </c>
      <c r="X924" t="s">
        <v>76</v>
      </c>
      <c r="Y924">
        <v>65</v>
      </c>
      <c r="Z924" t="s">
        <v>84</v>
      </c>
      <c r="AA924" t="s">
        <v>85</v>
      </c>
      <c r="AB924" s="1">
        <v>46216</v>
      </c>
      <c r="AC924" t="s">
        <v>40</v>
      </c>
      <c r="AD924" t="s">
        <v>40</v>
      </c>
      <c r="AE924" t="s">
        <v>86</v>
      </c>
      <c r="AF924" t="s">
        <v>40</v>
      </c>
      <c r="AG924">
        <v>0</v>
      </c>
      <c r="AH924" t="s">
        <v>100</v>
      </c>
    </row>
    <row r="925" spans="1:34" x14ac:dyDescent="0.3">
      <c r="A925" t="s">
        <v>1527</v>
      </c>
      <c r="B925" t="s">
        <v>257</v>
      </c>
      <c r="C925" t="s">
        <v>129</v>
      </c>
      <c r="D925" t="s">
        <v>104</v>
      </c>
      <c r="E925" s="1">
        <v>46178</v>
      </c>
      <c r="F925" s="1">
        <v>46208</v>
      </c>
      <c r="G925" t="s">
        <v>38</v>
      </c>
      <c r="H925">
        <v>3683</v>
      </c>
      <c r="I925" t="s">
        <v>39</v>
      </c>
      <c r="J925" t="b">
        <v>0</v>
      </c>
      <c r="K925">
        <v>30</v>
      </c>
      <c r="L925">
        <v>7</v>
      </c>
      <c r="M925">
        <v>2026</v>
      </c>
      <c r="N925">
        <v>6</v>
      </c>
      <c r="O925">
        <v>6</v>
      </c>
      <c r="P925">
        <v>2026</v>
      </c>
      <c r="Q925">
        <v>4</v>
      </c>
      <c r="R925" t="s">
        <v>66</v>
      </c>
      <c r="S925" t="s">
        <v>55</v>
      </c>
      <c r="T925" t="s">
        <v>42</v>
      </c>
      <c r="U925" t="s">
        <v>40</v>
      </c>
      <c r="V925" t="s">
        <v>131</v>
      </c>
      <c r="W925" t="s">
        <v>132</v>
      </c>
      <c r="X925" t="s">
        <v>45</v>
      </c>
      <c r="Y925">
        <v>110</v>
      </c>
      <c r="Z925" t="s">
        <v>107</v>
      </c>
      <c r="AA925" t="s">
        <v>108</v>
      </c>
      <c r="AB925" s="1">
        <v>46208</v>
      </c>
      <c r="AC925" t="s">
        <v>66</v>
      </c>
      <c r="AD925" t="s">
        <v>40</v>
      </c>
      <c r="AE925" t="s">
        <v>86</v>
      </c>
      <c r="AF925" t="s">
        <v>40</v>
      </c>
      <c r="AG925">
        <v>0</v>
      </c>
      <c r="AH925" t="s">
        <v>70</v>
      </c>
    </row>
    <row r="926" spans="1:34" x14ac:dyDescent="0.3">
      <c r="A926" t="s">
        <v>1528</v>
      </c>
      <c r="B926" t="s">
        <v>117</v>
      </c>
      <c r="C926" t="s">
        <v>36</v>
      </c>
      <c r="D926" t="s">
        <v>37</v>
      </c>
      <c r="E926" s="1">
        <v>45866</v>
      </c>
      <c r="F926" s="1">
        <v>45896</v>
      </c>
      <c r="G926" t="s">
        <v>64</v>
      </c>
      <c r="H926">
        <v>4088</v>
      </c>
      <c r="I926" t="s">
        <v>39</v>
      </c>
      <c r="J926" t="b">
        <v>0</v>
      </c>
      <c r="K926">
        <v>30</v>
      </c>
      <c r="L926">
        <v>8</v>
      </c>
      <c r="M926">
        <v>2025</v>
      </c>
      <c r="N926">
        <v>2</v>
      </c>
      <c r="O926">
        <v>7</v>
      </c>
      <c r="P926">
        <v>2025</v>
      </c>
      <c r="Q926">
        <v>0</v>
      </c>
      <c r="R926" t="s">
        <v>40</v>
      </c>
      <c r="S926" t="s">
        <v>67</v>
      </c>
      <c r="T926" t="s">
        <v>42</v>
      </c>
      <c r="U926" t="s">
        <v>40</v>
      </c>
      <c r="V926" t="s">
        <v>43</v>
      </c>
      <c r="W926" t="s">
        <v>44</v>
      </c>
      <c r="X926" t="s">
        <v>45</v>
      </c>
      <c r="Y926">
        <v>150</v>
      </c>
      <c r="Z926" t="s">
        <v>46</v>
      </c>
      <c r="AA926" t="s">
        <v>47</v>
      </c>
      <c r="AB926" s="1">
        <v>45896</v>
      </c>
      <c r="AC926" t="s">
        <v>40</v>
      </c>
      <c r="AD926" t="s">
        <v>40</v>
      </c>
      <c r="AE926" t="s">
        <v>86</v>
      </c>
      <c r="AF926" t="s">
        <v>40</v>
      </c>
      <c r="AG926">
        <v>0</v>
      </c>
      <c r="AH926" t="s">
        <v>70</v>
      </c>
    </row>
    <row r="927" spans="1:34" x14ac:dyDescent="0.3">
      <c r="A927" t="s">
        <v>1529</v>
      </c>
      <c r="B927" t="s">
        <v>290</v>
      </c>
      <c r="C927" t="s">
        <v>129</v>
      </c>
      <c r="D927" t="s">
        <v>53</v>
      </c>
      <c r="E927" s="1">
        <v>45839</v>
      </c>
      <c r="F927" s="1">
        <v>46059</v>
      </c>
      <c r="G927" t="s">
        <v>38</v>
      </c>
      <c r="H927">
        <v>5146</v>
      </c>
      <c r="I927" t="s">
        <v>54</v>
      </c>
      <c r="J927" t="b">
        <v>0</v>
      </c>
      <c r="K927">
        <v>220</v>
      </c>
      <c r="L927">
        <v>2</v>
      </c>
      <c r="M927">
        <v>2026</v>
      </c>
      <c r="N927">
        <v>4</v>
      </c>
      <c r="O927">
        <v>7</v>
      </c>
      <c r="P927">
        <v>2025</v>
      </c>
      <c r="Q927">
        <v>1</v>
      </c>
      <c r="R927" t="s">
        <v>40</v>
      </c>
      <c r="S927" t="s">
        <v>55</v>
      </c>
      <c r="T927" t="s">
        <v>42</v>
      </c>
      <c r="U927" t="s">
        <v>40</v>
      </c>
      <c r="V927" t="s">
        <v>131</v>
      </c>
      <c r="W927" t="s">
        <v>132</v>
      </c>
      <c r="X927" t="s">
        <v>45</v>
      </c>
      <c r="Y927">
        <v>110</v>
      </c>
      <c r="Z927" t="s">
        <v>58</v>
      </c>
      <c r="AA927" t="s">
        <v>59</v>
      </c>
      <c r="AB927" s="1">
        <v>46059</v>
      </c>
      <c r="AC927" t="s">
        <v>40</v>
      </c>
      <c r="AD927" t="s">
        <v>40</v>
      </c>
      <c r="AE927" t="s">
        <v>60</v>
      </c>
      <c r="AF927" t="s">
        <v>40</v>
      </c>
      <c r="AG927">
        <v>1</v>
      </c>
      <c r="AH927" t="s">
        <v>142</v>
      </c>
    </row>
    <row r="928" spans="1:34" x14ac:dyDescent="0.3">
      <c r="A928" t="s">
        <v>1530</v>
      </c>
      <c r="B928" t="s">
        <v>677</v>
      </c>
      <c r="C928" t="s">
        <v>103</v>
      </c>
      <c r="D928" t="s">
        <v>37</v>
      </c>
      <c r="E928" s="1">
        <v>46242</v>
      </c>
      <c r="F928" s="1">
        <v>46302</v>
      </c>
      <c r="G928" t="s">
        <v>81</v>
      </c>
      <c r="H928">
        <v>39808</v>
      </c>
      <c r="I928" t="s">
        <v>65</v>
      </c>
      <c r="J928" t="b">
        <v>1</v>
      </c>
      <c r="K928">
        <v>60</v>
      </c>
      <c r="L928">
        <v>10</v>
      </c>
      <c r="M928">
        <v>2026</v>
      </c>
      <c r="N928">
        <v>2</v>
      </c>
      <c r="O928">
        <v>8</v>
      </c>
      <c r="P928">
        <v>2026</v>
      </c>
      <c r="Q928">
        <v>5</v>
      </c>
      <c r="R928" t="s">
        <v>40</v>
      </c>
      <c r="S928" t="s">
        <v>67</v>
      </c>
      <c r="T928" t="s">
        <v>286</v>
      </c>
      <c r="U928" t="s">
        <v>40</v>
      </c>
      <c r="V928" t="s">
        <v>105</v>
      </c>
      <c r="W928" t="s">
        <v>106</v>
      </c>
      <c r="X928" t="s">
        <v>45</v>
      </c>
      <c r="Y928">
        <v>140</v>
      </c>
      <c r="Z928" t="s">
        <v>46</v>
      </c>
      <c r="AA928" t="s">
        <v>47</v>
      </c>
      <c r="AB928" s="1">
        <v>46302</v>
      </c>
      <c r="AC928" t="s">
        <v>40</v>
      </c>
      <c r="AD928" t="s">
        <v>40</v>
      </c>
      <c r="AE928" t="s">
        <v>60</v>
      </c>
      <c r="AF928" t="s">
        <v>40</v>
      </c>
      <c r="AG928">
        <v>0</v>
      </c>
      <c r="AH928" t="s">
        <v>61</v>
      </c>
    </row>
    <row r="929" spans="1:34" x14ac:dyDescent="0.3">
      <c r="A929" t="s">
        <v>1531</v>
      </c>
      <c r="B929" t="s">
        <v>484</v>
      </c>
      <c r="C929" t="s">
        <v>122</v>
      </c>
      <c r="D929" t="s">
        <v>53</v>
      </c>
      <c r="E929" s="1">
        <v>46272</v>
      </c>
      <c r="F929" s="1">
        <v>46273</v>
      </c>
      <c r="G929" t="s">
        <v>41</v>
      </c>
      <c r="H929">
        <v>7715</v>
      </c>
      <c r="I929" t="s">
        <v>54</v>
      </c>
      <c r="J929" t="b">
        <v>0</v>
      </c>
      <c r="K929">
        <v>1</v>
      </c>
      <c r="L929">
        <v>9</v>
      </c>
      <c r="M929">
        <v>2026</v>
      </c>
      <c r="N929">
        <v>1</v>
      </c>
      <c r="O929">
        <v>9</v>
      </c>
      <c r="P929">
        <v>2026</v>
      </c>
      <c r="Q929">
        <v>0</v>
      </c>
      <c r="R929" t="s">
        <v>40</v>
      </c>
      <c r="S929" t="s">
        <v>41</v>
      </c>
      <c r="T929" t="s">
        <v>42</v>
      </c>
      <c r="U929" t="s">
        <v>40</v>
      </c>
      <c r="V929" t="s">
        <v>124</v>
      </c>
      <c r="W929" t="s">
        <v>125</v>
      </c>
      <c r="X929" t="s">
        <v>126</v>
      </c>
      <c r="Y929">
        <v>85</v>
      </c>
      <c r="Z929" t="s">
        <v>58</v>
      </c>
      <c r="AA929" t="s">
        <v>59</v>
      </c>
      <c r="AB929" s="1">
        <v>46273</v>
      </c>
      <c r="AC929" t="s">
        <v>40</v>
      </c>
      <c r="AD929" t="s">
        <v>40</v>
      </c>
      <c r="AE929" t="s">
        <v>60</v>
      </c>
      <c r="AF929" t="s">
        <v>40</v>
      </c>
      <c r="AG929">
        <v>1</v>
      </c>
      <c r="AH929" t="s">
        <v>100</v>
      </c>
    </row>
    <row r="930" spans="1:34" x14ac:dyDescent="0.3">
      <c r="A930" t="s">
        <v>1532</v>
      </c>
      <c r="B930" t="s">
        <v>434</v>
      </c>
      <c r="C930" t="s">
        <v>36</v>
      </c>
      <c r="D930" t="s">
        <v>90</v>
      </c>
      <c r="E930" s="1">
        <v>46158</v>
      </c>
      <c r="F930" s="1">
        <v>46159</v>
      </c>
      <c r="G930" t="s">
        <v>81</v>
      </c>
      <c r="H930">
        <v>9762</v>
      </c>
      <c r="I930" t="s">
        <v>39</v>
      </c>
      <c r="J930" t="b">
        <v>0</v>
      </c>
      <c r="K930">
        <v>1</v>
      </c>
      <c r="L930">
        <v>5</v>
      </c>
      <c r="M930">
        <v>2026</v>
      </c>
      <c r="N930">
        <v>6</v>
      </c>
      <c r="O930">
        <v>5</v>
      </c>
      <c r="P930">
        <v>2026</v>
      </c>
      <c r="Q930">
        <v>5</v>
      </c>
      <c r="R930" t="s">
        <v>66</v>
      </c>
      <c r="S930" t="s">
        <v>45</v>
      </c>
      <c r="T930" t="s">
        <v>68</v>
      </c>
      <c r="U930" t="s">
        <v>66</v>
      </c>
      <c r="V930" t="s">
        <v>43</v>
      </c>
      <c r="W930" t="s">
        <v>44</v>
      </c>
      <c r="X930" t="s">
        <v>45</v>
      </c>
      <c r="Y930">
        <v>150</v>
      </c>
      <c r="Z930" t="s">
        <v>93</v>
      </c>
      <c r="AA930" t="s">
        <v>94</v>
      </c>
      <c r="AB930" s="1">
        <v>46159</v>
      </c>
      <c r="AC930" t="s">
        <v>66</v>
      </c>
      <c r="AD930" t="s">
        <v>40</v>
      </c>
      <c r="AE930" t="s">
        <v>69</v>
      </c>
      <c r="AF930" t="s">
        <v>40</v>
      </c>
      <c r="AG930">
        <v>0</v>
      </c>
      <c r="AH930" t="s">
        <v>100</v>
      </c>
    </row>
    <row r="931" spans="1:34" x14ac:dyDescent="0.3">
      <c r="A931" t="s">
        <v>1533</v>
      </c>
      <c r="B931" t="s">
        <v>603</v>
      </c>
      <c r="C931" t="s">
        <v>36</v>
      </c>
      <c r="D931" t="s">
        <v>104</v>
      </c>
      <c r="E931" s="1">
        <v>45864</v>
      </c>
      <c r="F931" s="1">
        <v>46014</v>
      </c>
      <c r="G931" t="s">
        <v>41</v>
      </c>
      <c r="H931">
        <v>6920</v>
      </c>
      <c r="I931" t="s">
        <v>54</v>
      </c>
      <c r="J931" t="b">
        <v>0</v>
      </c>
      <c r="K931">
        <v>150</v>
      </c>
      <c r="L931">
        <v>12</v>
      </c>
      <c r="M931">
        <v>2025</v>
      </c>
      <c r="N931">
        <v>1</v>
      </c>
      <c r="O931">
        <v>7</v>
      </c>
      <c r="P931">
        <v>2025</v>
      </c>
      <c r="Q931">
        <v>5</v>
      </c>
      <c r="R931" t="s">
        <v>40</v>
      </c>
      <c r="S931" t="s">
        <v>55</v>
      </c>
      <c r="T931" t="s">
        <v>286</v>
      </c>
      <c r="U931" t="s">
        <v>40</v>
      </c>
      <c r="V931" t="s">
        <v>43</v>
      </c>
      <c r="W931" t="s">
        <v>44</v>
      </c>
      <c r="X931" t="s">
        <v>45</v>
      </c>
      <c r="Y931">
        <v>150</v>
      </c>
      <c r="Z931" t="s">
        <v>107</v>
      </c>
      <c r="AA931" t="s">
        <v>108</v>
      </c>
      <c r="AB931" s="1">
        <v>46014</v>
      </c>
      <c r="AC931" t="s">
        <v>40</v>
      </c>
      <c r="AD931" t="s">
        <v>40</v>
      </c>
      <c r="AE931" t="s">
        <v>69</v>
      </c>
      <c r="AF931" t="s">
        <v>40</v>
      </c>
      <c r="AG931">
        <v>1</v>
      </c>
      <c r="AH931" t="s">
        <v>49</v>
      </c>
    </row>
    <row r="932" spans="1:34" x14ac:dyDescent="0.3">
      <c r="A932" t="s">
        <v>1534</v>
      </c>
      <c r="B932" t="s">
        <v>361</v>
      </c>
      <c r="C932" t="s">
        <v>103</v>
      </c>
      <c r="D932" t="s">
        <v>90</v>
      </c>
      <c r="E932" s="1">
        <v>45743</v>
      </c>
      <c r="F932" s="1">
        <v>45803</v>
      </c>
      <c r="G932" t="s">
        <v>64</v>
      </c>
      <c r="H932">
        <v>3092</v>
      </c>
      <c r="I932" t="s">
        <v>39</v>
      </c>
      <c r="J932" t="b">
        <v>0</v>
      </c>
      <c r="K932">
        <v>60</v>
      </c>
      <c r="L932">
        <v>5</v>
      </c>
      <c r="M932">
        <v>2025</v>
      </c>
      <c r="N932">
        <v>0</v>
      </c>
      <c r="O932">
        <v>3</v>
      </c>
      <c r="P932">
        <v>2025</v>
      </c>
      <c r="Q932">
        <v>3</v>
      </c>
      <c r="R932" t="s">
        <v>40</v>
      </c>
      <c r="S932" t="s">
        <v>67</v>
      </c>
      <c r="T932" t="s">
        <v>286</v>
      </c>
      <c r="U932" t="s">
        <v>40</v>
      </c>
      <c r="V932" t="s">
        <v>105</v>
      </c>
      <c r="W932" t="s">
        <v>106</v>
      </c>
      <c r="X932" t="s">
        <v>45</v>
      </c>
      <c r="Y932">
        <v>140</v>
      </c>
      <c r="Z932" t="s">
        <v>93</v>
      </c>
      <c r="AA932" t="s">
        <v>94</v>
      </c>
      <c r="AB932" s="1">
        <v>45803</v>
      </c>
      <c r="AC932" t="s">
        <v>40</v>
      </c>
      <c r="AD932" t="s">
        <v>40</v>
      </c>
      <c r="AE932" t="s">
        <v>69</v>
      </c>
      <c r="AF932" t="s">
        <v>40</v>
      </c>
      <c r="AG932">
        <v>0</v>
      </c>
      <c r="AH932" t="s">
        <v>61</v>
      </c>
    </row>
    <row r="933" spans="1:34" x14ac:dyDescent="0.3">
      <c r="A933" t="s">
        <v>1535</v>
      </c>
      <c r="B933" t="s">
        <v>1536</v>
      </c>
      <c r="C933" t="s">
        <v>73</v>
      </c>
      <c r="D933" t="s">
        <v>90</v>
      </c>
      <c r="E933" s="1">
        <v>45983</v>
      </c>
      <c r="F933" s="1">
        <v>45984</v>
      </c>
      <c r="G933" t="s">
        <v>64</v>
      </c>
      <c r="H933">
        <v>2899</v>
      </c>
      <c r="I933" t="s">
        <v>39</v>
      </c>
      <c r="J933" t="b">
        <v>0</v>
      </c>
      <c r="K933">
        <v>1</v>
      </c>
      <c r="L933">
        <v>11</v>
      </c>
      <c r="M933">
        <v>2025</v>
      </c>
      <c r="N933">
        <v>6</v>
      </c>
      <c r="O933">
        <v>11</v>
      </c>
      <c r="P933">
        <v>2025</v>
      </c>
      <c r="Q933">
        <v>5</v>
      </c>
      <c r="R933" t="s">
        <v>66</v>
      </c>
      <c r="S933" t="s">
        <v>67</v>
      </c>
      <c r="T933" t="s">
        <v>286</v>
      </c>
      <c r="U933" t="s">
        <v>40</v>
      </c>
      <c r="V933" t="s">
        <v>74</v>
      </c>
      <c r="W933" t="s">
        <v>75</v>
      </c>
      <c r="X933" t="s">
        <v>76</v>
      </c>
      <c r="Y933">
        <v>75</v>
      </c>
      <c r="Z933" t="s">
        <v>93</v>
      </c>
      <c r="AA933" t="s">
        <v>94</v>
      </c>
      <c r="AB933" s="1">
        <v>45984</v>
      </c>
      <c r="AC933" t="s">
        <v>66</v>
      </c>
      <c r="AD933" t="s">
        <v>40</v>
      </c>
      <c r="AE933" t="s">
        <v>86</v>
      </c>
      <c r="AF933" t="s">
        <v>40</v>
      </c>
      <c r="AG933">
        <v>0</v>
      </c>
      <c r="AH933" t="s">
        <v>100</v>
      </c>
    </row>
    <row r="934" spans="1:34" x14ac:dyDescent="0.3">
      <c r="A934" t="s">
        <v>1537</v>
      </c>
      <c r="B934" t="s">
        <v>160</v>
      </c>
      <c r="C934" t="s">
        <v>97</v>
      </c>
      <c r="D934" t="s">
        <v>53</v>
      </c>
      <c r="E934" s="1">
        <v>46175</v>
      </c>
      <c r="F934" s="1">
        <v>46176</v>
      </c>
      <c r="G934" t="s">
        <v>38</v>
      </c>
      <c r="H934">
        <v>5297</v>
      </c>
      <c r="I934" t="s">
        <v>39</v>
      </c>
      <c r="J934" t="b">
        <v>0</v>
      </c>
      <c r="K934">
        <v>1</v>
      </c>
      <c r="L934">
        <v>6</v>
      </c>
      <c r="M934">
        <v>2026</v>
      </c>
      <c r="N934">
        <v>2</v>
      </c>
      <c r="O934">
        <v>6</v>
      </c>
      <c r="P934">
        <v>2026</v>
      </c>
      <c r="Q934">
        <v>1</v>
      </c>
      <c r="R934" t="s">
        <v>40</v>
      </c>
      <c r="S934" t="s">
        <v>45</v>
      </c>
      <c r="T934" t="s">
        <v>42</v>
      </c>
      <c r="U934" t="s">
        <v>40</v>
      </c>
      <c r="V934" t="s">
        <v>98</v>
      </c>
      <c r="W934" t="s">
        <v>99</v>
      </c>
      <c r="X934" t="s">
        <v>76</v>
      </c>
      <c r="Y934">
        <v>80</v>
      </c>
      <c r="Z934" t="s">
        <v>58</v>
      </c>
      <c r="AA934" t="s">
        <v>59</v>
      </c>
      <c r="AB934" s="1">
        <v>46176</v>
      </c>
      <c r="AC934" t="s">
        <v>40</v>
      </c>
      <c r="AD934" t="s">
        <v>40</v>
      </c>
      <c r="AE934" t="s">
        <v>60</v>
      </c>
      <c r="AF934" t="s">
        <v>40</v>
      </c>
      <c r="AG934">
        <v>0</v>
      </c>
      <c r="AH934" t="s">
        <v>100</v>
      </c>
    </row>
    <row r="935" spans="1:34" x14ac:dyDescent="0.3">
      <c r="A935" t="s">
        <v>1538</v>
      </c>
      <c r="B935" t="s">
        <v>1318</v>
      </c>
      <c r="C935" t="s">
        <v>146</v>
      </c>
      <c r="D935" t="s">
        <v>90</v>
      </c>
      <c r="E935" s="1">
        <v>45804</v>
      </c>
      <c r="F935" s="1">
        <v>45834</v>
      </c>
      <c r="G935" t="s">
        <v>81</v>
      </c>
      <c r="H935">
        <v>9858</v>
      </c>
      <c r="I935" t="s">
        <v>39</v>
      </c>
      <c r="J935" t="b">
        <v>0</v>
      </c>
      <c r="K935">
        <v>30</v>
      </c>
      <c r="L935">
        <v>6</v>
      </c>
      <c r="M935">
        <v>2025</v>
      </c>
      <c r="N935">
        <v>3</v>
      </c>
      <c r="O935">
        <v>5</v>
      </c>
      <c r="P935">
        <v>2025</v>
      </c>
      <c r="Q935">
        <v>1</v>
      </c>
      <c r="R935" t="s">
        <v>40</v>
      </c>
      <c r="S935" t="s">
        <v>55</v>
      </c>
      <c r="T935" t="s">
        <v>123</v>
      </c>
      <c r="U935" t="s">
        <v>40</v>
      </c>
      <c r="V935" t="s">
        <v>147</v>
      </c>
      <c r="W935" t="s">
        <v>148</v>
      </c>
      <c r="X935" t="s">
        <v>45</v>
      </c>
      <c r="Y935">
        <v>160</v>
      </c>
      <c r="Z935" t="s">
        <v>93</v>
      </c>
      <c r="AA935" t="s">
        <v>94</v>
      </c>
      <c r="AB935" s="1">
        <v>45834</v>
      </c>
      <c r="AC935" t="s">
        <v>40</v>
      </c>
      <c r="AD935" t="s">
        <v>40</v>
      </c>
      <c r="AE935" t="s">
        <v>60</v>
      </c>
      <c r="AF935" t="s">
        <v>40</v>
      </c>
      <c r="AG935">
        <v>0</v>
      </c>
      <c r="AH935" t="s">
        <v>70</v>
      </c>
    </row>
    <row r="936" spans="1:34" x14ac:dyDescent="0.3">
      <c r="A936" t="s">
        <v>1539</v>
      </c>
      <c r="B936" t="s">
        <v>1525</v>
      </c>
      <c r="C936" t="s">
        <v>79</v>
      </c>
      <c r="D936" t="s">
        <v>130</v>
      </c>
      <c r="E936" s="1">
        <v>45804</v>
      </c>
      <c r="F936" s="1">
        <v>45904</v>
      </c>
      <c r="G936" t="s">
        <v>38</v>
      </c>
      <c r="H936">
        <v>3514</v>
      </c>
      <c r="I936" t="s">
        <v>39</v>
      </c>
      <c r="J936" t="b">
        <v>0</v>
      </c>
      <c r="K936">
        <v>100</v>
      </c>
      <c r="L936">
        <v>9</v>
      </c>
      <c r="M936">
        <v>2025</v>
      </c>
      <c r="N936">
        <v>3</v>
      </c>
      <c r="O936">
        <v>5</v>
      </c>
      <c r="P936">
        <v>2025</v>
      </c>
      <c r="Q936">
        <v>1</v>
      </c>
      <c r="R936" t="s">
        <v>40</v>
      </c>
      <c r="S936" t="s">
        <v>45</v>
      </c>
      <c r="T936" t="s">
        <v>113</v>
      </c>
      <c r="U936" t="s">
        <v>66</v>
      </c>
      <c r="V936" t="s">
        <v>82</v>
      </c>
      <c r="W936" t="s">
        <v>83</v>
      </c>
      <c r="X936" t="s">
        <v>76</v>
      </c>
      <c r="Y936">
        <v>100</v>
      </c>
      <c r="Z936" t="s">
        <v>133</v>
      </c>
      <c r="AA936" t="s">
        <v>134</v>
      </c>
      <c r="AB936" s="1">
        <v>45904</v>
      </c>
      <c r="AC936" t="s">
        <v>40</v>
      </c>
      <c r="AD936" t="s">
        <v>40</v>
      </c>
      <c r="AE936" t="s">
        <v>60</v>
      </c>
      <c r="AF936" t="s">
        <v>40</v>
      </c>
      <c r="AG936">
        <v>0</v>
      </c>
      <c r="AH936" t="s">
        <v>49</v>
      </c>
    </row>
    <row r="937" spans="1:34" x14ac:dyDescent="0.3">
      <c r="A937" t="s">
        <v>1540</v>
      </c>
      <c r="B937" t="s">
        <v>344</v>
      </c>
      <c r="C937" t="s">
        <v>129</v>
      </c>
      <c r="D937" t="s">
        <v>130</v>
      </c>
      <c r="E937" s="1">
        <v>46235</v>
      </c>
      <c r="F937" s="1">
        <v>46265</v>
      </c>
      <c r="G937" t="s">
        <v>64</v>
      </c>
      <c r="H937">
        <v>4119</v>
      </c>
      <c r="I937" t="s">
        <v>39</v>
      </c>
      <c r="J937" t="b">
        <v>0</v>
      </c>
      <c r="K937">
        <v>30</v>
      </c>
      <c r="L937">
        <v>8</v>
      </c>
      <c r="M937">
        <v>2026</v>
      </c>
      <c r="N937">
        <v>0</v>
      </c>
      <c r="O937">
        <v>8</v>
      </c>
      <c r="P937">
        <v>2026</v>
      </c>
      <c r="Q937">
        <v>5</v>
      </c>
      <c r="R937" t="s">
        <v>40</v>
      </c>
      <c r="S937" t="s">
        <v>55</v>
      </c>
      <c r="T937" t="s">
        <v>42</v>
      </c>
      <c r="U937" t="s">
        <v>40</v>
      </c>
      <c r="V937" t="s">
        <v>131</v>
      </c>
      <c r="W937" t="s">
        <v>132</v>
      </c>
      <c r="X937" t="s">
        <v>45</v>
      </c>
      <c r="Y937">
        <v>110</v>
      </c>
      <c r="Z937" t="s">
        <v>133</v>
      </c>
      <c r="AA937" t="s">
        <v>134</v>
      </c>
      <c r="AB937" s="1">
        <v>46265</v>
      </c>
      <c r="AC937" t="s">
        <v>40</v>
      </c>
      <c r="AD937" t="s">
        <v>40</v>
      </c>
      <c r="AE937" t="s">
        <v>86</v>
      </c>
      <c r="AF937" t="s">
        <v>40</v>
      </c>
      <c r="AG937">
        <v>0</v>
      </c>
      <c r="AH937" t="s">
        <v>70</v>
      </c>
    </row>
    <row r="938" spans="1:34" x14ac:dyDescent="0.3">
      <c r="A938" t="s">
        <v>1541</v>
      </c>
      <c r="B938" t="s">
        <v>1542</v>
      </c>
      <c r="C938" t="s">
        <v>129</v>
      </c>
      <c r="D938" t="s">
        <v>104</v>
      </c>
      <c r="E938" s="1">
        <v>46285</v>
      </c>
      <c r="F938" s="1">
        <v>46292</v>
      </c>
      <c r="G938" t="s">
        <v>41</v>
      </c>
      <c r="H938">
        <v>7197</v>
      </c>
      <c r="I938" t="s">
        <v>39</v>
      </c>
      <c r="J938" t="b">
        <v>0</v>
      </c>
      <c r="K938">
        <v>7</v>
      </c>
      <c r="L938">
        <v>9</v>
      </c>
      <c r="M938">
        <v>2026</v>
      </c>
      <c r="N938">
        <v>6</v>
      </c>
      <c r="O938">
        <v>9</v>
      </c>
      <c r="P938">
        <v>2026</v>
      </c>
      <c r="Q938">
        <v>6</v>
      </c>
      <c r="R938" t="s">
        <v>66</v>
      </c>
      <c r="S938" t="s">
        <v>41</v>
      </c>
      <c r="T938" t="s">
        <v>42</v>
      </c>
      <c r="U938" t="s">
        <v>40</v>
      </c>
      <c r="V938" t="s">
        <v>131</v>
      </c>
      <c r="W938" t="s">
        <v>132</v>
      </c>
      <c r="X938" t="s">
        <v>45</v>
      </c>
      <c r="Y938">
        <v>110</v>
      </c>
      <c r="Z938" t="s">
        <v>107</v>
      </c>
      <c r="AA938" t="s">
        <v>108</v>
      </c>
      <c r="AB938" s="1">
        <v>46292</v>
      </c>
      <c r="AC938" t="s">
        <v>66</v>
      </c>
      <c r="AD938" t="s">
        <v>40</v>
      </c>
      <c r="AE938" t="s">
        <v>60</v>
      </c>
      <c r="AF938" t="s">
        <v>40</v>
      </c>
      <c r="AG938">
        <v>0</v>
      </c>
      <c r="AH938" t="s">
        <v>100</v>
      </c>
    </row>
    <row r="939" spans="1:34" x14ac:dyDescent="0.3">
      <c r="A939" t="s">
        <v>1543</v>
      </c>
      <c r="B939" t="s">
        <v>1544</v>
      </c>
      <c r="C939" t="s">
        <v>103</v>
      </c>
      <c r="D939" t="s">
        <v>53</v>
      </c>
      <c r="E939" s="1">
        <v>45822</v>
      </c>
      <c r="F939" s="1">
        <v>45836</v>
      </c>
      <c r="G939" t="s">
        <v>64</v>
      </c>
      <c r="H939">
        <v>3849</v>
      </c>
      <c r="I939" t="s">
        <v>39</v>
      </c>
      <c r="J939" t="b">
        <v>0</v>
      </c>
      <c r="K939">
        <v>14</v>
      </c>
      <c r="L939">
        <v>6</v>
      </c>
      <c r="M939">
        <v>2025</v>
      </c>
      <c r="N939">
        <v>5</v>
      </c>
      <c r="O939">
        <v>6</v>
      </c>
      <c r="P939">
        <v>2025</v>
      </c>
      <c r="Q939">
        <v>5</v>
      </c>
      <c r="R939" t="s">
        <v>66</v>
      </c>
      <c r="S939" t="s">
        <v>41</v>
      </c>
      <c r="T939" t="s">
        <v>123</v>
      </c>
      <c r="U939" t="s">
        <v>66</v>
      </c>
      <c r="V939" t="s">
        <v>105</v>
      </c>
      <c r="W939" t="s">
        <v>106</v>
      </c>
      <c r="X939" t="s">
        <v>45</v>
      </c>
      <c r="Y939">
        <v>140</v>
      </c>
      <c r="Z939" t="s">
        <v>58</v>
      </c>
      <c r="AA939" t="s">
        <v>59</v>
      </c>
      <c r="AB939" s="1">
        <v>45836</v>
      </c>
      <c r="AC939" t="s">
        <v>66</v>
      </c>
      <c r="AD939" t="s">
        <v>40</v>
      </c>
      <c r="AE939" t="s">
        <v>60</v>
      </c>
      <c r="AF939" t="s">
        <v>40</v>
      </c>
      <c r="AG939">
        <v>0</v>
      </c>
      <c r="AH939" t="s">
        <v>70</v>
      </c>
    </row>
    <row r="940" spans="1:34" x14ac:dyDescent="0.3">
      <c r="A940" t="s">
        <v>1545</v>
      </c>
      <c r="B940" t="s">
        <v>1546</v>
      </c>
      <c r="C940" t="s">
        <v>103</v>
      </c>
      <c r="D940" t="s">
        <v>90</v>
      </c>
      <c r="E940" s="1">
        <v>46299</v>
      </c>
      <c r="F940" s="1">
        <v>46313</v>
      </c>
      <c r="G940" t="s">
        <v>41</v>
      </c>
      <c r="H940">
        <v>8004</v>
      </c>
      <c r="I940" t="s">
        <v>39</v>
      </c>
      <c r="J940" t="b">
        <v>0</v>
      </c>
      <c r="K940">
        <v>14</v>
      </c>
      <c r="L940">
        <v>10</v>
      </c>
      <c r="M940">
        <v>2026</v>
      </c>
      <c r="N940">
        <v>6</v>
      </c>
      <c r="O940">
        <v>10</v>
      </c>
      <c r="P940">
        <v>2026</v>
      </c>
      <c r="Q940">
        <v>6</v>
      </c>
      <c r="R940" t="s">
        <v>66</v>
      </c>
      <c r="S940" t="s">
        <v>41</v>
      </c>
      <c r="T940" t="s">
        <v>68</v>
      </c>
      <c r="U940" t="s">
        <v>40</v>
      </c>
      <c r="V940" t="s">
        <v>105</v>
      </c>
      <c r="W940" t="s">
        <v>106</v>
      </c>
      <c r="X940" t="s">
        <v>45</v>
      </c>
      <c r="Y940">
        <v>140</v>
      </c>
      <c r="Z940" t="s">
        <v>93</v>
      </c>
      <c r="AA940" t="s">
        <v>94</v>
      </c>
      <c r="AB940" s="1">
        <v>46313</v>
      </c>
      <c r="AC940" t="s">
        <v>66</v>
      </c>
      <c r="AD940" t="s">
        <v>40</v>
      </c>
      <c r="AE940" t="s">
        <v>60</v>
      </c>
      <c r="AF940" t="s">
        <v>40</v>
      </c>
      <c r="AG940">
        <v>0</v>
      </c>
      <c r="AH940" t="s">
        <v>70</v>
      </c>
    </row>
    <row r="941" spans="1:34" x14ac:dyDescent="0.3">
      <c r="A941" t="s">
        <v>1547</v>
      </c>
      <c r="B941" t="s">
        <v>365</v>
      </c>
      <c r="C941" t="s">
        <v>79</v>
      </c>
      <c r="D941" t="s">
        <v>37</v>
      </c>
      <c r="E941" s="1">
        <v>46066</v>
      </c>
      <c r="F941" s="1">
        <v>46069</v>
      </c>
      <c r="G941" t="s">
        <v>38</v>
      </c>
      <c r="H941">
        <v>4282</v>
      </c>
      <c r="I941" t="s">
        <v>65</v>
      </c>
      <c r="J941" t="b">
        <v>0</v>
      </c>
      <c r="K941">
        <v>3</v>
      </c>
      <c r="L941">
        <v>2</v>
      </c>
      <c r="M941">
        <v>2026</v>
      </c>
      <c r="N941">
        <v>0</v>
      </c>
      <c r="O941">
        <v>2</v>
      </c>
      <c r="P941">
        <v>2026</v>
      </c>
      <c r="Q941">
        <v>4</v>
      </c>
      <c r="R941" t="s">
        <v>40</v>
      </c>
      <c r="S941" t="s">
        <v>41</v>
      </c>
      <c r="T941" t="s">
        <v>42</v>
      </c>
      <c r="U941" t="s">
        <v>40</v>
      </c>
      <c r="V941" t="s">
        <v>82</v>
      </c>
      <c r="W941" t="s">
        <v>83</v>
      </c>
      <c r="X941" t="s">
        <v>76</v>
      </c>
      <c r="Y941">
        <v>100</v>
      </c>
      <c r="Z941" t="s">
        <v>46</v>
      </c>
      <c r="AA941" t="s">
        <v>47</v>
      </c>
      <c r="AB941" s="1">
        <v>46069</v>
      </c>
      <c r="AC941" t="s">
        <v>40</v>
      </c>
      <c r="AD941" t="s">
        <v>40</v>
      </c>
      <c r="AE941" t="s">
        <v>60</v>
      </c>
      <c r="AF941" t="s">
        <v>40</v>
      </c>
      <c r="AG941">
        <v>0</v>
      </c>
      <c r="AH941" t="s">
        <v>100</v>
      </c>
    </row>
    <row r="942" spans="1:34" x14ac:dyDescent="0.3">
      <c r="A942" t="s">
        <v>1548</v>
      </c>
      <c r="B942" t="s">
        <v>703</v>
      </c>
      <c r="C942" t="s">
        <v>122</v>
      </c>
      <c r="D942" t="s">
        <v>80</v>
      </c>
      <c r="E942" s="1">
        <v>46076</v>
      </c>
      <c r="F942" s="1">
        <v>46090</v>
      </c>
      <c r="G942" t="s">
        <v>81</v>
      </c>
      <c r="H942">
        <v>10352</v>
      </c>
      <c r="I942" t="s">
        <v>65</v>
      </c>
      <c r="J942" t="b">
        <v>0</v>
      </c>
      <c r="K942">
        <v>14</v>
      </c>
      <c r="L942">
        <v>3</v>
      </c>
      <c r="M942">
        <v>2026</v>
      </c>
      <c r="N942">
        <v>0</v>
      </c>
      <c r="O942">
        <v>2</v>
      </c>
      <c r="P942">
        <v>2026</v>
      </c>
      <c r="Q942">
        <v>0</v>
      </c>
      <c r="R942" t="s">
        <v>40</v>
      </c>
      <c r="S942" t="s">
        <v>55</v>
      </c>
      <c r="T942" t="s">
        <v>123</v>
      </c>
      <c r="U942" t="s">
        <v>40</v>
      </c>
      <c r="V942" t="s">
        <v>124</v>
      </c>
      <c r="W942" t="s">
        <v>125</v>
      </c>
      <c r="X942" t="s">
        <v>126</v>
      </c>
      <c r="Y942">
        <v>85</v>
      </c>
      <c r="Z942" t="s">
        <v>84</v>
      </c>
      <c r="AA942" t="s">
        <v>85</v>
      </c>
      <c r="AB942" s="1">
        <v>46090</v>
      </c>
      <c r="AC942" t="s">
        <v>40</v>
      </c>
      <c r="AD942" t="s">
        <v>40</v>
      </c>
      <c r="AE942" t="s">
        <v>60</v>
      </c>
      <c r="AF942" t="s">
        <v>40</v>
      </c>
      <c r="AG942">
        <v>0</v>
      </c>
      <c r="AH942" t="s">
        <v>70</v>
      </c>
    </row>
    <row r="943" spans="1:34" x14ac:dyDescent="0.3">
      <c r="A943" t="s">
        <v>1549</v>
      </c>
      <c r="B943" t="s">
        <v>346</v>
      </c>
      <c r="C943" t="s">
        <v>103</v>
      </c>
      <c r="D943" t="s">
        <v>130</v>
      </c>
      <c r="E943" s="1">
        <v>45862</v>
      </c>
      <c r="F943" s="1">
        <v>45869</v>
      </c>
      <c r="G943" t="s">
        <v>38</v>
      </c>
      <c r="H943">
        <v>5619</v>
      </c>
      <c r="I943" t="s">
        <v>54</v>
      </c>
      <c r="J943" t="b">
        <v>0</v>
      </c>
      <c r="K943">
        <v>7</v>
      </c>
      <c r="L943">
        <v>7</v>
      </c>
      <c r="M943">
        <v>2025</v>
      </c>
      <c r="N943">
        <v>3</v>
      </c>
      <c r="O943">
        <v>7</v>
      </c>
      <c r="P943">
        <v>2025</v>
      </c>
      <c r="Q943">
        <v>3</v>
      </c>
      <c r="R943" t="s">
        <v>40</v>
      </c>
      <c r="S943" t="s">
        <v>45</v>
      </c>
      <c r="T943" t="s">
        <v>42</v>
      </c>
      <c r="U943" t="s">
        <v>66</v>
      </c>
      <c r="V943" t="s">
        <v>105</v>
      </c>
      <c r="W943" t="s">
        <v>106</v>
      </c>
      <c r="X943" t="s">
        <v>45</v>
      </c>
      <c r="Y943">
        <v>140</v>
      </c>
      <c r="Z943" t="s">
        <v>133</v>
      </c>
      <c r="AA943" t="s">
        <v>134</v>
      </c>
      <c r="AB943" s="1">
        <v>45869</v>
      </c>
      <c r="AC943" t="s">
        <v>40</v>
      </c>
      <c r="AD943" t="s">
        <v>40</v>
      </c>
      <c r="AE943" t="s">
        <v>86</v>
      </c>
      <c r="AF943" t="s">
        <v>40</v>
      </c>
      <c r="AG943">
        <v>1</v>
      </c>
      <c r="AH943" t="s">
        <v>100</v>
      </c>
    </row>
    <row r="944" spans="1:34" x14ac:dyDescent="0.3">
      <c r="A944" t="s">
        <v>1550</v>
      </c>
      <c r="B944" t="s">
        <v>446</v>
      </c>
      <c r="C944" t="s">
        <v>103</v>
      </c>
      <c r="D944" t="s">
        <v>80</v>
      </c>
      <c r="E944" s="1">
        <v>46341</v>
      </c>
      <c r="F944" s="1">
        <v>46344</v>
      </c>
      <c r="G944" t="s">
        <v>38</v>
      </c>
      <c r="H944">
        <v>4310</v>
      </c>
      <c r="I944" t="s">
        <v>65</v>
      </c>
      <c r="J944" t="b">
        <v>0</v>
      </c>
      <c r="K944">
        <v>3</v>
      </c>
      <c r="L944">
        <v>11</v>
      </c>
      <c r="M944">
        <v>2026</v>
      </c>
      <c r="N944">
        <v>2</v>
      </c>
      <c r="O944">
        <v>11</v>
      </c>
      <c r="P944">
        <v>2026</v>
      </c>
      <c r="Q944">
        <v>6</v>
      </c>
      <c r="R944" t="s">
        <v>40</v>
      </c>
      <c r="S944" t="s">
        <v>55</v>
      </c>
      <c r="T944" t="s">
        <v>42</v>
      </c>
      <c r="U944" t="s">
        <v>66</v>
      </c>
      <c r="V944" t="s">
        <v>105</v>
      </c>
      <c r="W944" t="s">
        <v>106</v>
      </c>
      <c r="X944" t="s">
        <v>45</v>
      </c>
      <c r="Y944">
        <v>140</v>
      </c>
      <c r="Z944" t="s">
        <v>84</v>
      </c>
      <c r="AA944" t="s">
        <v>85</v>
      </c>
      <c r="AB944" s="1">
        <v>46344</v>
      </c>
      <c r="AC944" t="s">
        <v>40</v>
      </c>
      <c r="AD944" t="s">
        <v>40</v>
      </c>
      <c r="AE944" t="s">
        <v>86</v>
      </c>
      <c r="AF944" t="s">
        <v>40</v>
      </c>
      <c r="AG944">
        <v>0</v>
      </c>
      <c r="AH944" t="s">
        <v>100</v>
      </c>
    </row>
    <row r="945" spans="1:34" x14ac:dyDescent="0.3">
      <c r="A945" t="s">
        <v>1551</v>
      </c>
      <c r="B945" t="s">
        <v>299</v>
      </c>
      <c r="C945" t="s">
        <v>79</v>
      </c>
      <c r="D945" t="s">
        <v>80</v>
      </c>
      <c r="E945" s="1">
        <v>46285</v>
      </c>
      <c r="F945" s="1">
        <v>46315</v>
      </c>
      <c r="G945" t="s">
        <v>64</v>
      </c>
      <c r="H945">
        <v>18088</v>
      </c>
      <c r="I945" t="s">
        <v>39</v>
      </c>
      <c r="J945" t="b">
        <v>1</v>
      </c>
      <c r="K945">
        <v>30</v>
      </c>
      <c r="L945">
        <v>10</v>
      </c>
      <c r="M945">
        <v>2026</v>
      </c>
      <c r="N945">
        <v>1</v>
      </c>
      <c r="O945">
        <v>9</v>
      </c>
      <c r="P945">
        <v>2026</v>
      </c>
      <c r="Q945">
        <v>6</v>
      </c>
      <c r="R945" t="s">
        <v>40</v>
      </c>
      <c r="S945" t="s">
        <v>67</v>
      </c>
      <c r="T945" t="s">
        <v>68</v>
      </c>
      <c r="U945" t="s">
        <v>66</v>
      </c>
      <c r="V945" t="s">
        <v>82</v>
      </c>
      <c r="W945" t="s">
        <v>83</v>
      </c>
      <c r="X945" t="s">
        <v>76</v>
      </c>
      <c r="Y945">
        <v>100</v>
      </c>
      <c r="Z945" t="s">
        <v>84</v>
      </c>
      <c r="AA945" t="s">
        <v>85</v>
      </c>
      <c r="AB945" s="1">
        <v>46315</v>
      </c>
      <c r="AC945" t="s">
        <v>40</v>
      </c>
      <c r="AD945" t="s">
        <v>40</v>
      </c>
      <c r="AE945" t="s">
        <v>60</v>
      </c>
      <c r="AF945" t="s">
        <v>40</v>
      </c>
      <c r="AG945">
        <v>0</v>
      </c>
      <c r="AH945" t="s">
        <v>70</v>
      </c>
    </row>
    <row r="946" spans="1:34" x14ac:dyDescent="0.3">
      <c r="A946" t="s">
        <v>1552</v>
      </c>
      <c r="B946" t="s">
        <v>1553</v>
      </c>
      <c r="C946" t="s">
        <v>73</v>
      </c>
      <c r="D946" t="s">
        <v>37</v>
      </c>
      <c r="E946" s="1">
        <v>45812</v>
      </c>
      <c r="F946" s="1">
        <v>45962</v>
      </c>
      <c r="G946" t="s">
        <v>81</v>
      </c>
      <c r="H946">
        <v>11279</v>
      </c>
      <c r="I946" t="s">
        <v>65</v>
      </c>
      <c r="J946" t="b">
        <v>0</v>
      </c>
      <c r="K946">
        <v>150</v>
      </c>
      <c r="L946">
        <v>11</v>
      </c>
      <c r="M946">
        <v>2025</v>
      </c>
      <c r="N946">
        <v>5</v>
      </c>
      <c r="O946">
        <v>6</v>
      </c>
      <c r="P946">
        <v>2025</v>
      </c>
      <c r="Q946">
        <v>2</v>
      </c>
      <c r="R946" t="s">
        <v>66</v>
      </c>
      <c r="S946" t="s">
        <v>41</v>
      </c>
      <c r="T946" t="s">
        <v>123</v>
      </c>
      <c r="U946" t="s">
        <v>40</v>
      </c>
      <c r="V946" t="s">
        <v>74</v>
      </c>
      <c r="W946" t="s">
        <v>75</v>
      </c>
      <c r="X946" t="s">
        <v>76</v>
      </c>
      <c r="Y946">
        <v>75</v>
      </c>
      <c r="Z946" t="s">
        <v>46</v>
      </c>
      <c r="AA946" t="s">
        <v>47</v>
      </c>
      <c r="AB946" s="1">
        <v>45962</v>
      </c>
      <c r="AC946" t="s">
        <v>66</v>
      </c>
      <c r="AD946" t="s">
        <v>40</v>
      </c>
      <c r="AE946" t="s">
        <v>86</v>
      </c>
      <c r="AF946" t="s">
        <v>40</v>
      </c>
      <c r="AG946">
        <v>0</v>
      </c>
      <c r="AH946" t="s">
        <v>49</v>
      </c>
    </row>
    <row r="947" spans="1:34" x14ac:dyDescent="0.3">
      <c r="A947" t="s">
        <v>1554</v>
      </c>
      <c r="B947" t="s">
        <v>558</v>
      </c>
      <c r="C947" t="s">
        <v>169</v>
      </c>
      <c r="D947" t="s">
        <v>130</v>
      </c>
      <c r="E947" s="1">
        <v>46233</v>
      </c>
      <c r="F947" s="1">
        <v>46236</v>
      </c>
      <c r="G947" t="s">
        <v>38</v>
      </c>
      <c r="H947">
        <v>3985</v>
      </c>
      <c r="I947" t="s">
        <v>39</v>
      </c>
      <c r="J947" t="b">
        <v>0</v>
      </c>
      <c r="K947">
        <v>3</v>
      </c>
      <c r="L947">
        <v>8</v>
      </c>
      <c r="M947">
        <v>2026</v>
      </c>
      <c r="N947">
        <v>6</v>
      </c>
      <c r="O947">
        <v>7</v>
      </c>
      <c r="P947">
        <v>2026</v>
      </c>
      <c r="Q947">
        <v>3</v>
      </c>
      <c r="R947" t="s">
        <v>66</v>
      </c>
      <c r="S947" t="s">
        <v>55</v>
      </c>
      <c r="T947" t="s">
        <v>48</v>
      </c>
      <c r="U947" t="s">
        <v>40</v>
      </c>
      <c r="V947" t="s">
        <v>170</v>
      </c>
      <c r="W947" t="s">
        <v>171</v>
      </c>
      <c r="X947" t="s">
        <v>126</v>
      </c>
      <c r="Y947">
        <v>90</v>
      </c>
      <c r="Z947" t="s">
        <v>133</v>
      </c>
      <c r="AA947" t="s">
        <v>134</v>
      </c>
      <c r="AB947" s="1">
        <v>46236</v>
      </c>
      <c r="AC947" t="s">
        <v>66</v>
      </c>
      <c r="AD947" t="s">
        <v>40</v>
      </c>
      <c r="AE947" t="s">
        <v>86</v>
      </c>
      <c r="AF947" t="s">
        <v>40</v>
      </c>
      <c r="AG947">
        <v>0</v>
      </c>
      <c r="AH947" t="s">
        <v>100</v>
      </c>
    </row>
    <row r="948" spans="1:34" x14ac:dyDescent="0.3">
      <c r="A948" t="s">
        <v>1555</v>
      </c>
      <c r="B948" t="s">
        <v>657</v>
      </c>
      <c r="C948" t="s">
        <v>89</v>
      </c>
      <c r="D948" t="s">
        <v>53</v>
      </c>
      <c r="E948" s="1">
        <v>45913</v>
      </c>
      <c r="F948" s="1">
        <v>46133</v>
      </c>
      <c r="G948" t="s">
        <v>38</v>
      </c>
      <c r="H948">
        <v>3661</v>
      </c>
      <c r="I948" t="s">
        <v>54</v>
      </c>
      <c r="J948" t="b">
        <v>0</v>
      </c>
      <c r="K948">
        <v>220</v>
      </c>
      <c r="L948">
        <v>4</v>
      </c>
      <c r="M948">
        <v>2026</v>
      </c>
      <c r="N948">
        <v>1</v>
      </c>
      <c r="O948">
        <v>9</v>
      </c>
      <c r="P948">
        <v>2025</v>
      </c>
      <c r="Q948">
        <v>5</v>
      </c>
      <c r="R948" t="s">
        <v>40</v>
      </c>
      <c r="S948" t="s">
        <v>55</v>
      </c>
      <c r="T948" t="s">
        <v>123</v>
      </c>
      <c r="U948" t="s">
        <v>40</v>
      </c>
      <c r="V948" t="s">
        <v>91</v>
      </c>
      <c r="W948" t="s">
        <v>92</v>
      </c>
      <c r="X948" t="s">
        <v>76</v>
      </c>
      <c r="Y948">
        <v>65</v>
      </c>
      <c r="Z948" t="s">
        <v>58</v>
      </c>
      <c r="AA948" t="s">
        <v>59</v>
      </c>
      <c r="AB948" s="1">
        <v>46133</v>
      </c>
      <c r="AC948" t="s">
        <v>40</v>
      </c>
      <c r="AD948" t="s">
        <v>40</v>
      </c>
      <c r="AE948" t="s">
        <v>69</v>
      </c>
      <c r="AF948" t="s">
        <v>40</v>
      </c>
      <c r="AG948">
        <v>1</v>
      </c>
      <c r="AH948" t="s">
        <v>142</v>
      </c>
    </row>
    <row r="949" spans="1:34" x14ac:dyDescent="0.3">
      <c r="A949" t="s">
        <v>1556</v>
      </c>
      <c r="B949" t="s">
        <v>635</v>
      </c>
      <c r="C949" t="s">
        <v>52</v>
      </c>
      <c r="D949" t="s">
        <v>80</v>
      </c>
      <c r="E949" s="1">
        <v>46029</v>
      </c>
      <c r="F949" s="1">
        <v>46179</v>
      </c>
      <c r="G949" t="s">
        <v>38</v>
      </c>
      <c r="H949">
        <v>3581</v>
      </c>
      <c r="I949" t="s">
        <v>39</v>
      </c>
      <c r="J949" t="b">
        <v>0</v>
      </c>
      <c r="K949">
        <v>150</v>
      </c>
      <c r="L949">
        <v>6</v>
      </c>
      <c r="M949">
        <v>2026</v>
      </c>
      <c r="N949">
        <v>5</v>
      </c>
      <c r="O949">
        <v>1</v>
      </c>
      <c r="P949">
        <v>2026</v>
      </c>
      <c r="Q949">
        <v>2</v>
      </c>
      <c r="R949" t="s">
        <v>66</v>
      </c>
      <c r="S949" t="s">
        <v>41</v>
      </c>
      <c r="T949" t="s">
        <v>123</v>
      </c>
      <c r="U949" t="s">
        <v>40</v>
      </c>
      <c r="V949" t="s">
        <v>56</v>
      </c>
      <c r="W949" t="s">
        <v>57</v>
      </c>
      <c r="X949" t="s">
        <v>45</v>
      </c>
      <c r="Y949">
        <v>120</v>
      </c>
      <c r="Z949" t="s">
        <v>84</v>
      </c>
      <c r="AA949" t="s">
        <v>85</v>
      </c>
      <c r="AB949" s="1">
        <v>46179</v>
      </c>
      <c r="AC949" t="s">
        <v>66</v>
      </c>
      <c r="AD949" t="s">
        <v>40</v>
      </c>
      <c r="AE949" t="s">
        <v>60</v>
      </c>
      <c r="AF949" t="s">
        <v>40</v>
      </c>
      <c r="AG949">
        <v>0</v>
      </c>
      <c r="AH949" t="s">
        <v>49</v>
      </c>
    </row>
    <row r="950" spans="1:34" x14ac:dyDescent="0.3">
      <c r="A950" t="s">
        <v>1557</v>
      </c>
      <c r="B950" t="s">
        <v>1558</v>
      </c>
      <c r="C950" t="s">
        <v>79</v>
      </c>
      <c r="D950" t="s">
        <v>130</v>
      </c>
      <c r="E950" s="1">
        <v>45839</v>
      </c>
      <c r="F950" s="1">
        <v>45842</v>
      </c>
      <c r="G950" t="s">
        <v>81</v>
      </c>
      <c r="H950">
        <v>7409</v>
      </c>
      <c r="I950" t="s">
        <v>212</v>
      </c>
      <c r="J950" t="b">
        <v>0</v>
      </c>
      <c r="K950">
        <v>3</v>
      </c>
      <c r="L950">
        <v>7</v>
      </c>
      <c r="M950">
        <v>2025</v>
      </c>
      <c r="N950">
        <v>4</v>
      </c>
      <c r="O950">
        <v>7</v>
      </c>
      <c r="P950">
        <v>2025</v>
      </c>
      <c r="Q950">
        <v>1</v>
      </c>
      <c r="R950" t="s">
        <v>40</v>
      </c>
      <c r="S950" t="s">
        <v>67</v>
      </c>
      <c r="T950" t="s">
        <v>42</v>
      </c>
      <c r="U950" t="s">
        <v>66</v>
      </c>
      <c r="V950" t="s">
        <v>82</v>
      </c>
      <c r="W950" t="s">
        <v>83</v>
      </c>
      <c r="X950" t="s">
        <v>76</v>
      </c>
      <c r="Y950">
        <v>100</v>
      </c>
      <c r="Z950" t="s">
        <v>133</v>
      </c>
      <c r="AA950" t="s">
        <v>134</v>
      </c>
      <c r="AB950" s="1">
        <v>45842</v>
      </c>
      <c r="AC950" t="s">
        <v>40</v>
      </c>
      <c r="AD950" t="s">
        <v>40</v>
      </c>
      <c r="AE950" t="s">
        <v>86</v>
      </c>
      <c r="AF950" t="s">
        <v>40</v>
      </c>
      <c r="AG950">
        <v>0</v>
      </c>
      <c r="AH950" t="s">
        <v>100</v>
      </c>
    </row>
    <row r="951" spans="1:34" x14ac:dyDescent="0.3">
      <c r="A951" t="s">
        <v>1559</v>
      </c>
      <c r="B951" t="s">
        <v>1560</v>
      </c>
      <c r="C951" t="s">
        <v>169</v>
      </c>
      <c r="D951" t="s">
        <v>37</v>
      </c>
      <c r="E951" s="1">
        <v>45743</v>
      </c>
      <c r="F951" s="1">
        <v>45757</v>
      </c>
      <c r="G951" t="s">
        <v>41</v>
      </c>
      <c r="H951">
        <v>5692</v>
      </c>
      <c r="I951" t="s">
        <v>39</v>
      </c>
      <c r="J951" t="b">
        <v>0</v>
      </c>
      <c r="K951">
        <v>14</v>
      </c>
      <c r="L951">
        <v>4</v>
      </c>
      <c r="M951">
        <v>2025</v>
      </c>
      <c r="N951">
        <v>3</v>
      </c>
      <c r="O951">
        <v>3</v>
      </c>
      <c r="P951">
        <v>2025</v>
      </c>
      <c r="Q951">
        <v>3</v>
      </c>
      <c r="R951" t="s">
        <v>40</v>
      </c>
      <c r="S951" t="s">
        <v>41</v>
      </c>
      <c r="T951" t="s">
        <v>113</v>
      </c>
      <c r="U951" t="s">
        <v>40</v>
      </c>
      <c r="V951" t="s">
        <v>170</v>
      </c>
      <c r="W951" t="s">
        <v>171</v>
      </c>
      <c r="X951" t="s">
        <v>126</v>
      </c>
      <c r="Y951">
        <v>90</v>
      </c>
      <c r="Z951" t="s">
        <v>46</v>
      </c>
      <c r="AA951" t="s">
        <v>47</v>
      </c>
      <c r="AB951" s="1">
        <v>45757</v>
      </c>
      <c r="AC951" t="s">
        <v>40</v>
      </c>
      <c r="AD951" t="s">
        <v>40</v>
      </c>
      <c r="AE951" t="s">
        <v>69</v>
      </c>
      <c r="AF951" t="s">
        <v>40</v>
      </c>
      <c r="AG951">
        <v>0</v>
      </c>
      <c r="AH951" t="s">
        <v>70</v>
      </c>
    </row>
    <row r="952" spans="1:34" x14ac:dyDescent="0.3">
      <c r="A952" t="s">
        <v>1561</v>
      </c>
      <c r="B952" t="s">
        <v>933</v>
      </c>
      <c r="C952" t="s">
        <v>52</v>
      </c>
      <c r="D952" t="s">
        <v>104</v>
      </c>
      <c r="E952" s="1">
        <v>45984</v>
      </c>
      <c r="F952" s="1">
        <v>46084</v>
      </c>
      <c r="G952" t="s">
        <v>64</v>
      </c>
      <c r="H952">
        <v>3634</v>
      </c>
      <c r="I952" t="s">
        <v>39</v>
      </c>
      <c r="J952" t="b">
        <v>0</v>
      </c>
      <c r="K952">
        <v>100</v>
      </c>
      <c r="L952">
        <v>3</v>
      </c>
      <c r="M952">
        <v>2026</v>
      </c>
      <c r="N952">
        <v>1</v>
      </c>
      <c r="O952">
        <v>11</v>
      </c>
      <c r="P952">
        <v>2025</v>
      </c>
      <c r="Q952">
        <v>6</v>
      </c>
      <c r="R952" t="s">
        <v>40</v>
      </c>
      <c r="S952" t="s">
        <v>55</v>
      </c>
      <c r="T952" t="s">
        <v>42</v>
      </c>
      <c r="U952" t="s">
        <v>40</v>
      </c>
      <c r="V952" t="s">
        <v>56</v>
      </c>
      <c r="W952" t="s">
        <v>57</v>
      </c>
      <c r="X952" t="s">
        <v>45</v>
      </c>
      <c r="Y952">
        <v>120</v>
      </c>
      <c r="Z952" t="s">
        <v>107</v>
      </c>
      <c r="AA952" t="s">
        <v>108</v>
      </c>
      <c r="AB952" s="1">
        <v>46084</v>
      </c>
      <c r="AC952" t="s">
        <v>40</v>
      </c>
      <c r="AD952" t="s">
        <v>40</v>
      </c>
      <c r="AE952" t="s">
        <v>60</v>
      </c>
      <c r="AF952" t="s">
        <v>40</v>
      </c>
      <c r="AG952">
        <v>0</v>
      </c>
      <c r="AH952" t="s">
        <v>49</v>
      </c>
    </row>
    <row r="953" spans="1:34" x14ac:dyDescent="0.3">
      <c r="A953" t="s">
        <v>1562</v>
      </c>
      <c r="B953" t="s">
        <v>972</v>
      </c>
      <c r="C953" t="s">
        <v>129</v>
      </c>
      <c r="D953" t="s">
        <v>130</v>
      </c>
      <c r="E953" s="1">
        <v>45998</v>
      </c>
      <c r="F953" s="1">
        <v>46028</v>
      </c>
      <c r="G953" t="s">
        <v>38</v>
      </c>
      <c r="H953">
        <v>5849</v>
      </c>
      <c r="I953" t="s">
        <v>39</v>
      </c>
      <c r="J953" t="b">
        <v>0</v>
      </c>
      <c r="K953">
        <v>30</v>
      </c>
      <c r="L953">
        <v>1</v>
      </c>
      <c r="M953">
        <v>2026</v>
      </c>
      <c r="N953">
        <v>1</v>
      </c>
      <c r="O953">
        <v>12</v>
      </c>
      <c r="P953">
        <v>2025</v>
      </c>
      <c r="Q953">
        <v>6</v>
      </c>
      <c r="R953" t="s">
        <v>40</v>
      </c>
      <c r="S953" t="s">
        <v>45</v>
      </c>
      <c r="T953" t="s">
        <v>42</v>
      </c>
      <c r="U953" t="s">
        <v>40</v>
      </c>
      <c r="V953" t="s">
        <v>131</v>
      </c>
      <c r="W953" t="s">
        <v>132</v>
      </c>
      <c r="X953" t="s">
        <v>45</v>
      </c>
      <c r="Y953">
        <v>110</v>
      </c>
      <c r="Z953" t="s">
        <v>133</v>
      </c>
      <c r="AA953" t="s">
        <v>134</v>
      </c>
      <c r="AB953" s="1">
        <v>46028</v>
      </c>
      <c r="AC953" t="s">
        <v>40</v>
      </c>
      <c r="AD953" t="s">
        <v>40</v>
      </c>
      <c r="AE953" t="s">
        <v>86</v>
      </c>
      <c r="AF953" t="s">
        <v>40</v>
      </c>
      <c r="AG953">
        <v>0</v>
      </c>
      <c r="AH953" t="s">
        <v>70</v>
      </c>
    </row>
    <row r="954" spans="1:34" x14ac:dyDescent="0.3">
      <c r="A954" t="s">
        <v>1563</v>
      </c>
      <c r="B954" t="s">
        <v>255</v>
      </c>
      <c r="C954" t="s">
        <v>89</v>
      </c>
      <c r="D954" t="s">
        <v>37</v>
      </c>
      <c r="E954" s="1">
        <v>45934</v>
      </c>
      <c r="F954" s="1">
        <v>45994</v>
      </c>
      <c r="G954" t="s">
        <v>81</v>
      </c>
      <c r="H954">
        <v>9977</v>
      </c>
      <c r="I954" t="s">
        <v>39</v>
      </c>
      <c r="J954" t="b">
        <v>0</v>
      </c>
      <c r="K954">
        <v>60</v>
      </c>
      <c r="L954">
        <v>12</v>
      </c>
      <c r="M954">
        <v>2025</v>
      </c>
      <c r="N954">
        <v>2</v>
      </c>
      <c r="O954">
        <v>10</v>
      </c>
      <c r="P954">
        <v>2025</v>
      </c>
      <c r="Q954">
        <v>5</v>
      </c>
      <c r="R954" t="s">
        <v>40</v>
      </c>
      <c r="S954" t="s">
        <v>45</v>
      </c>
      <c r="T954" t="s">
        <v>68</v>
      </c>
      <c r="U954" t="s">
        <v>40</v>
      </c>
      <c r="V954" t="s">
        <v>91</v>
      </c>
      <c r="W954" t="s">
        <v>92</v>
      </c>
      <c r="X954" t="s">
        <v>76</v>
      </c>
      <c r="Y954">
        <v>65</v>
      </c>
      <c r="Z954" t="s">
        <v>46</v>
      </c>
      <c r="AA954" t="s">
        <v>47</v>
      </c>
      <c r="AB954" s="1">
        <v>45994</v>
      </c>
      <c r="AC954" t="s">
        <v>40</v>
      </c>
      <c r="AD954" t="s">
        <v>40</v>
      </c>
      <c r="AE954" t="s">
        <v>69</v>
      </c>
      <c r="AF954" t="s">
        <v>40</v>
      </c>
      <c r="AG954">
        <v>0</v>
      </c>
      <c r="AH954" t="s">
        <v>61</v>
      </c>
    </row>
    <row r="955" spans="1:34" x14ac:dyDescent="0.3">
      <c r="A955" t="s">
        <v>1564</v>
      </c>
      <c r="B955" t="s">
        <v>383</v>
      </c>
      <c r="C955" t="s">
        <v>146</v>
      </c>
      <c r="D955" t="s">
        <v>90</v>
      </c>
      <c r="E955" s="1">
        <v>46158</v>
      </c>
      <c r="F955" s="1">
        <v>46165</v>
      </c>
      <c r="G955" t="s">
        <v>64</v>
      </c>
      <c r="H955">
        <v>4081</v>
      </c>
      <c r="I955" t="s">
        <v>39</v>
      </c>
      <c r="J955" t="b">
        <v>0</v>
      </c>
      <c r="K955">
        <v>7</v>
      </c>
      <c r="L955">
        <v>5</v>
      </c>
      <c r="M955">
        <v>2026</v>
      </c>
      <c r="N955">
        <v>5</v>
      </c>
      <c r="O955">
        <v>5</v>
      </c>
      <c r="P955">
        <v>2026</v>
      </c>
      <c r="Q955">
        <v>5</v>
      </c>
      <c r="R955" t="s">
        <v>66</v>
      </c>
      <c r="S955" t="s">
        <v>55</v>
      </c>
      <c r="T955" t="s">
        <v>42</v>
      </c>
      <c r="U955" t="s">
        <v>40</v>
      </c>
      <c r="V955" t="s">
        <v>147</v>
      </c>
      <c r="W955" t="s">
        <v>148</v>
      </c>
      <c r="X955" t="s">
        <v>45</v>
      </c>
      <c r="Y955">
        <v>160</v>
      </c>
      <c r="Z955" t="s">
        <v>93</v>
      </c>
      <c r="AA955" t="s">
        <v>94</v>
      </c>
      <c r="AB955" s="1">
        <v>46165</v>
      </c>
      <c r="AC955" t="s">
        <v>66</v>
      </c>
      <c r="AD955" t="s">
        <v>40</v>
      </c>
      <c r="AE955" t="s">
        <v>69</v>
      </c>
      <c r="AF955" t="s">
        <v>40</v>
      </c>
      <c r="AG955">
        <v>0</v>
      </c>
      <c r="AH955" t="s">
        <v>100</v>
      </c>
    </row>
    <row r="956" spans="1:34" x14ac:dyDescent="0.3">
      <c r="A956" t="s">
        <v>1565</v>
      </c>
      <c r="B956" t="s">
        <v>1566</v>
      </c>
      <c r="C956" t="s">
        <v>36</v>
      </c>
      <c r="D956" t="s">
        <v>90</v>
      </c>
      <c r="E956" s="1">
        <v>45734</v>
      </c>
      <c r="F956" s="1">
        <v>45737</v>
      </c>
      <c r="G956" t="s">
        <v>64</v>
      </c>
      <c r="H956">
        <v>3371</v>
      </c>
      <c r="I956" t="s">
        <v>65</v>
      </c>
      <c r="J956" t="b">
        <v>0</v>
      </c>
      <c r="K956">
        <v>3</v>
      </c>
      <c r="L956">
        <v>3</v>
      </c>
      <c r="M956">
        <v>2025</v>
      </c>
      <c r="N956">
        <v>4</v>
      </c>
      <c r="O956">
        <v>3</v>
      </c>
      <c r="P956">
        <v>2025</v>
      </c>
      <c r="Q956">
        <v>1</v>
      </c>
      <c r="R956" t="s">
        <v>40</v>
      </c>
      <c r="S956" t="s">
        <v>45</v>
      </c>
      <c r="T956" t="s">
        <v>42</v>
      </c>
      <c r="U956" t="s">
        <v>40</v>
      </c>
      <c r="V956" t="s">
        <v>43</v>
      </c>
      <c r="W956" t="s">
        <v>44</v>
      </c>
      <c r="X956" t="s">
        <v>45</v>
      </c>
      <c r="Y956">
        <v>150</v>
      </c>
      <c r="Z956" t="s">
        <v>93</v>
      </c>
      <c r="AA956" t="s">
        <v>94</v>
      </c>
      <c r="AB956" s="1">
        <v>45737</v>
      </c>
      <c r="AC956" t="s">
        <v>40</v>
      </c>
      <c r="AD956" t="s">
        <v>40</v>
      </c>
      <c r="AE956" t="s">
        <v>60</v>
      </c>
      <c r="AF956" t="s">
        <v>40</v>
      </c>
      <c r="AG956">
        <v>0</v>
      </c>
      <c r="AH956" t="s">
        <v>100</v>
      </c>
    </row>
    <row r="957" spans="1:34" x14ac:dyDescent="0.3">
      <c r="A957" t="s">
        <v>1567</v>
      </c>
      <c r="B957" t="s">
        <v>843</v>
      </c>
      <c r="C957" t="s">
        <v>155</v>
      </c>
      <c r="D957" t="s">
        <v>130</v>
      </c>
      <c r="E957" s="1">
        <v>45817</v>
      </c>
      <c r="F957" s="1">
        <v>45847</v>
      </c>
      <c r="G957" t="s">
        <v>41</v>
      </c>
      <c r="H957">
        <v>5499</v>
      </c>
      <c r="I957" t="s">
        <v>65</v>
      </c>
      <c r="J957" t="b">
        <v>0</v>
      </c>
      <c r="K957">
        <v>30</v>
      </c>
      <c r="L957">
        <v>7</v>
      </c>
      <c r="M957">
        <v>2025</v>
      </c>
      <c r="N957">
        <v>2</v>
      </c>
      <c r="O957">
        <v>6</v>
      </c>
      <c r="P957">
        <v>2025</v>
      </c>
      <c r="Q957">
        <v>0</v>
      </c>
      <c r="R957" t="s">
        <v>40</v>
      </c>
      <c r="S957" t="s">
        <v>45</v>
      </c>
      <c r="T957" t="s">
        <v>68</v>
      </c>
      <c r="U957" t="s">
        <v>66</v>
      </c>
      <c r="V957" t="s">
        <v>156</v>
      </c>
      <c r="W957" t="s">
        <v>157</v>
      </c>
      <c r="X957" t="s">
        <v>158</v>
      </c>
      <c r="Y957">
        <v>70</v>
      </c>
      <c r="Z957" t="s">
        <v>133</v>
      </c>
      <c r="AA957" t="s">
        <v>134</v>
      </c>
      <c r="AB957" s="1">
        <v>45847</v>
      </c>
      <c r="AC957" t="s">
        <v>40</v>
      </c>
      <c r="AD957" t="s">
        <v>40</v>
      </c>
      <c r="AE957" t="s">
        <v>86</v>
      </c>
      <c r="AF957" t="s">
        <v>40</v>
      </c>
      <c r="AG957">
        <v>0</v>
      </c>
      <c r="AH957" t="s">
        <v>70</v>
      </c>
    </row>
    <row r="958" spans="1:34" x14ac:dyDescent="0.3">
      <c r="A958" t="s">
        <v>1568</v>
      </c>
      <c r="B958" t="s">
        <v>1337</v>
      </c>
      <c r="C958" t="s">
        <v>97</v>
      </c>
      <c r="D958" t="s">
        <v>130</v>
      </c>
      <c r="E958" s="1">
        <v>45751</v>
      </c>
      <c r="F958" s="1">
        <v>45752</v>
      </c>
      <c r="G958" t="s">
        <v>38</v>
      </c>
      <c r="H958">
        <v>3825</v>
      </c>
      <c r="I958" t="s">
        <v>65</v>
      </c>
      <c r="J958" t="b">
        <v>0</v>
      </c>
      <c r="K958">
        <v>1</v>
      </c>
      <c r="L958">
        <v>4</v>
      </c>
      <c r="M958">
        <v>2025</v>
      </c>
      <c r="N958">
        <v>5</v>
      </c>
      <c r="O958">
        <v>4</v>
      </c>
      <c r="P958">
        <v>2025</v>
      </c>
      <c r="Q958">
        <v>4</v>
      </c>
      <c r="R958" t="s">
        <v>66</v>
      </c>
      <c r="S958" t="s">
        <v>55</v>
      </c>
      <c r="T958" t="s">
        <v>42</v>
      </c>
      <c r="U958" t="s">
        <v>40</v>
      </c>
      <c r="V958" t="s">
        <v>98</v>
      </c>
      <c r="W958" t="s">
        <v>99</v>
      </c>
      <c r="X958" t="s">
        <v>76</v>
      </c>
      <c r="Y958">
        <v>80</v>
      </c>
      <c r="Z958" t="s">
        <v>133</v>
      </c>
      <c r="AA958" t="s">
        <v>134</v>
      </c>
      <c r="AB958" s="1">
        <v>45752</v>
      </c>
      <c r="AC958" t="s">
        <v>66</v>
      </c>
      <c r="AD958" t="s">
        <v>40</v>
      </c>
      <c r="AE958" t="s">
        <v>69</v>
      </c>
      <c r="AF958" t="s">
        <v>40</v>
      </c>
      <c r="AG958">
        <v>0</v>
      </c>
      <c r="AH958" t="s">
        <v>100</v>
      </c>
    </row>
    <row r="959" spans="1:34" x14ac:dyDescent="0.3">
      <c r="A959" t="s">
        <v>1569</v>
      </c>
      <c r="B959" t="s">
        <v>209</v>
      </c>
      <c r="C959" t="s">
        <v>155</v>
      </c>
      <c r="D959" t="s">
        <v>37</v>
      </c>
      <c r="E959" s="1">
        <v>45848</v>
      </c>
      <c r="F959" s="1">
        <v>45862</v>
      </c>
      <c r="G959" t="s">
        <v>64</v>
      </c>
      <c r="H959">
        <v>2578</v>
      </c>
      <c r="I959" t="s">
        <v>39</v>
      </c>
      <c r="J959" t="b">
        <v>0</v>
      </c>
      <c r="K959">
        <v>14</v>
      </c>
      <c r="L959">
        <v>7</v>
      </c>
      <c r="M959">
        <v>2025</v>
      </c>
      <c r="N959">
        <v>3</v>
      </c>
      <c r="O959">
        <v>7</v>
      </c>
      <c r="P959">
        <v>2025</v>
      </c>
      <c r="Q959">
        <v>3</v>
      </c>
      <c r="R959" t="s">
        <v>40</v>
      </c>
      <c r="S959" t="s">
        <v>55</v>
      </c>
      <c r="T959" t="s">
        <v>113</v>
      </c>
      <c r="U959" t="s">
        <v>40</v>
      </c>
      <c r="V959" t="s">
        <v>156</v>
      </c>
      <c r="W959" t="s">
        <v>157</v>
      </c>
      <c r="X959" t="s">
        <v>158</v>
      </c>
      <c r="Y959">
        <v>70</v>
      </c>
      <c r="Z959" t="s">
        <v>46</v>
      </c>
      <c r="AA959" t="s">
        <v>47</v>
      </c>
      <c r="AB959" s="1">
        <v>45862</v>
      </c>
      <c r="AC959" t="s">
        <v>40</v>
      </c>
      <c r="AD959" t="s">
        <v>40</v>
      </c>
      <c r="AE959" t="s">
        <v>86</v>
      </c>
      <c r="AF959" t="s">
        <v>40</v>
      </c>
      <c r="AG959">
        <v>0</v>
      </c>
      <c r="AH959" t="s">
        <v>70</v>
      </c>
    </row>
    <row r="960" spans="1:34" x14ac:dyDescent="0.3">
      <c r="A960" t="s">
        <v>1570</v>
      </c>
      <c r="B960" t="s">
        <v>533</v>
      </c>
      <c r="C960" t="s">
        <v>155</v>
      </c>
      <c r="D960" t="s">
        <v>90</v>
      </c>
      <c r="E960" s="1">
        <v>45784</v>
      </c>
      <c r="F960" s="1">
        <v>45844</v>
      </c>
      <c r="G960" t="s">
        <v>64</v>
      </c>
      <c r="H960">
        <v>2583</v>
      </c>
      <c r="I960" t="s">
        <v>39</v>
      </c>
      <c r="J960" t="b">
        <v>0</v>
      </c>
      <c r="K960">
        <v>60</v>
      </c>
      <c r="L960">
        <v>7</v>
      </c>
      <c r="M960">
        <v>2025</v>
      </c>
      <c r="N960">
        <v>6</v>
      </c>
      <c r="O960">
        <v>5</v>
      </c>
      <c r="P960">
        <v>2025</v>
      </c>
      <c r="Q960">
        <v>2</v>
      </c>
      <c r="R960" t="s">
        <v>66</v>
      </c>
      <c r="S960" t="s">
        <v>67</v>
      </c>
      <c r="T960" t="s">
        <v>42</v>
      </c>
      <c r="U960" t="s">
        <v>40</v>
      </c>
      <c r="V960" t="s">
        <v>156</v>
      </c>
      <c r="W960" t="s">
        <v>157</v>
      </c>
      <c r="X960" t="s">
        <v>158</v>
      </c>
      <c r="Y960">
        <v>70</v>
      </c>
      <c r="Z960" t="s">
        <v>93</v>
      </c>
      <c r="AA960" t="s">
        <v>94</v>
      </c>
      <c r="AB960" s="1">
        <v>45844</v>
      </c>
      <c r="AC960" t="s">
        <v>66</v>
      </c>
      <c r="AD960" t="s">
        <v>40</v>
      </c>
      <c r="AE960" t="s">
        <v>86</v>
      </c>
      <c r="AF960" t="s">
        <v>40</v>
      </c>
      <c r="AG960">
        <v>0</v>
      </c>
      <c r="AH960" t="s">
        <v>61</v>
      </c>
    </row>
    <row r="961" spans="1:34" x14ac:dyDescent="0.3">
      <c r="A961" t="s">
        <v>1571</v>
      </c>
      <c r="B961" t="s">
        <v>665</v>
      </c>
      <c r="C961" t="s">
        <v>146</v>
      </c>
      <c r="D961" t="s">
        <v>37</v>
      </c>
      <c r="E961" s="1">
        <v>45950</v>
      </c>
      <c r="F961" s="1">
        <v>45957</v>
      </c>
      <c r="G961" t="s">
        <v>81</v>
      </c>
      <c r="H961">
        <v>10846</v>
      </c>
      <c r="I961" t="s">
        <v>39</v>
      </c>
      <c r="J961" t="b">
        <v>0</v>
      </c>
      <c r="K961">
        <v>7</v>
      </c>
      <c r="L961">
        <v>10</v>
      </c>
      <c r="M961">
        <v>2025</v>
      </c>
      <c r="N961">
        <v>0</v>
      </c>
      <c r="O961">
        <v>10</v>
      </c>
      <c r="P961">
        <v>2025</v>
      </c>
      <c r="Q961">
        <v>0</v>
      </c>
      <c r="R961" t="s">
        <v>40</v>
      </c>
      <c r="S961" t="s">
        <v>45</v>
      </c>
      <c r="T961" t="s">
        <v>42</v>
      </c>
      <c r="U961" t="s">
        <v>66</v>
      </c>
      <c r="V961" t="s">
        <v>147</v>
      </c>
      <c r="W961" t="s">
        <v>148</v>
      </c>
      <c r="X961" t="s">
        <v>45</v>
      </c>
      <c r="Y961">
        <v>160</v>
      </c>
      <c r="Z961" t="s">
        <v>46</v>
      </c>
      <c r="AA961" t="s">
        <v>47</v>
      </c>
      <c r="AB961" s="1">
        <v>45957</v>
      </c>
      <c r="AC961" t="s">
        <v>40</v>
      </c>
      <c r="AD961" t="s">
        <v>40</v>
      </c>
      <c r="AE961" t="s">
        <v>60</v>
      </c>
      <c r="AF961" t="s">
        <v>40</v>
      </c>
      <c r="AG961">
        <v>0</v>
      </c>
      <c r="AH961" t="s">
        <v>100</v>
      </c>
    </row>
    <row r="962" spans="1:34" x14ac:dyDescent="0.3">
      <c r="A962" t="s">
        <v>1572</v>
      </c>
      <c r="B962" t="s">
        <v>866</v>
      </c>
      <c r="C962" t="s">
        <v>36</v>
      </c>
      <c r="D962" t="s">
        <v>130</v>
      </c>
      <c r="E962" s="1">
        <v>45722</v>
      </c>
      <c r="F962" s="1">
        <v>45752</v>
      </c>
      <c r="G962" t="s">
        <v>64</v>
      </c>
      <c r="H962">
        <v>3747</v>
      </c>
      <c r="I962" t="s">
        <v>39</v>
      </c>
      <c r="J962" t="b">
        <v>0</v>
      </c>
      <c r="K962">
        <v>30</v>
      </c>
      <c r="L962">
        <v>4</v>
      </c>
      <c r="M962">
        <v>2025</v>
      </c>
      <c r="N962">
        <v>5</v>
      </c>
      <c r="O962">
        <v>3</v>
      </c>
      <c r="P962">
        <v>2025</v>
      </c>
      <c r="Q962">
        <v>3</v>
      </c>
      <c r="R962" t="s">
        <v>66</v>
      </c>
      <c r="S962" t="s">
        <v>41</v>
      </c>
      <c r="T962" t="s">
        <v>42</v>
      </c>
      <c r="U962" t="s">
        <v>66</v>
      </c>
      <c r="V962" t="s">
        <v>43</v>
      </c>
      <c r="W962" t="s">
        <v>44</v>
      </c>
      <c r="X962" t="s">
        <v>45</v>
      </c>
      <c r="Y962">
        <v>150</v>
      </c>
      <c r="Z962" t="s">
        <v>133</v>
      </c>
      <c r="AA962" t="s">
        <v>134</v>
      </c>
      <c r="AB962" s="1">
        <v>45752</v>
      </c>
      <c r="AC962" t="s">
        <v>66</v>
      </c>
      <c r="AD962" t="s">
        <v>40</v>
      </c>
      <c r="AE962" t="s">
        <v>69</v>
      </c>
      <c r="AF962" t="s">
        <v>40</v>
      </c>
      <c r="AG962">
        <v>0</v>
      </c>
      <c r="AH962" t="s">
        <v>70</v>
      </c>
    </row>
    <row r="963" spans="1:34" x14ac:dyDescent="0.3">
      <c r="A963" t="s">
        <v>1573</v>
      </c>
      <c r="B963" t="s">
        <v>700</v>
      </c>
      <c r="C963" t="s">
        <v>79</v>
      </c>
      <c r="D963" t="s">
        <v>80</v>
      </c>
      <c r="E963" s="1">
        <v>46028</v>
      </c>
      <c r="F963" s="1">
        <v>46088</v>
      </c>
      <c r="G963" t="s">
        <v>64</v>
      </c>
      <c r="H963">
        <v>2737</v>
      </c>
      <c r="I963" t="s">
        <v>39</v>
      </c>
      <c r="J963" t="b">
        <v>0</v>
      </c>
      <c r="K963">
        <v>60</v>
      </c>
      <c r="L963">
        <v>3</v>
      </c>
      <c r="M963">
        <v>2026</v>
      </c>
      <c r="N963">
        <v>5</v>
      </c>
      <c r="O963">
        <v>1</v>
      </c>
      <c r="P963">
        <v>2026</v>
      </c>
      <c r="Q963">
        <v>1</v>
      </c>
      <c r="R963" t="s">
        <v>66</v>
      </c>
      <c r="S963" t="s">
        <v>41</v>
      </c>
      <c r="T963" t="s">
        <v>42</v>
      </c>
      <c r="U963" t="s">
        <v>40</v>
      </c>
      <c r="V963" t="s">
        <v>82</v>
      </c>
      <c r="W963" t="s">
        <v>83</v>
      </c>
      <c r="X963" t="s">
        <v>76</v>
      </c>
      <c r="Y963">
        <v>100</v>
      </c>
      <c r="Z963" t="s">
        <v>84</v>
      </c>
      <c r="AA963" t="s">
        <v>85</v>
      </c>
      <c r="AB963" s="1">
        <v>46088</v>
      </c>
      <c r="AC963" t="s">
        <v>66</v>
      </c>
      <c r="AD963" t="s">
        <v>40</v>
      </c>
      <c r="AE963" t="s">
        <v>60</v>
      </c>
      <c r="AF963" t="s">
        <v>40</v>
      </c>
      <c r="AG963">
        <v>0</v>
      </c>
      <c r="AH963" t="s">
        <v>61</v>
      </c>
    </row>
    <row r="964" spans="1:34" x14ac:dyDescent="0.3">
      <c r="A964" t="s">
        <v>1574</v>
      </c>
      <c r="B964" t="s">
        <v>1575</v>
      </c>
      <c r="C964" t="s">
        <v>79</v>
      </c>
      <c r="D964" t="s">
        <v>80</v>
      </c>
      <c r="E964" s="1">
        <v>45852</v>
      </c>
      <c r="F964" s="1">
        <v>45859</v>
      </c>
      <c r="G964" t="s">
        <v>38</v>
      </c>
      <c r="H964">
        <v>4945</v>
      </c>
      <c r="I964" t="s">
        <v>65</v>
      </c>
      <c r="J964" t="b">
        <v>0</v>
      </c>
      <c r="K964">
        <v>7</v>
      </c>
      <c r="L964">
        <v>7</v>
      </c>
      <c r="M964">
        <v>2025</v>
      </c>
      <c r="N964">
        <v>0</v>
      </c>
      <c r="O964">
        <v>7</v>
      </c>
      <c r="P964">
        <v>2025</v>
      </c>
      <c r="Q964">
        <v>0</v>
      </c>
      <c r="R964" t="s">
        <v>40</v>
      </c>
      <c r="S964" t="s">
        <v>41</v>
      </c>
      <c r="T964" t="s">
        <v>68</v>
      </c>
      <c r="U964" t="s">
        <v>66</v>
      </c>
      <c r="V964" t="s">
        <v>82</v>
      </c>
      <c r="W964" t="s">
        <v>83</v>
      </c>
      <c r="X964" t="s">
        <v>76</v>
      </c>
      <c r="Y964">
        <v>100</v>
      </c>
      <c r="Z964" t="s">
        <v>84</v>
      </c>
      <c r="AA964" t="s">
        <v>85</v>
      </c>
      <c r="AB964" s="1">
        <v>45859</v>
      </c>
      <c r="AC964" t="s">
        <v>40</v>
      </c>
      <c r="AD964" t="s">
        <v>40</v>
      </c>
      <c r="AE964" t="s">
        <v>86</v>
      </c>
      <c r="AF964" t="s">
        <v>40</v>
      </c>
      <c r="AG964">
        <v>0</v>
      </c>
      <c r="AH964" t="s">
        <v>100</v>
      </c>
    </row>
    <row r="965" spans="1:34" x14ac:dyDescent="0.3">
      <c r="A965" t="s">
        <v>1576</v>
      </c>
      <c r="B965" t="s">
        <v>1233</v>
      </c>
      <c r="C965" t="s">
        <v>122</v>
      </c>
      <c r="D965" t="s">
        <v>104</v>
      </c>
      <c r="E965" s="1">
        <v>46121</v>
      </c>
      <c r="F965" s="1">
        <v>46124</v>
      </c>
      <c r="G965" t="s">
        <v>41</v>
      </c>
      <c r="H965">
        <v>8228</v>
      </c>
      <c r="I965" t="s">
        <v>39</v>
      </c>
      <c r="J965" t="b">
        <v>0</v>
      </c>
      <c r="K965">
        <v>3</v>
      </c>
      <c r="L965">
        <v>4</v>
      </c>
      <c r="M965">
        <v>2026</v>
      </c>
      <c r="N965">
        <v>6</v>
      </c>
      <c r="O965">
        <v>4</v>
      </c>
      <c r="P965">
        <v>2026</v>
      </c>
      <c r="Q965">
        <v>3</v>
      </c>
      <c r="R965" t="s">
        <v>66</v>
      </c>
      <c r="S965" t="s">
        <v>55</v>
      </c>
      <c r="T965" t="s">
        <v>42</v>
      </c>
      <c r="U965" t="s">
        <v>40</v>
      </c>
      <c r="V965" t="s">
        <v>124</v>
      </c>
      <c r="W965" t="s">
        <v>125</v>
      </c>
      <c r="X965" t="s">
        <v>126</v>
      </c>
      <c r="Y965">
        <v>85</v>
      </c>
      <c r="Z965" t="s">
        <v>107</v>
      </c>
      <c r="AA965" t="s">
        <v>108</v>
      </c>
      <c r="AB965" s="1">
        <v>46124</v>
      </c>
      <c r="AC965" t="s">
        <v>66</v>
      </c>
      <c r="AD965" t="s">
        <v>40</v>
      </c>
      <c r="AE965" t="s">
        <v>69</v>
      </c>
      <c r="AF965" t="s">
        <v>40</v>
      </c>
      <c r="AG965">
        <v>0</v>
      </c>
      <c r="AH965" t="s">
        <v>100</v>
      </c>
    </row>
    <row r="966" spans="1:34" x14ac:dyDescent="0.3">
      <c r="A966" t="s">
        <v>1577</v>
      </c>
      <c r="B966" t="s">
        <v>1058</v>
      </c>
      <c r="C966" t="s">
        <v>79</v>
      </c>
      <c r="D966" t="s">
        <v>130</v>
      </c>
      <c r="E966" s="1">
        <v>46102</v>
      </c>
      <c r="F966" s="1">
        <v>46162</v>
      </c>
      <c r="G966" t="s">
        <v>38</v>
      </c>
      <c r="H966">
        <v>4253</v>
      </c>
      <c r="I966" t="s">
        <v>39</v>
      </c>
      <c r="J966" t="b">
        <v>0</v>
      </c>
      <c r="K966">
        <v>60</v>
      </c>
      <c r="L966">
        <v>5</v>
      </c>
      <c r="M966">
        <v>2026</v>
      </c>
      <c r="N966">
        <v>2</v>
      </c>
      <c r="O966">
        <v>3</v>
      </c>
      <c r="P966">
        <v>2026</v>
      </c>
      <c r="Q966">
        <v>5</v>
      </c>
      <c r="R966" t="s">
        <v>40</v>
      </c>
      <c r="S966" t="s">
        <v>41</v>
      </c>
      <c r="T966" t="s">
        <v>42</v>
      </c>
      <c r="U966" t="s">
        <v>40</v>
      </c>
      <c r="V966" t="s">
        <v>82</v>
      </c>
      <c r="W966" t="s">
        <v>83</v>
      </c>
      <c r="X966" t="s">
        <v>76</v>
      </c>
      <c r="Y966">
        <v>100</v>
      </c>
      <c r="Z966" t="s">
        <v>133</v>
      </c>
      <c r="AA966" t="s">
        <v>134</v>
      </c>
      <c r="AB966" s="1">
        <v>46162</v>
      </c>
      <c r="AC966" t="s">
        <v>40</v>
      </c>
      <c r="AD966" t="s">
        <v>40</v>
      </c>
      <c r="AE966" t="s">
        <v>69</v>
      </c>
      <c r="AF966" t="s">
        <v>40</v>
      </c>
      <c r="AG966">
        <v>0</v>
      </c>
      <c r="AH966" t="s">
        <v>61</v>
      </c>
    </row>
    <row r="967" spans="1:34" x14ac:dyDescent="0.3">
      <c r="A967" t="s">
        <v>1578</v>
      </c>
      <c r="B967" t="s">
        <v>277</v>
      </c>
      <c r="C967" t="s">
        <v>52</v>
      </c>
      <c r="D967" t="s">
        <v>104</v>
      </c>
      <c r="E967" s="1">
        <v>46059</v>
      </c>
      <c r="F967" s="1">
        <v>46062</v>
      </c>
      <c r="G967" t="s">
        <v>81</v>
      </c>
      <c r="H967">
        <v>11471</v>
      </c>
      <c r="I967" t="s">
        <v>65</v>
      </c>
      <c r="J967" t="b">
        <v>0</v>
      </c>
      <c r="K967">
        <v>3</v>
      </c>
      <c r="L967">
        <v>2</v>
      </c>
      <c r="M967">
        <v>2026</v>
      </c>
      <c r="N967">
        <v>0</v>
      </c>
      <c r="O967">
        <v>2</v>
      </c>
      <c r="P967">
        <v>2026</v>
      </c>
      <c r="Q967">
        <v>4</v>
      </c>
      <c r="R967" t="s">
        <v>40</v>
      </c>
      <c r="S967" t="s">
        <v>45</v>
      </c>
      <c r="T967" t="s">
        <v>123</v>
      </c>
      <c r="U967" t="s">
        <v>66</v>
      </c>
      <c r="V967" t="s">
        <v>56</v>
      </c>
      <c r="W967" t="s">
        <v>57</v>
      </c>
      <c r="X967" t="s">
        <v>45</v>
      </c>
      <c r="Y967">
        <v>120</v>
      </c>
      <c r="Z967" t="s">
        <v>107</v>
      </c>
      <c r="AA967" t="s">
        <v>108</v>
      </c>
      <c r="AB967" s="1">
        <v>46062</v>
      </c>
      <c r="AC967" t="s">
        <v>40</v>
      </c>
      <c r="AD967" t="s">
        <v>40</v>
      </c>
      <c r="AE967" t="s">
        <v>60</v>
      </c>
      <c r="AF967" t="s">
        <v>40</v>
      </c>
      <c r="AG967">
        <v>0</v>
      </c>
      <c r="AH967" t="s">
        <v>100</v>
      </c>
    </row>
    <row r="968" spans="1:34" x14ac:dyDescent="0.3">
      <c r="A968" t="s">
        <v>1579</v>
      </c>
      <c r="B968" t="s">
        <v>861</v>
      </c>
      <c r="C968" t="s">
        <v>129</v>
      </c>
      <c r="D968" t="s">
        <v>130</v>
      </c>
      <c r="E968" s="1">
        <v>46019</v>
      </c>
      <c r="F968" s="1">
        <v>46169</v>
      </c>
      <c r="G968" t="s">
        <v>64</v>
      </c>
      <c r="H968">
        <v>3645</v>
      </c>
      <c r="I968" t="s">
        <v>39</v>
      </c>
      <c r="J968" t="b">
        <v>0</v>
      </c>
      <c r="K968">
        <v>150</v>
      </c>
      <c r="L968">
        <v>5</v>
      </c>
      <c r="M968">
        <v>2026</v>
      </c>
      <c r="N968">
        <v>2</v>
      </c>
      <c r="O968">
        <v>12</v>
      </c>
      <c r="P968">
        <v>2025</v>
      </c>
      <c r="Q968">
        <v>6</v>
      </c>
      <c r="R968" t="s">
        <v>40</v>
      </c>
      <c r="S968" t="s">
        <v>41</v>
      </c>
      <c r="T968" t="s">
        <v>42</v>
      </c>
      <c r="U968" t="s">
        <v>40</v>
      </c>
      <c r="V968" t="s">
        <v>131</v>
      </c>
      <c r="W968" t="s">
        <v>132</v>
      </c>
      <c r="X968" t="s">
        <v>45</v>
      </c>
      <c r="Y968">
        <v>110</v>
      </c>
      <c r="Z968" t="s">
        <v>133</v>
      </c>
      <c r="AA968" t="s">
        <v>134</v>
      </c>
      <c r="AB968" s="1">
        <v>46169</v>
      </c>
      <c r="AC968" t="s">
        <v>40</v>
      </c>
      <c r="AD968" t="s">
        <v>40</v>
      </c>
      <c r="AE968" t="s">
        <v>69</v>
      </c>
      <c r="AF968" t="s">
        <v>40</v>
      </c>
      <c r="AG968">
        <v>0</v>
      </c>
      <c r="AH968" t="s">
        <v>49</v>
      </c>
    </row>
    <row r="969" spans="1:34" x14ac:dyDescent="0.3">
      <c r="A969" t="s">
        <v>1580</v>
      </c>
      <c r="B969" t="s">
        <v>1581</v>
      </c>
      <c r="C969" t="s">
        <v>103</v>
      </c>
      <c r="D969" t="s">
        <v>104</v>
      </c>
      <c r="E969" s="1">
        <v>45671</v>
      </c>
      <c r="F969" s="1">
        <v>45821</v>
      </c>
      <c r="G969" t="s">
        <v>38</v>
      </c>
      <c r="H969">
        <v>4772</v>
      </c>
      <c r="I969" t="s">
        <v>39</v>
      </c>
      <c r="J969" t="b">
        <v>0</v>
      </c>
      <c r="K969">
        <v>150</v>
      </c>
      <c r="L969">
        <v>6</v>
      </c>
      <c r="M969">
        <v>2025</v>
      </c>
      <c r="N969">
        <v>4</v>
      </c>
      <c r="O969">
        <v>1</v>
      </c>
      <c r="P969">
        <v>2025</v>
      </c>
      <c r="Q969">
        <v>1</v>
      </c>
      <c r="R969" t="s">
        <v>40</v>
      </c>
      <c r="S969" t="s">
        <v>55</v>
      </c>
      <c r="T969" t="s">
        <v>123</v>
      </c>
      <c r="U969" t="s">
        <v>40</v>
      </c>
      <c r="V969" t="s">
        <v>105</v>
      </c>
      <c r="W969" t="s">
        <v>106</v>
      </c>
      <c r="X969" t="s">
        <v>45</v>
      </c>
      <c r="Y969">
        <v>140</v>
      </c>
      <c r="Z969" t="s">
        <v>107</v>
      </c>
      <c r="AA969" t="s">
        <v>108</v>
      </c>
      <c r="AB969" s="1">
        <v>45821</v>
      </c>
      <c r="AC969" t="s">
        <v>40</v>
      </c>
      <c r="AD969" t="s">
        <v>40</v>
      </c>
      <c r="AE969" t="s">
        <v>60</v>
      </c>
      <c r="AF969" t="s">
        <v>40</v>
      </c>
      <c r="AG969">
        <v>0</v>
      </c>
      <c r="AH969" t="s">
        <v>49</v>
      </c>
    </row>
    <row r="970" spans="1:34" x14ac:dyDescent="0.3">
      <c r="A970" t="s">
        <v>1582</v>
      </c>
      <c r="B970" t="s">
        <v>843</v>
      </c>
      <c r="C970" t="s">
        <v>89</v>
      </c>
      <c r="D970" t="s">
        <v>53</v>
      </c>
      <c r="E970" s="1">
        <v>45789</v>
      </c>
      <c r="F970" s="1">
        <v>45803</v>
      </c>
      <c r="G970" t="s">
        <v>41</v>
      </c>
      <c r="H970">
        <v>6708</v>
      </c>
      <c r="I970" t="s">
        <v>65</v>
      </c>
      <c r="J970" t="b">
        <v>0</v>
      </c>
      <c r="K970">
        <v>14</v>
      </c>
      <c r="L970">
        <v>5</v>
      </c>
      <c r="M970">
        <v>2025</v>
      </c>
      <c r="N970">
        <v>0</v>
      </c>
      <c r="O970">
        <v>5</v>
      </c>
      <c r="P970">
        <v>2025</v>
      </c>
      <c r="Q970">
        <v>0</v>
      </c>
      <c r="R970" t="s">
        <v>40</v>
      </c>
      <c r="S970" t="s">
        <v>45</v>
      </c>
      <c r="T970" t="s">
        <v>68</v>
      </c>
      <c r="U970" t="s">
        <v>66</v>
      </c>
      <c r="V970" t="s">
        <v>91</v>
      </c>
      <c r="W970" t="s">
        <v>92</v>
      </c>
      <c r="X970" t="s">
        <v>76</v>
      </c>
      <c r="Y970">
        <v>65</v>
      </c>
      <c r="Z970" t="s">
        <v>58</v>
      </c>
      <c r="AA970" t="s">
        <v>59</v>
      </c>
      <c r="AB970" s="1">
        <v>45803</v>
      </c>
      <c r="AC970" t="s">
        <v>40</v>
      </c>
      <c r="AD970" t="s">
        <v>40</v>
      </c>
      <c r="AE970" t="s">
        <v>69</v>
      </c>
      <c r="AF970" t="s">
        <v>40</v>
      </c>
      <c r="AG970">
        <v>0</v>
      </c>
      <c r="AH970" t="s">
        <v>70</v>
      </c>
    </row>
    <row r="971" spans="1:34" x14ac:dyDescent="0.3">
      <c r="A971" t="s">
        <v>1583</v>
      </c>
      <c r="B971" t="s">
        <v>411</v>
      </c>
      <c r="C971" t="s">
        <v>129</v>
      </c>
      <c r="D971" t="s">
        <v>104</v>
      </c>
      <c r="E971" s="1">
        <v>45945</v>
      </c>
      <c r="F971" s="1">
        <v>45975</v>
      </c>
      <c r="G971" t="s">
        <v>81</v>
      </c>
      <c r="H971">
        <v>9136</v>
      </c>
      <c r="I971" t="s">
        <v>39</v>
      </c>
      <c r="J971" t="b">
        <v>0</v>
      </c>
      <c r="K971">
        <v>30</v>
      </c>
      <c r="L971">
        <v>11</v>
      </c>
      <c r="M971">
        <v>2025</v>
      </c>
      <c r="N971">
        <v>4</v>
      </c>
      <c r="O971">
        <v>10</v>
      </c>
      <c r="P971">
        <v>2025</v>
      </c>
      <c r="Q971">
        <v>2</v>
      </c>
      <c r="R971" t="s">
        <v>40</v>
      </c>
      <c r="S971" t="s">
        <v>41</v>
      </c>
      <c r="T971" t="s">
        <v>42</v>
      </c>
      <c r="U971" t="s">
        <v>40</v>
      </c>
      <c r="V971" t="s">
        <v>131</v>
      </c>
      <c r="W971" t="s">
        <v>132</v>
      </c>
      <c r="X971" t="s">
        <v>45</v>
      </c>
      <c r="Y971">
        <v>110</v>
      </c>
      <c r="Z971" t="s">
        <v>107</v>
      </c>
      <c r="AA971" t="s">
        <v>108</v>
      </c>
      <c r="AB971" s="1">
        <v>45975</v>
      </c>
      <c r="AC971" t="s">
        <v>40</v>
      </c>
      <c r="AD971" t="s">
        <v>40</v>
      </c>
      <c r="AE971" t="s">
        <v>86</v>
      </c>
      <c r="AF971" t="s">
        <v>40</v>
      </c>
      <c r="AG971">
        <v>0</v>
      </c>
      <c r="AH971" t="s">
        <v>70</v>
      </c>
    </row>
    <row r="972" spans="1:34" x14ac:dyDescent="0.3">
      <c r="A972" t="s">
        <v>1584</v>
      </c>
      <c r="B972" t="s">
        <v>1585</v>
      </c>
      <c r="C972" t="s">
        <v>155</v>
      </c>
      <c r="D972" t="s">
        <v>90</v>
      </c>
      <c r="E972" s="1">
        <v>45913</v>
      </c>
      <c r="F972" s="1">
        <v>45927</v>
      </c>
      <c r="G972" t="s">
        <v>41</v>
      </c>
      <c r="H972">
        <v>6573</v>
      </c>
      <c r="I972" t="s">
        <v>39</v>
      </c>
      <c r="J972" t="b">
        <v>0</v>
      </c>
      <c r="K972">
        <v>14</v>
      </c>
      <c r="L972">
        <v>9</v>
      </c>
      <c r="M972">
        <v>2025</v>
      </c>
      <c r="N972">
        <v>5</v>
      </c>
      <c r="O972">
        <v>9</v>
      </c>
      <c r="P972">
        <v>2025</v>
      </c>
      <c r="Q972">
        <v>5</v>
      </c>
      <c r="R972" t="s">
        <v>66</v>
      </c>
      <c r="S972" t="s">
        <v>45</v>
      </c>
      <c r="T972" t="s">
        <v>113</v>
      </c>
      <c r="U972" t="s">
        <v>40</v>
      </c>
      <c r="V972" t="s">
        <v>156</v>
      </c>
      <c r="W972" t="s">
        <v>157</v>
      </c>
      <c r="X972" t="s">
        <v>158</v>
      </c>
      <c r="Y972">
        <v>70</v>
      </c>
      <c r="Z972" t="s">
        <v>93</v>
      </c>
      <c r="AA972" t="s">
        <v>94</v>
      </c>
      <c r="AB972" s="1">
        <v>45927</v>
      </c>
      <c r="AC972" t="s">
        <v>66</v>
      </c>
      <c r="AD972" t="s">
        <v>40</v>
      </c>
      <c r="AE972" t="s">
        <v>60</v>
      </c>
      <c r="AF972" t="s">
        <v>40</v>
      </c>
      <c r="AG972">
        <v>0</v>
      </c>
      <c r="AH972" t="s">
        <v>70</v>
      </c>
    </row>
    <row r="973" spans="1:34" x14ac:dyDescent="0.3">
      <c r="A973" t="s">
        <v>1586</v>
      </c>
      <c r="B973" t="s">
        <v>121</v>
      </c>
      <c r="C973" t="s">
        <v>122</v>
      </c>
      <c r="D973" t="s">
        <v>80</v>
      </c>
      <c r="E973" s="1">
        <v>45930</v>
      </c>
      <c r="F973" s="1">
        <v>45931</v>
      </c>
      <c r="G973" t="s">
        <v>41</v>
      </c>
      <c r="H973">
        <v>6490</v>
      </c>
      <c r="I973" t="s">
        <v>54</v>
      </c>
      <c r="J973" t="b">
        <v>0</v>
      </c>
      <c r="K973">
        <v>1</v>
      </c>
      <c r="L973">
        <v>10</v>
      </c>
      <c r="M973">
        <v>2025</v>
      </c>
      <c r="N973">
        <v>2</v>
      </c>
      <c r="O973">
        <v>9</v>
      </c>
      <c r="P973">
        <v>2025</v>
      </c>
      <c r="Q973">
        <v>1</v>
      </c>
      <c r="R973" t="s">
        <v>40</v>
      </c>
      <c r="S973" t="s">
        <v>55</v>
      </c>
      <c r="T973" t="s">
        <v>123</v>
      </c>
      <c r="U973" t="s">
        <v>40</v>
      </c>
      <c r="V973" t="s">
        <v>124</v>
      </c>
      <c r="W973" t="s">
        <v>125</v>
      </c>
      <c r="X973" t="s">
        <v>126</v>
      </c>
      <c r="Y973">
        <v>85</v>
      </c>
      <c r="Z973" t="s">
        <v>84</v>
      </c>
      <c r="AA973" t="s">
        <v>85</v>
      </c>
      <c r="AB973" s="1">
        <v>45931</v>
      </c>
      <c r="AC973" t="s">
        <v>40</v>
      </c>
      <c r="AD973" t="s">
        <v>40</v>
      </c>
      <c r="AE973" t="s">
        <v>60</v>
      </c>
      <c r="AF973" t="s">
        <v>40</v>
      </c>
      <c r="AG973">
        <v>1</v>
      </c>
      <c r="AH973" t="s">
        <v>100</v>
      </c>
    </row>
    <row r="974" spans="1:34" x14ac:dyDescent="0.3">
      <c r="A974" t="s">
        <v>1587</v>
      </c>
      <c r="B974" t="s">
        <v>1588</v>
      </c>
      <c r="C974" t="s">
        <v>73</v>
      </c>
      <c r="D974" t="s">
        <v>37</v>
      </c>
      <c r="E974" s="1">
        <v>45661</v>
      </c>
      <c r="F974" s="1">
        <v>45675</v>
      </c>
      <c r="G974" t="s">
        <v>41</v>
      </c>
      <c r="H974">
        <v>6985</v>
      </c>
      <c r="I974" t="s">
        <v>39</v>
      </c>
      <c r="J974" t="b">
        <v>0</v>
      </c>
      <c r="K974">
        <v>14</v>
      </c>
      <c r="L974">
        <v>1</v>
      </c>
      <c r="M974">
        <v>2025</v>
      </c>
      <c r="N974">
        <v>5</v>
      </c>
      <c r="O974">
        <v>1</v>
      </c>
      <c r="P974">
        <v>2025</v>
      </c>
      <c r="Q974">
        <v>5</v>
      </c>
      <c r="R974" t="s">
        <v>66</v>
      </c>
      <c r="S974" t="s">
        <v>45</v>
      </c>
      <c r="T974" t="s">
        <v>42</v>
      </c>
      <c r="U974" t="s">
        <v>66</v>
      </c>
      <c r="V974" t="s">
        <v>74</v>
      </c>
      <c r="W974" t="s">
        <v>75</v>
      </c>
      <c r="X974" t="s">
        <v>76</v>
      </c>
      <c r="Y974">
        <v>75</v>
      </c>
      <c r="Z974" t="s">
        <v>46</v>
      </c>
      <c r="AA974" t="s">
        <v>47</v>
      </c>
      <c r="AB974" s="1">
        <v>45675</v>
      </c>
      <c r="AC974" t="s">
        <v>66</v>
      </c>
      <c r="AD974" t="s">
        <v>40</v>
      </c>
      <c r="AE974" t="s">
        <v>86</v>
      </c>
      <c r="AF974" t="s">
        <v>40</v>
      </c>
      <c r="AG974">
        <v>0</v>
      </c>
      <c r="AH974" t="s">
        <v>70</v>
      </c>
    </row>
    <row r="975" spans="1:34" x14ac:dyDescent="0.3">
      <c r="A975" t="s">
        <v>1589</v>
      </c>
      <c r="B975" t="s">
        <v>1029</v>
      </c>
      <c r="C975" t="s">
        <v>155</v>
      </c>
      <c r="D975" t="s">
        <v>80</v>
      </c>
      <c r="E975" s="1">
        <v>45781</v>
      </c>
      <c r="F975" s="1">
        <v>45788</v>
      </c>
      <c r="G975" t="s">
        <v>64</v>
      </c>
      <c r="H975">
        <v>3272</v>
      </c>
      <c r="I975" t="s">
        <v>65</v>
      </c>
      <c r="J975" t="b">
        <v>0</v>
      </c>
      <c r="K975">
        <v>7</v>
      </c>
      <c r="L975">
        <v>5</v>
      </c>
      <c r="M975">
        <v>2025</v>
      </c>
      <c r="N975">
        <v>6</v>
      </c>
      <c r="O975">
        <v>5</v>
      </c>
      <c r="P975">
        <v>2025</v>
      </c>
      <c r="Q975">
        <v>6</v>
      </c>
      <c r="R975" t="s">
        <v>66</v>
      </c>
      <c r="S975" t="s">
        <v>45</v>
      </c>
      <c r="T975" t="s">
        <v>42</v>
      </c>
      <c r="U975" t="s">
        <v>40</v>
      </c>
      <c r="V975" t="s">
        <v>156</v>
      </c>
      <c r="W975" t="s">
        <v>157</v>
      </c>
      <c r="X975" t="s">
        <v>158</v>
      </c>
      <c r="Y975">
        <v>70</v>
      </c>
      <c r="Z975" t="s">
        <v>84</v>
      </c>
      <c r="AA975" t="s">
        <v>85</v>
      </c>
      <c r="AB975" s="1">
        <v>45788</v>
      </c>
      <c r="AC975" t="s">
        <v>66</v>
      </c>
      <c r="AD975" t="s">
        <v>40</v>
      </c>
      <c r="AE975" t="s">
        <v>69</v>
      </c>
      <c r="AF975" t="s">
        <v>40</v>
      </c>
      <c r="AG975">
        <v>0</v>
      </c>
      <c r="AH975" t="s">
        <v>100</v>
      </c>
    </row>
    <row r="976" spans="1:34" x14ac:dyDescent="0.3">
      <c r="A976" t="s">
        <v>1590</v>
      </c>
      <c r="B976" t="s">
        <v>1383</v>
      </c>
      <c r="C976" t="s">
        <v>169</v>
      </c>
      <c r="D976" t="s">
        <v>53</v>
      </c>
      <c r="E976" s="1">
        <v>45867</v>
      </c>
      <c r="F976" s="1">
        <v>45870</v>
      </c>
      <c r="G976" t="s">
        <v>64</v>
      </c>
      <c r="H976">
        <v>3534</v>
      </c>
      <c r="I976" t="s">
        <v>39</v>
      </c>
      <c r="J976" t="b">
        <v>0</v>
      </c>
      <c r="K976">
        <v>3</v>
      </c>
      <c r="L976">
        <v>8</v>
      </c>
      <c r="M976">
        <v>2025</v>
      </c>
      <c r="N976">
        <v>4</v>
      </c>
      <c r="O976">
        <v>7</v>
      </c>
      <c r="P976">
        <v>2025</v>
      </c>
      <c r="Q976">
        <v>1</v>
      </c>
      <c r="R976" t="s">
        <v>40</v>
      </c>
      <c r="S976" t="s">
        <v>67</v>
      </c>
      <c r="T976" t="s">
        <v>42</v>
      </c>
      <c r="U976" t="s">
        <v>40</v>
      </c>
      <c r="V976" t="s">
        <v>170</v>
      </c>
      <c r="W976" t="s">
        <v>171</v>
      </c>
      <c r="X976" t="s">
        <v>126</v>
      </c>
      <c r="Y976">
        <v>90</v>
      </c>
      <c r="Z976" t="s">
        <v>58</v>
      </c>
      <c r="AA976" t="s">
        <v>59</v>
      </c>
      <c r="AB976" s="1">
        <v>45870</v>
      </c>
      <c r="AC976" t="s">
        <v>40</v>
      </c>
      <c r="AD976" t="s">
        <v>40</v>
      </c>
      <c r="AE976" t="s">
        <v>86</v>
      </c>
      <c r="AF976" t="s">
        <v>40</v>
      </c>
      <c r="AG976">
        <v>0</v>
      </c>
      <c r="AH976" t="s">
        <v>100</v>
      </c>
    </row>
    <row r="977" spans="1:34" x14ac:dyDescent="0.3">
      <c r="A977" t="s">
        <v>1591</v>
      </c>
      <c r="B977" t="s">
        <v>1592</v>
      </c>
      <c r="C977" t="s">
        <v>103</v>
      </c>
      <c r="D977" t="s">
        <v>80</v>
      </c>
      <c r="E977" s="1">
        <v>45818</v>
      </c>
      <c r="F977" s="1">
        <v>45848</v>
      </c>
      <c r="G977" t="s">
        <v>81</v>
      </c>
      <c r="H977">
        <v>10235</v>
      </c>
      <c r="I977" t="s">
        <v>39</v>
      </c>
      <c r="J977" t="b">
        <v>0</v>
      </c>
      <c r="K977">
        <v>30</v>
      </c>
      <c r="L977">
        <v>7</v>
      </c>
      <c r="M977">
        <v>2025</v>
      </c>
      <c r="N977">
        <v>3</v>
      </c>
      <c r="O977">
        <v>6</v>
      </c>
      <c r="P977">
        <v>2025</v>
      </c>
      <c r="Q977">
        <v>1</v>
      </c>
      <c r="R977" t="s">
        <v>40</v>
      </c>
      <c r="S977" t="s">
        <v>41</v>
      </c>
      <c r="T977" t="s">
        <v>42</v>
      </c>
      <c r="U977" t="s">
        <v>40</v>
      </c>
      <c r="V977" t="s">
        <v>105</v>
      </c>
      <c r="W977" t="s">
        <v>106</v>
      </c>
      <c r="X977" t="s">
        <v>45</v>
      </c>
      <c r="Y977">
        <v>140</v>
      </c>
      <c r="Z977" t="s">
        <v>84</v>
      </c>
      <c r="AA977" t="s">
        <v>85</v>
      </c>
      <c r="AB977" s="1">
        <v>45848</v>
      </c>
      <c r="AC977" t="s">
        <v>40</v>
      </c>
      <c r="AD977" t="s">
        <v>40</v>
      </c>
      <c r="AE977" t="s">
        <v>86</v>
      </c>
      <c r="AF977" t="s">
        <v>40</v>
      </c>
      <c r="AG977">
        <v>0</v>
      </c>
      <c r="AH977" t="s">
        <v>70</v>
      </c>
    </row>
    <row r="978" spans="1:34" x14ac:dyDescent="0.3">
      <c r="A978" t="s">
        <v>1593</v>
      </c>
      <c r="B978" t="s">
        <v>1510</v>
      </c>
      <c r="C978" t="s">
        <v>97</v>
      </c>
      <c r="D978" t="s">
        <v>53</v>
      </c>
      <c r="E978" s="1">
        <v>45675</v>
      </c>
      <c r="F978" s="1">
        <v>45678</v>
      </c>
      <c r="G978" t="s">
        <v>81</v>
      </c>
      <c r="H978">
        <v>7661</v>
      </c>
      <c r="I978" t="s">
        <v>39</v>
      </c>
      <c r="J978" t="b">
        <v>0</v>
      </c>
      <c r="K978">
        <v>3</v>
      </c>
      <c r="L978">
        <v>1</v>
      </c>
      <c r="M978">
        <v>2025</v>
      </c>
      <c r="N978">
        <v>1</v>
      </c>
      <c r="O978">
        <v>1</v>
      </c>
      <c r="P978">
        <v>2025</v>
      </c>
      <c r="Q978">
        <v>5</v>
      </c>
      <c r="R978" t="s">
        <v>40</v>
      </c>
      <c r="S978" t="s">
        <v>45</v>
      </c>
      <c r="T978" t="s">
        <v>42</v>
      </c>
      <c r="U978" t="s">
        <v>66</v>
      </c>
      <c r="V978" t="s">
        <v>98</v>
      </c>
      <c r="W978" t="s">
        <v>99</v>
      </c>
      <c r="X978" t="s">
        <v>76</v>
      </c>
      <c r="Y978">
        <v>80</v>
      </c>
      <c r="Z978" t="s">
        <v>58</v>
      </c>
      <c r="AA978" t="s">
        <v>59</v>
      </c>
      <c r="AB978" s="1">
        <v>45678</v>
      </c>
      <c r="AC978" t="s">
        <v>40</v>
      </c>
      <c r="AD978" t="s">
        <v>40</v>
      </c>
      <c r="AE978" t="s">
        <v>86</v>
      </c>
      <c r="AF978" t="s">
        <v>40</v>
      </c>
      <c r="AG978">
        <v>0</v>
      </c>
      <c r="AH978" t="s">
        <v>100</v>
      </c>
    </row>
    <row r="979" spans="1:34" x14ac:dyDescent="0.3">
      <c r="A979" t="s">
        <v>1594</v>
      </c>
      <c r="B979" t="s">
        <v>792</v>
      </c>
      <c r="C979" t="s">
        <v>129</v>
      </c>
      <c r="D979" t="s">
        <v>53</v>
      </c>
      <c r="E979" s="1">
        <v>46063</v>
      </c>
      <c r="F979" s="1">
        <v>46066</v>
      </c>
      <c r="G979" t="s">
        <v>64</v>
      </c>
      <c r="H979">
        <v>2863</v>
      </c>
      <c r="I979" t="s">
        <v>54</v>
      </c>
      <c r="J979" t="b">
        <v>0</v>
      </c>
      <c r="K979">
        <v>3</v>
      </c>
      <c r="L979">
        <v>2</v>
      </c>
      <c r="M979">
        <v>2026</v>
      </c>
      <c r="N979">
        <v>4</v>
      </c>
      <c r="O979">
        <v>2</v>
      </c>
      <c r="P979">
        <v>2026</v>
      </c>
      <c r="Q979">
        <v>1</v>
      </c>
      <c r="R979" t="s">
        <v>40</v>
      </c>
      <c r="S979" t="s">
        <v>45</v>
      </c>
      <c r="T979" t="s">
        <v>42</v>
      </c>
      <c r="U979" t="s">
        <v>40</v>
      </c>
      <c r="V979" t="s">
        <v>131</v>
      </c>
      <c r="W979" t="s">
        <v>132</v>
      </c>
      <c r="X979" t="s">
        <v>45</v>
      </c>
      <c r="Y979">
        <v>110</v>
      </c>
      <c r="Z979" t="s">
        <v>58</v>
      </c>
      <c r="AA979" t="s">
        <v>59</v>
      </c>
      <c r="AB979" s="1">
        <v>46066</v>
      </c>
      <c r="AC979" t="s">
        <v>40</v>
      </c>
      <c r="AD979" t="s">
        <v>40</v>
      </c>
      <c r="AE979" t="s">
        <v>60</v>
      </c>
      <c r="AF979" t="s">
        <v>40</v>
      </c>
      <c r="AG979">
        <v>1</v>
      </c>
      <c r="AH979" t="s">
        <v>100</v>
      </c>
    </row>
    <row r="980" spans="1:34" x14ac:dyDescent="0.3">
      <c r="A980" t="s">
        <v>1595</v>
      </c>
      <c r="B980" t="s">
        <v>1093</v>
      </c>
      <c r="C980" t="s">
        <v>122</v>
      </c>
      <c r="D980" t="s">
        <v>130</v>
      </c>
      <c r="E980" s="1">
        <v>45727</v>
      </c>
      <c r="F980" s="1">
        <v>45730</v>
      </c>
      <c r="G980" t="s">
        <v>64</v>
      </c>
      <c r="H980">
        <v>2534</v>
      </c>
      <c r="I980" t="s">
        <v>39</v>
      </c>
      <c r="J980" t="b">
        <v>0</v>
      </c>
      <c r="K980">
        <v>3</v>
      </c>
      <c r="L980">
        <v>3</v>
      </c>
      <c r="M980">
        <v>2025</v>
      </c>
      <c r="N980">
        <v>4</v>
      </c>
      <c r="O980">
        <v>3</v>
      </c>
      <c r="P980">
        <v>2025</v>
      </c>
      <c r="Q980">
        <v>1</v>
      </c>
      <c r="R980" t="s">
        <v>40</v>
      </c>
      <c r="S980" t="s">
        <v>55</v>
      </c>
      <c r="T980" t="s">
        <v>42</v>
      </c>
      <c r="U980" t="s">
        <v>40</v>
      </c>
      <c r="V980" t="s">
        <v>124</v>
      </c>
      <c r="W980" t="s">
        <v>125</v>
      </c>
      <c r="X980" t="s">
        <v>126</v>
      </c>
      <c r="Y980">
        <v>85</v>
      </c>
      <c r="Z980" t="s">
        <v>133</v>
      </c>
      <c r="AA980" t="s">
        <v>134</v>
      </c>
      <c r="AB980" s="1">
        <v>45730</v>
      </c>
      <c r="AC980" t="s">
        <v>40</v>
      </c>
      <c r="AD980" t="s">
        <v>40</v>
      </c>
      <c r="AE980" t="s">
        <v>60</v>
      </c>
      <c r="AF980" t="s">
        <v>40</v>
      </c>
      <c r="AG980">
        <v>0</v>
      </c>
      <c r="AH980" t="s">
        <v>100</v>
      </c>
    </row>
    <row r="981" spans="1:34" x14ac:dyDescent="0.3">
      <c r="A981" t="s">
        <v>1596</v>
      </c>
      <c r="B981" t="s">
        <v>230</v>
      </c>
      <c r="C981" t="s">
        <v>36</v>
      </c>
      <c r="D981" t="s">
        <v>104</v>
      </c>
      <c r="E981" s="1">
        <v>46068</v>
      </c>
      <c r="F981" s="1">
        <v>46098</v>
      </c>
      <c r="G981" t="s">
        <v>41</v>
      </c>
      <c r="H981">
        <v>8370</v>
      </c>
      <c r="I981" t="s">
        <v>39</v>
      </c>
      <c r="J981" t="b">
        <v>0</v>
      </c>
      <c r="K981">
        <v>30</v>
      </c>
      <c r="L981">
        <v>3</v>
      </c>
      <c r="M981">
        <v>2026</v>
      </c>
      <c r="N981">
        <v>1</v>
      </c>
      <c r="O981">
        <v>2</v>
      </c>
      <c r="P981">
        <v>2026</v>
      </c>
      <c r="Q981">
        <v>6</v>
      </c>
      <c r="R981" t="s">
        <v>40</v>
      </c>
      <c r="S981" t="s">
        <v>45</v>
      </c>
      <c r="T981" t="s">
        <v>68</v>
      </c>
      <c r="U981" t="s">
        <v>66</v>
      </c>
      <c r="V981" t="s">
        <v>43</v>
      </c>
      <c r="W981" t="s">
        <v>44</v>
      </c>
      <c r="X981" t="s">
        <v>45</v>
      </c>
      <c r="Y981">
        <v>150</v>
      </c>
      <c r="Z981" t="s">
        <v>107</v>
      </c>
      <c r="AA981" t="s">
        <v>108</v>
      </c>
      <c r="AB981" s="1">
        <v>46098</v>
      </c>
      <c r="AC981" t="s">
        <v>40</v>
      </c>
      <c r="AD981" t="s">
        <v>40</v>
      </c>
      <c r="AE981" t="s">
        <v>60</v>
      </c>
      <c r="AF981" t="s">
        <v>40</v>
      </c>
      <c r="AG981">
        <v>0</v>
      </c>
      <c r="AH981" t="s">
        <v>70</v>
      </c>
    </row>
    <row r="982" spans="1:34" x14ac:dyDescent="0.3">
      <c r="A982" t="s">
        <v>1597</v>
      </c>
      <c r="B982" t="s">
        <v>383</v>
      </c>
      <c r="C982" t="s">
        <v>73</v>
      </c>
      <c r="D982" t="s">
        <v>90</v>
      </c>
      <c r="E982" s="1">
        <v>45715</v>
      </c>
      <c r="F982" s="1">
        <v>45745</v>
      </c>
      <c r="G982" t="s">
        <v>64</v>
      </c>
      <c r="H982">
        <v>3516</v>
      </c>
      <c r="I982" t="s">
        <v>212</v>
      </c>
      <c r="J982" t="b">
        <v>0</v>
      </c>
      <c r="K982">
        <v>30</v>
      </c>
      <c r="L982">
        <v>3</v>
      </c>
      <c r="M982">
        <v>2025</v>
      </c>
      <c r="N982">
        <v>5</v>
      </c>
      <c r="O982">
        <v>2</v>
      </c>
      <c r="P982">
        <v>2025</v>
      </c>
      <c r="Q982">
        <v>3</v>
      </c>
      <c r="R982" t="s">
        <v>66</v>
      </c>
      <c r="S982" t="s">
        <v>55</v>
      </c>
      <c r="T982" t="s">
        <v>42</v>
      </c>
      <c r="U982" t="s">
        <v>40</v>
      </c>
      <c r="V982" t="s">
        <v>74</v>
      </c>
      <c r="W982" t="s">
        <v>75</v>
      </c>
      <c r="X982" t="s">
        <v>76</v>
      </c>
      <c r="Y982">
        <v>75</v>
      </c>
      <c r="Z982" t="s">
        <v>93</v>
      </c>
      <c r="AA982" t="s">
        <v>94</v>
      </c>
      <c r="AB982" s="1">
        <v>45745</v>
      </c>
      <c r="AC982" t="s">
        <v>66</v>
      </c>
      <c r="AD982" t="s">
        <v>40</v>
      </c>
      <c r="AE982" t="s">
        <v>60</v>
      </c>
      <c r="AF982" t="s">
        <v>40</v>
      </c>
      <c r="AG982">
        <v>0</v>
      </c>
      <c r="AH982" t="s">
        <v>70</v>
      </c>
    </row>
    <row r="983" spans="1:34" x14ac:dyDescent="0.3">
      <c r="A983" t="s">
        <v>1598</v>
      </c>
      <c r="B983" t="s">
        <v>1599</v>
      </c>
      <c r="C983" t="s">
        <v>146</v>
      </c>
      <c r="D983" t="s">
        <v>53</v>
      </c>
      <c r="E983" s="1">
        <v>45988</v>
      </c>
      <c r="F983" s="1">
        <v>46002</v>
      </c>
      <c r="G983" t="s">
        <v>41</v>
      </c>
      <c r="H983">
        <v>5096</v>
      </c>
      <c r="I983" t="s">
        <v>39</v>
      </c>
      <c r="J983" t="b">
        <v>0</v>
      </c>
      <c r="K983">
        <v>14</v>
      </c>
      <c r="L983">
        <v>12</v>
      </c>
      <c r="M983">
        <v>2025</v>
      </c>
      <c r="N983">
        <v>3</v>
      </c>
      <c r="O983">
        <v>11</v>
      </c>
      <c r="P983">
        <v>2025</v>
      </c>
      <c r="Q983">
        <v>3</v>
      </c>
      <c r="R983" t="s">
        <v>40</v>
      </c>
      <c r="S983" t="s">
        <v>45</v>
      </c>
      <c r="T983" t="s">
        <v>42</v>
      </c>
      <c r="U983" t="s">
        <v>66</v>
      </c>
      <c r="V983" t="s">
        <v>147</v>
      </c>
      <c r="W983" t="s">
        <v>148</v>
      </c>
      <c r="X983" t="s">
        <v>45</v>
      </c>
      <c r="Y983">
        <v>160</v>
      </c>
      <c r="Z983" t="s">
        <v>58</v>
      </c>
      <c r="AA983" t="s">
        <v>59</v>
      </c>
      <c r="AB983" s="1">
        <v>46002</v>
      </c>
      <c r="AC983" t="s">
        <v>40</v>
      </c>
      <c r="AD983" t="s">
        <v>40</v>
      </c>
      <c r="AE983" t="s">
        <v>69</v>
      </c>
      <c r="AF983" t="s">
        <v>40</v>
      </c>
      <c r="AG983">
        <v>0</v>
      </c>
      <c r="AH983" t="s">
        <v>70</v>
      </c>
    </row>
    <row r="984" spans="1:34" x14ac:dyDescent="0.3">
      <c r="A984" t="s">
        <v>1600</v>
      </c>
      <c r="B984" t="s">
        <v>1012</v>
      </c>
      <c r="C984" t="s">
        <v>97</v>
      </c>
      <c r="D984" t="s">
        <v>80</v>
      </c>
      <c r="E984" s="1">
        <v>45665</v>
      </c>
      <c r="F984" s="1">
        <v>45815</v>
      </c>
      <c r="G984" t="s">
        <v>81</v>
      </c>
      <c r="H984">
        <v>10685</v>
      </c>
      <c r="I984" t="s">
        <v>54</v>
      </c>
      <c r="J984" t="b">
        <v>0</v>
      </c>
      <c r="K984">
        <v>150</v>
      </c>
      <c r="L984">
        <v>6</v>
      </c>
      <c r="M984">
        <v>2025</v>
      </c>
      <c r="N984">
        <v>5</v>
      </c>
      <c r="O984">
        <v>1</v>
      </c>
      <c r="P984">
        <v>2025</v>
      </c>
      <c r="Q984">
        <v>2</v>
      </c>
      <c r="R984" t="s">
        <v>66</v>
      </c>
      <c r="S984" t="s">
        <v>55</v>
      </c>
      <c r="T984" t="s">
        <v>68</v>
      </c>
      <c r="U984" t="s">
        <v>40</v>
      </c>
      <c r="V984" t="s">
        <v>98</v>
      </c>
      <c r="W984" t="s">
        <v>99</v>
      </c>
      <c r="X984" t="s">
        <v>76</v>
      </c>
      <c r="Y984">
        <v>80</v>
      </c>
      <c r="Z984" t="s">
        <v>84</v>
      </c>
      <c r="AA984" t="s">
        <v>85</v>
      </c>
      <c r="AB984" s="1">
        <v>45815</v>
      </c>
      <c r="AC984" t="s">
        <v>66</v>
      </c>
      <c r="AD984" t="s">
        <v>40</v>
      </c>
      <c r="AE984" t="s">
        <v>60</v>
      </c>
      <c r="AF984" t="s">
        <v>40</v>
      </c>
      <c r="AG984">
        <v>1</v>
      </c>
      <c r="AH984" t="s">
        <v>49</v>
      </c>
    </row>
    <row r="985" spans="1:34" x14ac:dyDescent="0.3">
      <c r="A985" t="s">
        <v>1601</v>
      </c>
      <c r="B985" t="s">
        <v>1193</v>
      </c>
      <c r="C985" t="s">
        <v>169</v>
      </c>
      <c r="D985" t="s">
        <v>53</v>
      </c>
      <c r="E985" s="1">
        <v>45858</v>
      </c>
      <c r="F985" s="1">
        <v>45872</v>
      </c>
      <c r="G985" t="s">
        <v>81</v>
      </c>
      <c r="H985">
        <v>10199</v>
      </c>
      <c r="I985" t="s">
        <v>65</v>
      </c>
      <c r="J985" t="b">
        <v>0</v>
      </c>
      <c r="K985">
        <v>14</v>
      </c>
      <c r="L985">
        <v>8</v>
      </c>
      <c r="M985">
        <v>2025</v>
      </c>
      <c r="N985">
        <v>6</v>
      </c>
      <c r="O985">
        <v>7</v>
      </c>
      <c r="P985">
        <v>2025</v>
      </c>
      <c r="Q985">
        <v>6</v>
      </c>
      <c r="R985" t="s">
        <v>66</v>
      </c>
      <c r="S985" t="s">
        <v>55</v>
      </c>
      <c r="T985" t="s">
        <v>42</v>
      </c>
      <c r="U985" t="s">
        <v>66</v>
      </c>
      <c r="V985" t="s">
        <v>170</v>
      </c>
      <c r="W985" t="s">
        <v>171</v>
      </c>
      <c r="X985" t="s">
        <v>126</v>
      </c>
      <c r="Y985">
        <v>90</v>
      </c>
      <c r="Z985" t="s">
        <v>58</v>
      </c>
      <c r="AA985" t="s">
        <v>59</v>
      </c>
      <c r="AB985" s="1">
        <v>45872</v>
      </c>
      <c r="AC985" t="s">
        <v>66</v>
      </c>
      <c r="AD985" t="s">
        <v>40</v>
      </c>
      <c r="AE985" t="s">
        <v>86</v>
      </c>
      <c r="AF985" t="s">
        <v>40</v>
      </c>
      <c r="AG985">
        <v>0</v>
      </c>
      <c r="AH985" t="s">
        <v>70</v>
      </c>
    </row>
    <row r="986" spans="1:34" x14ac:dyDescent="0.3">
      <c r="A986" t="s">
        <v>1602</v>
      </c>
      <c r="B986" t="s">
        <v>141</v>
      </c>
      <c r="C986" t="s">
        <v>73</v>
      </c>
      <c r="D986" t="s">
        <v>90</v>
      </c>
      <c r="E986" s="1">
        <v>45773</v>
      </c>
      <c r="F986" s="1">
        <v>45774</v>
      </c>
      <c r="G986" t="s">
        <v>64</v>
      </c>
      <c r="H986">
        <v>2609</v>
      </c>
      <c r="I986" t="s">
        <v>39</v>
      </c>
      <c r="J986" t="b">
        <v>0</v>
      </c>
      <c r="K986">
        <v>1</v>
      </c>
      <c r="L986">
        <v>4</v>
      </c>
      <c r="M986">
        <v>2025</v>
      </c>
      <c r="N986">
        <v>6</v>
      </c>
      <c r="O986">
        <v>4</v>
      </c>
      <c r="P986">
        <v>2025</v>
      </c>
      <c r="Q986">
        <v>5</v>
      </c>
      <c r="R986" t="s">
        <v>66</v>
      </c>
      <c r="S986" t="s">
        <v>41</v>
      </c>
      <c r="T986" t="s">
        <v>42</v>
      </c>
      <c r="U986" t="s">
        <v>40</v>
      </c>
      <c r="V986" t="s">
        <v>74</v>
      </c>
      <c r="W986" t="s">
        <v>75</v>
      </c>
      <c r="X986" t="s">
        <v>76</v>
      </c>
      <c r="Y986">
        <v>75</v>
      </c>
      <c r="Z986" t="s">
        <v>93</v>
      </c>
      <c r="AA986" t="s">
        <v>94</v>
      </c>
      <c r="AB986" s="1">
        <v>45774</v>
      </c>
      <c r="AC986" t="s">
        <v>66</v>
      </c>
      <c r="AD986" t="s">
        <v>40</v>
      </c>
      <c r="AE986" t="s">
        <v>69</v>
      </c>
      <c r="AF986" t="s">
        <v>40</v>
      </c>
      <c r="AG986">
        <v>0</v>
      </c>
      <c r="AH986" t="s">
        <v>100</v>
      </c>
    </row>
    <row r="987" spans="1:34" x14ac:dyDescent="0.3">
      <c r="A987" t="s">
        <v>1603</v>
      </c>
      <c r="B987" t="s">
        <v>112</v>
      </c>
      <c r="C987" t="s">
        <v>79</v>
      </c>
      <c r="D987" t="s">
        <v>104</v>
      </c>
      <c r="E987" s="1">
        <v>45713</v>
      </c>
      <c r="F987" s="1">
        <v>45743</v>
      </c>
      <c r="G987" t="s">
        <v>38</v>
      </c>
      <c r="H987">
        <v>4533</v>
      </c>
      <c r="I987" t="s">
        <v>54</v>
      </c>
      <c r="J987" t="b">
        <v>0</v>
      </c>
      <c r="K987">
        <v>30</v>
      </c>
      <c r="L987">
        <v>3</v>
      </c>
      <c r="M987">
        <v>2025</v>
      </c>
      <c r="N987">
        <v>3</v>
      </c>
      <c r="O987">
        <v>2</v>
      </c>
      <c r="P987">
        <v>2025</v>
      </c>
      <c r="Q987">
        <v>1</v>
      </c>
      <c r="R987" t="s">
        <v>40</v>
      </c>
      <c r="S987" t="s">
        <v>55</v>
      </c>
      <c r="T987" t="s">
        <v>113</v>
      </c>
      <c r="U987" t="s">
        <v>66</v>
      </c>
      <c r="V987" t="s">
        <v>82</v>
      </c>
      <c r="W987" t="s">
        <v>83</v>
      </c>
      <c r="X987" t="s">
        <v>76</v>
      </c>
      <c r="Y987">
        <v>100</v>
      </c>
      <c r="Z987" t="s">
        <v>107</v>
      </c>
      <c r="AA987" t="s">
        <v>108</v>
      </c>
      <c r="AB987" s="1">
        <v>45743</v>
      </c>
      <c r="AC987" t="s">
        <v>40</v>
      </c>
      <c r="AD987" t="s">
        <v>40</v>
      </c>
      <c r="AE987" t="s">
        <v>60</v>
      </c>
      <c r="AF987" t="s">
        <v>40</v>
      </c>
      <c r="AG987">
        <v>1</v>
      </c>
      <c r="AH987" t="s">
        <v>70</v>
      </c>
    </row>
    <row r="988" spans="1:34" x14ac:dyDescent="0.3">
      <c r="A988" t="s">
        <v>1604</v>
      </c>
      <c r="B988" t="s">
        <v>1067</v>
      </c>
      <c r="C988" t="s">
        <v>79</v>
      </c>
      <c r="D988" t="s">
        <v>90</v>
      </c>
      <c r="E988" s="1">
        <v>46169</v>
      </c>
      <c r="F988" s="1">
        <v>46319</v>
      </c>
      <c r="G988" t="s">
        <v>41</v>
      </c>
      <c r="H988">
        <v>8087</v>
      </c>
      <c r="I988" t="s">
        <v>39</v>
      </c>
      <c r="J988" t="b">
        <v>0</v>
      </c>
      <c r="K988">
        <v>150</v>
      </c>
      <c r="L988">
        <v>10</v>
      </c>
      <c r="M988">
        <v>2026</v>
      </c>
      <c r="N988">
        <v>5</v>
      </c>
      <c r="O988">
        <v>5</v>
      </c>
      <c r="P988">
        <v>2026</v>
      </c>
      <c r="Q988">
        <v>2</v>
      </c>
      <c r="R988" t="s">
        <v>66</v>
      </c>
      <c r="S988" t="s">
        <v>45</v>
      </c>
      <c r="T988" t="s">
        <v>48</v>
      </c>
      <c r="U988" t="s">
        <v>40</v>
      </c>
      <c r="V988" t="s">
        <v>82</v>
      </c>
      <c r="W988" t="s">
        <v>83</v>
      </c>
      <c r="X988" t="s">
        <v>76</v>
      </c>
      <c r="Y988">
        <v>100</v>
      </c>
      <c r="Z988" t="s">
        <v>93</v>
      </c>
      <c r="AA988" t="s">
        <v>94</v>
      </c>
      <c r="AB988" s="1">
        <v>46319</v>
      </c>
      <c r="AC988" t="s">
        <v>66</v>
      </c>
      <c r="AD988" t="s">
        <v>40</v>
      </c>
      <c r="AE988" t="s">
        <v>60</v>
      </c>
      <c r="AF988" t="s">
        <v>40</v>
      </c>
      <c r="AG988">
        <v>0</v>
      </c>
      <c r="AH988" t="s">
        <v>49</v>
      </c>
    </row>
    <row r="989" spans="1:34" x14ac:dyDescent="0.3">
      <c r="A989" t="s">
        <v>1605</v>
      </c>
      <c r="B989" t="s">
        <v>1606</v>
      </c>
      <c r="C989" t="s">
        <v>129</v>
      </c>
      <c r="D989" t="s">
        <v>90</v>
      </c>
      <c r="E989" s="1">
        <v>45737</v>
      </c>
      <c r="F989" s="1">
        <v>45767</v>
      </c>
      <c r="G989" t="s">
        <v>64</v>
      </c>
      <c r="H989">
        <v>3468</v>
      </c>
      <c r="I989" t="s">
        <v>54</v>
      </c>
      <c r="J989" t="b">
        <v>0</v>
      </c>
      <c r="K989">
        <v>30</v>
      </c>
      <c r="L989">
        <v>4</v>
      </c>
      <c r="M989">
        <v>2025</v>
      </c>
      <c r="N989">
        <v>6</v>
      </c>
      <c r="O989">
        <v>3</v>
      </c>
      <c r="P989">
        <v>2025</v>
      </c>
      <c r="Q989">
        <v>4</v>
      </c>
      <c r="R989" t="s">
        <v>66</v>
      </c>
      <c r="S989" t="s">
        <v>55</v>
      </c>
      <c r="T989" t="s">
        <v>139</v>
      </c>
      <c r="U989" t="s">
        <v>66</v>
      </c>
      <c r="V989" t="s">
        <v>131</v>
      </c>
      <c r="W989" t="s">
        <v>132</v>
      </c>
      <c r="X989" t="s">
        <v>45</v>
      </c>
      <c r="Y989">
        <v>110</v>
      </c>
      <c r="Z989" t="s">
        <v>93</v>
      </c>
      <c r="AA989" t="s">
        <v>94</v>
      </c>
      <c r="AB989" s="1">
        <v>45767</v>
      </c>
      <c r="AC989" t="s">
        <v>66</v>
      </c>
      <c r="AD989" t="s">
        <v>40</v>
      </c>
      <c r="AE989" t="s">
        <v>69</v>
      </c>
      <c r="AF989" t="s">
        <v>40</v>
      </c>
      <c r="AG989">
        <v>1</v>
      </c>
      <c r="AH989" t="s">
        <v>70</v>
      </c>
    </row>
    <row r="990" spans="1:34" x14ac:dyDescent="0.3">
      <c r="A990" t="s">
        <v>1607</v>
      </c>
      <c r="B990" t="s">
        <v>640</v>
      </c>
      <c r="C990" t="s">
        <v>103</v>
      </c>
      <c r="D990" t="s">
        <v>37</v>
      </c>
      <c r="E990" s="1">
        <v>46239</v>
      </c>
      <c r="F990" s="1">
        <v>46389</v>
      </c>
      <c r="G990" t="s">
        <v>64</v>
      </c>
      <c r="H990">
        <v>2953</v>
      </c>
      <c r="I990" t="s">
        <v>39</v>
      </c>
      <c r="J990" t="b">
        <v>0</v>
      </c>
      <c r="K990">
        <v>150</v>
      </c>
      <c r="L990">
        <v>1</v>
      </c>
      <c r="M990">
        <v>2027</v>
      </c>
      <c r="N990">
        <v>5</v>
      </c>
      <c r="O990">
        <v>8</v>
      </c>
      <c r="P990">
        <v>2026</v>
      </c>
      <c r="Q990">
        <v>2</v>
      </c>
      <c r="R990" t="s">
        <v>66</v>
      </c>
      <c r="S990" t="s">
        <v>55</v>
      </c>
      <c r="T990" t="s">
        <v>139</v>
      </c>
      <c r="U990" t="s">
        <v>66</v>
      </c>
      <c r="V990" t="s">
        <v>105</v>
      </c>
      <c r="W990" t="s">
        <v>106</v>
      </c>
      <c r="X990" t="s">
        <v>45</v>
      </c>
      <c r="Y990">
        <v>140</v>
      </c>
      <c r="Z990" t="s">
        <v>46</v>
      </c>
      <c r="AA990" t="s">
        <v>47</v>
      </c>
      <c r="AB990" s="1"/>
      <c r="AC990" t="s">
        <v>48</v>
      </c>
      <c r="AD990" t="s">
        <v>48</v>
      </c>
      <c r="AE990" t="s">
        <v>48</v>
      </c>
      <c r="AF990" t="s">
        <v>48</v>
      </c>
      <c r="AG990">
        <v>0</v>
      </c>
      <c r="AH990" t="s">
        <v>49</v>
      </c>
    </row>
    <row r="991" spans="1:34" x14ac:dyDescent="0.3">
      <c r="A991" t="s">
        <v>1608</v>
      </c>
      <c r="B991" t="s">
        <v>574</v>
      </c>
      <c r="C991" t="s">
        <v>103</v>
      </c>
      <c r="D991" t="s">
        <v>37</v>
      </c>
      <c r="E991" s="1">
        <v>45680</v>
      </c>
      <c r="F991" s="1">
        <v>45687</v>
      </c>
      <c r="G991" t="s">
        <v>64</v>
      </c>
      <c r="H991">
        <v>2818</v>
      </c>
      <c r="I991" t="s">
        <v>65</v>
      </c>
      <c r="J991" t="b">
        <v>0</v>
      </c>
      <c r="K991">
        <v>7</v>
      </c>
      <c r="L991">
        <v>1</v>
      </c>
      <c r="M991">
        <v>2025</v>
      </c>
      <c r="N991">
        <v>3</v>
      </c>
      <c r="O991">
        <v>1</v>
      </c>
      <c r="P991">
        <v>2025</v>
      </c>
      <c r="Q991">
        <v>3</v>
      </c>
      <c r="R991" t="s">
        <v>40</v>
      </c>
      <c r="S991" t="s">
        <v>55</v>
      </c>
      <c r="T991" t="s">
        <v>42</v>
      </c>
      <c r="U991" t="s">
        <v>40</v>
      </c>
      <c r="V991" t="s">
        <v>105</v>
      </c>
      <c r="W991" t="s">
        <v>106</v>
      </c>
      <c r="X991" t="s">
        <v>45</v>
      </c>
      <c r="Y991">
        <v>140</v>
      </c>
      <c r="Z991" t="s">
        <v>46</v>
      </c>
      <c r="AA991" t="s">
        <v>47</v>
      </c>
      <c r="AB991" s="1">
        <v>45687</v>
      </c>
      <c r="AC991" t="s">
        <v>40</v>
      </c>
      <c r="AD991" t="s">
        <v>40</v>
      </c>
      <c r="AE991" t="s">
        <v>86</v>
      </c>
      <c r="AF991" t="s">
        <v>40</v>
      </c>
      <c r="AG991">
        <v>0</v>
      </c>
      <c r="AH991" t="s">
        <v>100</v>
      </c>
    </row>
    <row r="992" spans="1:34" x14ac:dyDescent="0.3">
      <c r="A992" t="s">
        <v>1609</v>
      </c>
      <c r="B992" t="s">
        <v>725</v>
      </c>
      <c r="C992" t="s">
        <v>36</v>
      </c>
      <c r="D992" t="s">
        <v>37</v>
      </c>
      <c r="E992" s="1">
        <v>46356</v>
      </c>
      <c r="F992" s="1">
        <v>46416</v>
      </c>
      <c r="G992" t="s">
        <v>41</v>
      </c>
      <c r="H992">
        <v>7968</v>
      </c>
      <c r="I992" t="s">
        <v>39</v>
      </c>
      <c r="J992" t="b">
        <v>0</v>
      </c>
      <c r="K992">
        <v>60</v>
      </c>
      <c r="L992">
        <v>1</v>
      </c>
      <c r="M992">
        <v>2027</v>
      </c>
      <c r="N992">
        <v>4</v>
      </c>
      <c r="O992">
        <v>11</v>
      </c>
      <c r="P992">
        <v>2026</v>
      </c>
      <c r="Q992">
        <v>0</v>
      </c>
      <c r="R992" t="s">
        <v>40</v>
      </c>
      <c r="S992" t="s">
        <v>55</v>
      </c>
      <c r="T992" t="s">
        <v>42</v>
      </c>
      <c r="U992" t="s">
        <v>40</v>
      </c>
      <c r="V992" t="s">
        <v>43</v>
      </c>
      <c r="W992" t="s">
        <v>44</v>
      </c>
      <c r="X992" t="s">
        <v>45</v>
      </c>
      <c r="Y992">
        <v>150</v>
      </c>
      <c r="Z992" t="s">
        <v>46</v>
      </c>
      <c r="AA992" t="s">
        <v>47</v>
      </c>
      <c r="AB992" s="1"/>
      <c r="AC992" t="s">
        <v>48</v>
      </c>
      <c r="AD992" t="s">
        <v>48</v>
      </c>
      <c r="AE992" t="s">
        <v>48</v>
      </c>
      <c r="AF992" t="s">
        <v>48</v>
      </c>
      <c r="AG992">
        <v>0</v>
      </c>
      <c r="AH992" t="s">
        <v>61</v>
      </c>
    </row>
    <row r="993" spans="1:34" x14ac:dyDescent="0.3">
      <c r="A993" t="s">
        <v>1610</v>
      </c>
      <c r="B993" t="s">
        <v>870</v>
      </c>
      <c r="C993" t="s">
        <v>169</v>
      </c>
      <c r="D993" t="s">
        <v>53</v>
      </c>
      <c r="E993" s="1">
        <v>45681</v>
      </c>
      <c r="F993" s="1">
        <v>45741</v>
      </c>
      <c r="G993" t="s">
        <v>41</v>
      </c>
      <c r="H993">
        <v>5266</v>
      </c>
      <c r="I993" t="s">
        <v>39</v>
      </c>
      <c r="J993" t="b">
        <v>0</v>
      </c>
      <c r="K993">
        <v>60</v>
      </c>
      <c r="L993">
        <v>3</v>
      </c>
      <c r="M993">
        <v>2025</v>
      </c>
      <c r="N993">
        <v>1</v>
      </c>
      <c r="O993">
        <v>1</v>
      </c>
      <c r="P993">
        <v>2025</v>
      </c>
      <c r="Q993">
        <v>4</v>
      </c>
      <c r="R993" t="s">
        <v>40</v>
      </c>
      <c r="S993" t="s">
        <v>45</v>
      </c>
      <c r="T993" t="s">
        <v>113</v>
      </c>
      <c r="U993" t="s">
        <v>40</v>
      </c>
      <c r="V993" t="s">
        <v>170</v>
      </c>
      <c r="W993" t="s">
        <v>171</v>
      </c>
      <c r="X993" t="s">
        <v>126</v>
      </c>
      <c r="Y993">
        <v>90</v>
      </c>
      <c r="Z993" t="s">
        <v>58</v>
      </c>
      <c r="AA993" t="s">
        <v>59</v>
      </c>
      <c r="AB993" s="1">
        <v>45741</v>
      </c>
      <c r="AC993" t="s">
        <v>40</v>
      </c>
      <c r="AD993" t="s">
        <v>40</v>
      </c>
      <c r="AE993" t="s">
        <v>60</v>
      </c>
      <c r="AF993" t="s">
        <v>40</v>
      </c>
      <c r="AG993">
        <v>0</v>
      </c>
      <c r="AH993" t="s">
        <v>61</v>
      </c>
    </row>
    <row r="994" spans="1:34" x14ac:dyDescent="0.3">
      <c r="A994" t="s">
        <v>1611</v>
      </c>
      <c r="B994" t="s">
        <v>195</v>
      </c>
      <c r="C994" t="s">
        <v>122</v>
      </c>
      <c r="D994" t="s">
        <v>104</v>
      </c>
      <c r="E994" s="1">
        <v>45837</v>
      </c>
      <c r="F994" s="1">
        <v>46057</v>
      </c>
      <c r="G994" t="s">
        <v>64</v>
      </c>
      <c r="H994">
        <v>4164</v>
      </c>
      <c r="I994" t="s">
        <v>39</v>
      </c>
      <c r="J994" t="b">
        <v>0</v>
      </c>
      <c r="K994">
        <v>220</v>
      </c>
      <c r="L994">
        <v>2</v>
      </c>
      <c r="M994">
        <v>2026</v>
      </c>
      <c r="N994">
        <v>2</v>
      </c>
      <c r="O994">
        <v>6</v>
      </c>
      <c r="P994">
        <v>2025</v>
      </c>
      <c r="Q994">
        <v>6</v>
      </c>
      <c r="R994" t="s">
        <v>40</v>
      </c>
      <c r="S994" t="s">
        <v>55</v>
      </c>
      <c r="T994" t="s">
        <v>42</v>
      </c>
      <c r="U994" t="s">
        <v>40</v>
      </c>
      <c r="V994" t="s">
        <v>124</v>
      </c>
      <c r="W994" t="s">
        <v>125</v>
      </c>
      <c r="X994" t="s">
        <v>126</v>
      </c>
      <c r="Y994">
        <v>85</v>
      </c>
      <c r="Z994" t="s">
        <v>107</v>
      </c>
      <c r="AA994" t="s">
        <v>108</v>
      </c>
      <c r="AB994" s="1">
        <v>46057</v>
      </c>
      <c r="AC994" t="s">
        <v>40</v>
      </c>
      <c r="AD994" t="s">
        <v>40</v>
      </c>
      <c r="AE994" t="s">
        <v>60</v>
      </c>
      <c r="AF994" t="s">
        <v>40</v>
      </c>
      <c r="AG994">
        <v>0</v>
      </c>
      <c r="AH994" t="s">
        <v>142</v>
      </c>
    </row>
    <row r="995" spans="1:34" x14ac:dyDescent="0.3">
      <c r="A995" t="s">
        <v>1612</v>
      </c>
      <c r="B995" t="s">
        <v>519</v>
      </c>
      <c r="C995" t="s">
        <v>73</v>
      </c>
      <c r="D995" t="s">
        <v>90</v>
      </c>
      <c r="E995" s="1">
        <v>46116</v>
      </c>
      <c r="F995" s="1">
        <v>46216</v>
      </c>
      <c r="G995" t="s">
        <v>64</v>
      </c>
      <c r="H995">
        <v>3910</v>
      </c>
      <c r="I995" t="s">
        <v>65</v>
      </c>
      <c r="J995" t="b">
        <v>0</v>
      </c>
      <c r="K995">
        <v>100</v>
      </c>
      <c r="L995">
        <v>7</v>
      </c>
      <c r="M995">
        <v>2026</v>
      </c>
      <c r="N995">
        <v>0</v>
      </c>
      <c r="O995">
        <v>4</v>
      </c>
      <c r="P995">
        <v>2026</v>
      </c>
      <c r="Q995">
        <v>5</v>
      </c>
      <c r="R995" t="s">
        <v>40</v>
      </c>
      <c r="S995" t="s">
        <v>41</v>
      </c>
      <c r="T995" t="s">
        <v>42</v>
      </c>
      <c r="U995" t="s">
        <v>40</v>
      </c>
      <c r="V995" t="s">
        <v>74</v>
      </c>
      <c r="W995" t="s">
        <v>75</v>
      </c>
      <c r="X995" t="s">
        <v>76</v>
      </c>
      <c r="Y995">
        <v>75</v>
      </c>
      <c r="Z995" t="s">
        <v>93</v>
      </c>
      <c r="AA995" t="s">
        <v>94</v>
      </c>
      <c r="AB995" s="1">
        <v>46216</v>
      </c>
      <c r="AC995" t="s">
        <v>40</v>
      </c>
      <c r="AD995" t="s">
        <v>40</v>
      </c>
      <c r="AE995" t="s">
        <v>86</v>
      </c>
      <c r="AF995" t="s">
        <v>40</v>
      </c>
      <c r="AG995">
        <v>0</v>
      </c>
      <c r="AH995" t="s">
        <v>49</v>
      </c>
    </row>
    <row r="996" spans="1:34" x14ac:dyDescent="0.3">
      <c r="A996" t="s">
        <v>1613</v>
      </c>
      <c r="B996" t="s">
        <v>1614</v>
      </c>
      <c r="C996" t="s">
        <v>169</v>
      </c>
      <c r="D996" t="s">
        <v>53</v>
      </c>
      <c r="E996" s="1">
        <v>45748</v>
      </c>
      <c r="F996" s="1">
        <v>45778</v>
      </c>
      <c r="G996" t="s">
        <v>41</v>
      </c>
      <c r="H996">
        <v>7697</v>
      </c>
      <c r="I996" t="s">
        <v>39</v>
      </c>
      <c r="J996" t="b">
        <v>0</v>
      </c>
      <c r="K996">
        <v>30</v>
      </c>
      <c r="L996">
        <v>5</v>
      </c>
      <c r="M996">
        <v>2025</v>
      </c>
      <c r="N996">
        <v>3</v>
      </c>
      <c r="O996">
        <v>4</v>
      </c>
      <c r="P996">
        <v>2025</v>
      </c>
      <c r="Q996">
        <v>1</v>
      </c>
      <c r="R996" t="s">
        <v>40</v>
      </c>
      <c r="S996" t="s">
        <v>45</v>
      </c>
      <c r="T996" t="s">
        <v>48</v>
      </c>
      <c r="U996" t="s">
        <v>40</v>
      </c>
      <c r="V996" t="s">
        <v>170</v>
      </c>
      <c r="W996" t="s">
        <v>171</v>
      </c>
      <c r="X996" t="s">
        <v>126</v>
      </c>
      <c r="Y996">
        <v>90</v>
      </c>
      <c r="Z996" t="s">
        <v>58</v>
      </c>
      <c r="AA996" t="s">
        <v>59</v>
      </c>
      <c r="AB996" s="1">
        <v>45778</v>
      </c>
      <c r="AC996" t="s">
        <v>40</v>
      </c>
      <c r="AD996" t="s">
        <v>40</v>
      </c>
      <c r="AE996" t="s">
        <v>69</v>
      </c>
      <c r="AF996" t="s">
        <v>40</v>
      </c>
      <c r="AG996">
        <v>0</v>
      </c>
      <c r="AH996" t="s">
        <v>70</v>
      </c>
    </row>
    <row r="997" spans="1:34" x14ac:dyDescent="0.3">
      <c r="A997" t="s">
        <v>1615</v>
      </c>
      <c r="B997" t="s">
        <v>1560</v>
      </c>
      <c r="C997" t="s">
        <v>89</v>
      </c>
      <c r="D997" t="s">
        <v>37</v>
      </c>
      <c r="E997" s="1">
        <v>46013</v>
      </c>
      <c r="F997" s="1">
        <v>46027</v>
      </c>
      <c r="G997" t="s">
        <v>41</v>
      </c>
      <c r="H997">
        <v>5604</v>
      </c>
      <c r="I997" t="s">
        <v>39</v>
      </c>
      <c r="J997" t="b">
        <v>0</v>
      </c>
      <c r="K997">
        <v>14</v>
      </c>
      <c r="L997">
        <v>1</v>
      </c>
      <c r="M997">
        <v>2026</v>
      </c>
      <c r="N997">
        <v>0</v>
      </c>
      <c r="O997">
        <v>12</v>
      </c>
      <c r="P997">
        <v>2025</v>
      </c>
      <c r="Q997">
        <v>0</v>
      </c>
      <c r="R997" t="s">
        <v>40</v>
      </c>
      <c r="S997" t="s">
        <v>41</v>
      </c>
      <c r="T997" t="s">
        <v>113</v>
      </c>
      <c r="U997" t="s">
        <v>40</v>
      </c>
      <c r="V997" t="s">
        <v>91</v>
      </c>
      <c r="W997" t="s">
        <v>92</v>
      </c>
      <c r="X997" t="s">
        <v>76</v>
      </c>
      <c r="Y997">
        <v>65</v>
      </c>
      <c r="Z997" t="s">
        <v>46</v>
      </c>
      <c r="AA997" t="s">
        <v>47</v>
      </c>
      <c r="AB997" s="1">
        <v>46027</v>
      </c>
      <c r="AC997" t="s">
        <v>40</v>
      </c>
      <c r="AD997" t="s">
        <v>40</v>
      </c>
      <c r="AE997" t="s">
        <v>86</v>
      </c>
      <c r="AF997" t="s">
        <v>40</v>
      </c>
      <c r="AG997">
        <v>0</v>
      </c>
      <c r="AH997" t="s">
        <v>70</v>
      </c>
    </row>
    <row r="998" spans="1:34" x14ac:dyDescent="0.3">
      <c r="A998" t="s">
        <v>1616</v>
      </c>
      <c r="B998" t="s">
        <v>533</v>
      </c>
      <c r="C998" t="s">
        <v>103</v>
      </c>
      <c r="D998" t="s">
        <v>53</v>
      </c>
      <c r="E998" s="1">
        <v>46100</v>
      </c>
      <c r="F998" s="1">
        <v>46103</v>
      </c>
      <c r="G998" t="s">
        <v>81</v>
      </c>
      <c r="H998">
        <v>11787</v>
      </c>
      <c r="I998" t="s">
        <v>65</v>
      </c>
      <c r="J998" t="b">
        <v>0</v>
      </c>
      <c r="K998">
        <v>3</v>
      </c>
      <c r="L998">
        <v>3</v>
      </c>
      <c r="M998">
        <v>2026</v>
      </c>
      <c r="N998">
        <v>6</v>
      </c>
      <c r="O998">
        <v>3</v>
      </c>
      <c r="P998">
        <v>2026</v>
      </c>
      <c r="Q998">
        <v>3</v>
      </c>
      <c r="R998" t="s">
        <v>66</v>
      </c>
      <c r="S998" t="s">
        <v>67</v>
      </c>
      <c r="T998" t="s">
        <v>42</v>
      </c>
      <c r="U998" t="s">
        <v>40</v>
      </c>
      <c r="V998" t="s">
        <v>105</v>
      </c>
      <c r="W998" t="s">
        <v>106</v>
      </c>
      <c r="X998" t="s">
        <v>45</v>
      </c>
      <c r="Y998">
        <v>140</v>
      </c>
      <c r="Z998" t="s">
        <v>58</v>
      </c>
      <c r="AA998" t="s">
        <v>59</v>
      </c>
      <c r="AB998" s="1">
        <v>46103</v>
      </c>
      <c r="AC998" t="s">
        <v>66</v>
      </c>
      <c r="AD998" t="s">
        <v>40</v>
      </c>
      <c r="AE998" t="s">
        <v>60</v>
      </c>
      <c r="AF998" t="s">
        <v>40</v>
      </c>
      <c r="AG998">
        <v>0</v>
      </c>
      <c r="AH998" t="s">
        <v>100</v>
      </c>
    </row>
    <row r="999" spans="1:34" x14ac:dyDescent="0.3">
      <c r="A999" t="s">
        <v>1617</v>
      </c>
      <c r="B999" t="s">
        <v>1618</v>
      </c>
      <c r="C999" t="s">
        <v>79</v>
      </c>
      <c r="D999" t="s">
        <v>80</v>
      </c>
      <c r="E999" s="1">
        <v>46298</v>
      </c>
      <c r="F999" s="1">
        <v>46301</v>
      </c>
      <c r="G999" t="s">
        <v>81</v>
      </c>
      <c r="H999">
        <v>11199</v>
      </c>
      <c r="I999" t="s">
        <v>65</v>
      </c>
      <c r="J999" t="b">
        <v>0</v>
      </c>
      <c r="K999">
        <v>3</v>
      </c>
      <c r="L999">
        <v>10</v>
      </c>
      <c r="M999">
        <v>2026</v>
      </c>
      <c r="N999">
        <v>1</v>
      </c>
      <c r="O999">
        <v>10</v>
      </c>
      <c r="P999">
        <v>2026</v>
      </c>
      <c r="Q999">
        <v>5</v>
      </c>
      <c r="R999" t="s">
        <v>40</v>
      </c>
      <c r="S999" t="s">
        <v>41</v>
      </c>
      <c r="T999" t="s">
        <v>42</v>
      </c>
      <c r="U999" t="s">
        <v>66</v>
      </c>
      <c r="V999" t="s">
        <v>82</v>
      </c>
      <c r="W999" t="s">
        <v>83</v>
      </c>
      <c r="X999" t="s">
        <v>76</v>
      </c>
      <c r="Y999">
        <v>100</v>
      </c>
      <c r="Z999" t="s">
        <v>84</v>
      </c>
      <c r="AA999" t="s">
        <v>85</v>
      </c>
      <c r="AB999" s="1">
        <v>46301</v>
      </c>
      <c r="AC999" t="s">
        <v>40</v>
      </c>
      <c r="AD999" t="s">
        <v>40</v>
      </c>
      <c r="AE999" t="s">
        <v>60</v>
      </c>
      <c r="AF999" t="s">
        <v>40</v>
      </c>
      <c r="AG999">
        <v>0</v>
      </c>
      <c r="AH999" t="s">
        <v>100</v>
      </c>
    </row>
    <row r="1000" spans="1:34" x14ac:dyDescent="0.3">
      <c r="A1000" t="s">
        <v>1619</v>
      </c>
      <c r="B1000" t="s">
        <v>924</v>
      </c>
      <c r="C1000" t="s">
        <v>36</v>
      </c>
      <c r="D1000" t="s">
        <v>104</v>
      </c>
      <c r="E1000" s="1">
        <v>45772</v>
      </c>
      <c r="F1000" s="1">
        <v>45992</v>
      </c>
      <c r="G1000" t="s">
        <v>64</v>
      </c>
      <c r="H1000">
        <v>2412</v>
      </c>
      <c r="I1000" t="s">
        <v>39</v>
      </c>
      <c r="J1000" t="b">
        <v>0</v>
      </c>
      <c r="K1000">
        <v>220</v>
      </c>
      <c r="L1000">
        <v>12</v>
      </c>
      <c r="M1000">
        <v>2025</v>
      </c>
      <c r="N1000">
        <v>0</v>
      </c>
      <c r="O1000">
        <v>4</v>
      </c>
      <c r="P1000">
        <v>2025</v>
      </c>
      <c r="Q1000">
        <v>4</v>
      </c>
      <c r="R1000" t="s">
        <v>40</v>
      </c>
      <c r="S1000" t="s">
        <v>41</v>
      </c>
      <c r="T1000" t="s">
        <v>123</v>
      </c>
      <c r="U1000" t="s">
        <v>66</v>
      </c>
      <c r="V1000" t="s">
        <v>43</v>
      </c>
      <c r="W1000" t="s">
        <v>44</v>
      </c>
      <c r="X1000" t="s">
        <v>45</v>
      </c>
      <c r="Y1000">
        <v>150</v>
      </c>
      <c r="Z1000" t="s">
        <v>107</v>
      </c>
      <c r="AA1000" t="s">
        <v>108</v>
      </c>
      <c r="AB1000" s="1">
        <v>45992</v>
      </c>
      <c r="AC1000" t="s">
        <v>40</v>
      </c>
      <c r="AD1000" t="s">
        <v>40</v>
      </c>
      <c r="AE1000" t="s">
        <v>69</v>
      </c>
      <c r="AF1000" t="s">
        <v>40</v>
      </c>
      <c r="AG1000">
        <v>0</v>
      </c>
      <c r="AH1000" t="s">
        <v>142</v>
      </c>
    </row>
    <row r="1001" spans="1:34" x14ac:dyDescent="0.3">
      <c r="A1001" t="s">
        <v>1620</v>
      </c>
      <c r="B1001" t="s">
        <v>1546</v>
      </c>
      <c r="C1001" t="s">
        <v>129</v>
      </c>
      <c r="D1001" t="s">
        <v>37</v>
      </c>
      <c r="E1001" s="1">
        <v>46000</v>
      </c>
      <c r="F1001" s="1">
        <v>46014</v>
      </c>
      <c r="G1001" t="s">
        <v>81</v>
      </c>
      <c r="H1001">
        <v>10785</v>
      </c>
      <c r="I1001" t="s">
        <v>39</v>
      </c>
      <c r="J1001" t="b">
        <v>0</v>
      </c>
      <c r="K1001">
        <v>14</v>
      </c>
      <c r="L1001">
        <v>12</v>
      </c>
      <c r="M1001">
        <v>2025</v>
      </c>
      <c r="N1001">
        <v>1</v>
      </c>
      <c r="O1001">
        <v>12</v>
      </c>
      <c r="P1001">
        <v>2025</v>
      </c>
      <c r="Q1001">
        <v>1</v>
      </c>
      <c r="R1001" t="s">
        <v>40</v>
      </c>
      <c r="S1001" t="s">
        <v>41</v>
      </c>
      <c r="T1001" t="s">
        <v>68</v>
      </c>
      <c r="U1001" t="s">
        <v>40</v>
      </c>
      <c r="V1001" t="s">
        <v>131</v>
      </c>
      <c r="W1001" t="s">
        <v>132</v>
      </c>
      <c r="X1001" t="s">
        <v>45</v>
      </c>
      <c r="Y1001">
        <v>110</v>
      </c>
      <c r="Z1001" t="s">
        <v>46</v>
      </c>
      <c r="AA1001" t="s">
        <v>47</v>
      </c>
      <c r="AB1001" s="1">
        <v>46014</v>
      </c>
      <c r="AC1001" t="s">
        <v>40</v>
      </c>
      <c r="AD1001" t="s">
        <v>40</v>
      </c>
      <c r="AE1001" t="s">
        <v>69</v>
      </c>
      <c r="AF1001" t="s">
        <v>40</v>
      </c>
      <c r="AG1001">
        <v>0</v>
      </c>
      <c r="AH1001" t="s">
        <v>70</v>
      </c>
    </row>
    <row r="1002" spans="1:34" x14ac:dyDescent="0.3">
      <c r="A1002" t="s">
        <v>1621</v>
      </c>
      <c r="B1002" t="s">
        <v>1291</v>
      </c>
      <c r="C1002" t="s">
        <v>89</v>
      </c>
      <c r="D1002" t="s">
        <v>130</v>
      </c>
      <c r="E1002" s="1">
        <v>45889</v>
      </c>
      <c r="F1002" s="1">
        <v>45919</v>
      </c>
      <c r="G1002" t="s">
        <v>41</v>
      </c>
      <c r="H1002">
        <v>8658</v>
      </c>
      <c r="I1002" t="s">
        <v>39</v>
      </c>
      <c r="J1002" t="b">
        <v>0</v>
      </c>
      <c r="K1002">
        <v>30</v>
      </c>
      <c r="L1002">
        <v>9</v>
      </c>
      <c r="M1002">
        <v>2025</v>
      </c>
      <c r="N1002">
        <v>4</v>
      </c>
      <c r="O1002">
        <v>8</v>
      </c>
      <c r="P1002">
        <v>2025</v>
      </c>
      <c r="Q1002">
        <v>2</v>
      </c>
      <c r="R1002" t="s">
        <v>40</v>
      </c>
      <c r="S1002" t="s">
        <v>45</v>
      </c>
      <c r="T1002" t="s">
        <v>42</v>
      </c>
      <c r="U1002" t="s">
        <v>40</v>
      </c>
      <c r="V1002" t="s">
        <v>91</v>
      </c>
      <c r="W1002" t="s">
        <v>92</v>
      </c>
      <c r="X1002" t="s">
        <v>76</v>
      </c>
      <c r="Y1002">
        <v>65</v>
      </c>
      <c r="Z1002" t="s">
        <v>133</v>
      </c>
      <c r="AA1002" t="s">
        <v>134</v>
      </c>
      <c r="AB1002" s="1">
        <v>45919</v>
      </c>
      <c r="AC1002" t="s">
        <v>40</v>
      </c>
      <c r="AD1002" t="s">
        <v>40</v>
      </c>
      <c r="AE1002" t="s">
        <v>60</v>
      </c>
      <c r="AF1002" t="s">
        <v>40</v>
      </c>
      <c r="AG1002">
        <v>0</v>
      </c>
      <c r="AH1002" t="s">
        <v>70</v>
      </c>
    </row>
    <row r="1003" spans="1:34" x14ac:dyDescent="0.3">
      <c r="A1003" t="s">
        <v>1622</v>
      </c>
      <c r="B1003" t="s">
        <v>431</v>
      </c>
      <c r="C1003" t="s">
        <v>36</v>
      </c>
      <c r="D1003" t="s">
        <v>37</v>
      </c>
      <c r="E1003" s="1">
        <v>45971</v>
      </c>
      <c r="F1003" s="1">
        <v>45978</v>
      </c>
      <c r="G1003" t="s">
        <v>41</v>
      </c>
      <c r="H1003">
        <v>7614</v>
      </c>
      <c r="I1003" t="s">
        <v>39</v>
      </c>
      <c r="J1003" t="b">
        <v>0</v>
      </c>
      <c r="K1003">
        <v>7</v>
      </c>
      <c r="L1003">
        <v>11</v>
      </c>
      <c r="M1003">
        <v>2025</v>
      </c>
      <c r="N1003">
        <v>0</v>
      </c>
      <c r="O1003">
        <v>11</v>
      </c>
      <c r="P1003">
        <v>2025</v>
      </c>
      <c r="Q1003">
        <v>0</v>
      </c>
      <c r="R1003" t="s">
        <v>40</v>
      </c>
      <c r="S1003" t="s">
        <v>67</v>
      </c>
      <c r="T1003" t="s">
        <v>42</v>
      </c>
      <c r="U1003" t="s">
        <v>40</v>
      </c>
      <c r="V1003" t="s">
        <v>43</v>
      </c>
      <c r="W1003" t="s">
        <v>44</v>
      </c>
      <c r="X1003" t="s">
        <v>45</v>
      </c>
      <c r="Y1003">
        <v>150</v>
      </c>
      <c r="Z1003" t="s">
        <v>46</v>
      </c>
      <c r="AA1003" t="s">
        <v>47</v>
      </c>
      <c r="AB1003" s="1">
        <v>45978</v>
      </c>
      <c r="AC1003" t="s">
        <v>40</v>
      </c>
      <c r="AD1003" t="s">
        <v>40</v>
      </c>
      <c r="AE1003" t="s">
        <v>86</v>
      </c>
      <c r="AF1003" t="s">
        <v>40</v>
      </c>
      <c r="AG1003">
        <v>0</v>
      </c>
      <c r="AH1003" t="s">
        <v>100</v>
      </c>
    </row>
    <row r="1004" spans="1:34" x14ac:dyDescent="0.3">
      <c r="A1004" t="s">
        <v>1623</v>
      </c>
      <c r="B1004" t="s">
        <v>1624</v>
      </c>
      <c r="C1004" t="s">
        <v>169</v>
      </c>
      <c r="D1004" t="s">
        <v>130</v>
      </c>
      <c r="E1004" s="1">
        <v>45870</v>
      </c>
      <c r="F1004" s="1">
        <v>45877</v>
      </c>
      <c r="G1004" t="s">
        <v>64</v>
      </c>
      <c r="H1004">
        <v>2719</v>
      </c>
      <c r="I1004" t="s">
        <v>39</v>
      </c>
      <c r="J1004" t="b">
        <v>0</v>
      </c>
      <c r="K1004">
        <v>7</v>
      </c>
      <c r="L1004">
        <v>8</v>
      </c>
      <c r="M1004">
        <v>2025</v>
      </c>
      <c r="N1004">
        <v>4</v>
      </c>
      <c r="O1004">
        <v>8</v>
      </c>
      <c r="P1004">
        <v>2025</v>
      </c>
      <c r="Q1004">
        <v>4</v>
      </c>
      <c r="R1004" t="s">
        <v>40</v>
      </c>
      <c r="S1004" t="s">
        <v>45</v>
      </c>
      <c r="T1004" t="s">
        <v>42</v>
      </c>
      <c r="U1004" t="s">
        <v>40</v>
      </c>
      <c r="V1004" t="s">
        <v>170</v>
      </c>
      <c r="W1004" t="s">
        <v>171</v>
      </c>
      <c r="X1004" t="s">
        <v>126</v>
      </c>
      <c r="Y1004">
        <v>90</v>
      </c>
      <c r="Z1004" t="s">
        <v>133</v>
      </c>
      <c r="AA1004" t="s">
        <v>134</v>
      </c>
      <c r="AB1004" s="1">
        <v>45877</v>
      </c>
      <c r="AC1004" t="s">
        <v>40</v>
      </c>
      <c r="AD1004" t="s">
        <v>40</v>
      </c>
      <c r="AE1004" t="s">
        <v>86</v>
      </c>
      <c r="AF1004" t="s">
        <v>40</v>
      </c>
      <c r="AG1004">
        <v>0</v>
      </c>
      <c r="AH1004" t="s">
        <v>100</v>
      </c>
    </row>
    <row r="1005" spans="1:34" x14ac:dyDescent="0.3">
      <c r="A1005" t="s">
        <v>1625</v>
      </c>
      <c r="B1005" t="s">
        <v>199</v>
      </c>
      <c r="C1005" t="s">
        <v>169</v>
      </c>
      <c r="D1005" t="s">
        <v>53</v>
      </c>
      <c r="E1005" s="1">
        <v>46055</v>
      </c>
      <c r="F1005" s="1">
        <v>46069</v>
      </c>
      <c r="G1005" t="s">
        <v>81</v>
      </c>
      <c r="H1005">
        <v>10419</v>
      </c>
      <c r="I1005" t="s">
        <v>54</v>
      </c>
      <c r="J1005" t="b">
        <v>0</v>
      </c>
      <c r="K1005">
        <v>14</v>
      </c>
      <c r="L1005">
        <v>2</v>
      </c>
      <c r="M1005">
        <v>2026</v>
      </c>
      <c r="N1005">
        <v>0</v>
      </c>
      <c r="O1005">
        <v>2</v>
      </c>
      <c r="P1005">
        <v>2026</v>
      </c>
      <c r="Q1005">
        <v>0</v>
      </c>
      <c r="R1005" t="s">
        <v>40</v>
      </c>
      <c r="S1005" t="s">
        <v>67</v>
      </c>
      <c r="T1005" t="s">
        <v>139</v>
      </c>
      <c r="U1005" t="s">
        <v>40</v>
      </c>
      <c r="V1005" t="s">
        <v>170</v>
      </c>
      <c r="W1005" t="s">
        <v>171</v>
      </c>
      <c r="X1005" t="s">
        <v>126</v>
      </c>
      <c r="Y1005">
        <v>90</v>
      </c>
      <c r="Z1005" t="s">
        <v>58</v>
      </c>
      <c r="AA1005" t="s">
        <v>59</v>
      </c>
      <c r="AB1005" s="1">
        <v>46069</v>
      </c>
      <c r="AC1005" t="s">
        <v>40</v>
      </c>
      <c r="AD1005" t="s">
        <v>40</v>
      </c>
      <c r="AE1005" t="s">
        <v>60</v>
      </c>
      <c r="AF1005" t="s">
        <v>40</v>
      </c>
      <c r="AG1005">
        <v>1</v>
      </c>
      <c r="AH1005" t="s">
        <v>70</v>
      </c>
    </row>
    <row r="1006" spans="1:34" x14ac:dyDescent="0.3">
      <c r="A1006" t="s">
        <v>1626</v>
      </c>
      <c r="B1006" t="s">
        <v>515</v>
      </c>
      <c r="C1006" t="s">
        <v>52</v>
      </c>
      <c r="D1006" t="s">
        <v>104</v>
      </c>
      <c r="E1006" s="1">
        <v>45985</v>
      </c>
      <c r="F1006" s="1">
        <v>45999</v>
      </c>
      <c r="G1006" t="s">
        <v>81</v>
      </c>
      <c r="H1006">
        <v>10915</v>
      </c>
      <c r="I1006" t="s">
        <v>39</v>
      </c>
      <c r="J1006" t="b">
        <v>0</v>
      </c>
      <c r="K1006">
        <v>14</v>
      </c>
      <c r="L1006">
        <v>12</v>
      </c>
      <c r="M1006">
        <v>2025</v>
      </c>
      <c r="N1006">
        <v>0</v>
      </c>
      <c r="O1006">
        <v>11</v>
      </c>
      <c r="P1006">
        <v>2025</v>
      </c>
      <c r="Q1006">
        <v>0</v>
      </c>
      <c r="R1006" t="s">
        <v>40</v>
      </c>
      <c r="S1006" t="s">
        <v>45</v>
      </c>
      <c r="T1006" t="s">
        <v>42</v>
      </c>
      <c r="U1006" t="s">
        <v>40</v>
      </c>
      <c r="V1006" t="s">
        <v>56</v>
      </c>
      <c r="W1006" t="s">
        <v>57</v>
      </c>
      <c r="X1006" t="s">
        <v>45</v>
      </c>
      <c r="Y1006">
        <v>120</v>
      </c>
      <c r="Z1006" t="s">
        <v>107</v>
      </c>
      <c r="AA1006" t="s">
        <v>108</v>
      </c>
      <c r="AB1006" s="1">
        <v>45999</v>
      </c>
      <c r="AC1006" t="s">
        <v>40</v>
      </c>
      <c r="AD1006" t="s">
        <v>40</v>
      </c>
      <c r="AE1006" t="s">
        <v>69</v>
      </c>
      <c r="AF1006" t="s">
        <v>40</v>
      </c>
      <c r="AG1006">
        <v>0</v>
      </c>
      <c r="AH1006" t="s">
        <v>70</v>
      </c>
    </row>
    <row r="1007" spans="1:34" x14ac:dyDescent="0.3">
      <c r="A1007" t="s">
        <v>1627</v>
      </c>
      <c r="B1007" t="s">
        <v>764</v>
      </c>
      <c r="C1007" t="s">
        <v>129</v>
      </c>
      <c r="D1007" t="s">
        <v>104</v>
      </c>
      <c r="E1007" s="1">
        <v>45685</v>
      </c>
      <c r="F1007" s="1">
        <v>45699</v>
      </c>
      <c r="G1007" t="s">
        <v>41</v>
      </c>
      <c r="H1007">
        <v>5377</v>
      </c>
      <c r="I1007" t="s">
        <v>65</v>
      </c>
      <c r="J1007" t="b">
        <v>0</v>
      </c>
      <c r="K1007">
        <v>14</v>
      </c>
      <c r="L1007">
        <v>2</v>
      </c>
      <c r="M1007">
        <v>2025</v>
      </c>
      <c r="N1007">
        <v>1</v>
      </c>
      <c r="O1007">
        <v>1</v>
      </c>
      <c r="P1007">
        <v>2025</v>
      </c>
      <c r="Q1007">
        <v>1</v>
      </c>
      <c r="R1007" t="s">
        <v>40</v>
      </c>
      <c r="S1007" t="s">
        <v>41</v>
      </c>
      <c r="T1007" t="s">
        <v>113</v>
      </c>
      <c r="U1007" t="s">
        <v>66</v>
      </c>
      <c r="V1007" t="s">
        <v>131</v>
      </c>
      <c r="W1007" t="s">
        <v>132</v>
      </c>
      <c r="X1007" t="s">
        <v>45</v>
      </c>
      <c r="Y1007">
        <v>110</v>
      </c>
      <c r="Z1007" t="s">
        <v>107</v>
      </c>
      <c r="AA1007" t="s">
        <v>108</v>
      </c>
      <c r="AB1007" s="1">
        <v>45699</v>
      </c>
      <c r="AC1007" t="s">
        <v>40</v>
      </c>
      <c r="AD1007" t="s">
        <v>40</v>
      </c>
      <c r="AE1007" t="s">
        <v>60</v>
      </c>
      <c r="AF1007" t="s">
        <v>40</v>
      </c>
      <c r="AG1007">
        <v>0</v>
      </c>
      <c r="AH1007" t="s">
        <v>70</v>
      </c>
    </row>
    <row r="1008" spans="1:34" x14ac:dyDescent="0.3">
      <c r="A1008" t="s">
        <v>1628</v>
      </c>
      <c r="B1008" t="s">
        <v>1629</v>
      </c>
      <c r="C1008" t="s">
        <v>122</v>
      </c>
      <c r="D1008" t="s">
        <v>104</v>
      </c>
      <c r="E1008" s="1">
        <v>46003</v>
      </c>
      <c r="F1008" s="1">
        <v>46010</v>
      </c>
      <c r="G1008" t="s">
        <v>41</v>
      </c>
      <c r="H1008">
        <v>8183</v>
      </c>
      <c r="I1008" t="s">
        <v>39</v>
      </c>
      <c r="J1008" t="b">
        <v>0</v>
      </c>
      <c r="K1008">
        <v>7</v>
      </c>
      <c r="L1008">
        <v>12</v>
      </c>
      <c r="M1008">
        <v>2025</v>
      </c>
      <c r="N1008">
        <v>4</v>
      </c>
      <c r="O1008">
        <v>12</v>
      </c>
      <c r="P1008">
        <v>2025</v>
      </c>
      <c r="Q1008">
        <v>4</v>
      </c>
      <c r="R1008" t="s">
        <v>40</v>
      </c>
      <c r="S1008" t="s">
        <v>45</v>
      </c>
      <c r="T1008" t="s">
        <v>42</v>
      </c>
      <c r="U1008" t="s">
        <v>66</v>
      </c>
      <c r="V1008" t="s">
        <v>124</v>
      </c>
      <c r="W1008" t="s">
        <v>125</v>
      </c>
      <c r="X1008" t="s">
        <v>126</v>
      </c>
      <c r="Y1008">
        <v>85</v>
      </c>
      <c r="Z1008" t="s">
        <v>107</v>
      </c>
      <c r="AA1008" t="s">
        <v>108</v>
      </c>
      <c r="AB1008" s="1">
        <v>46010</v>
      </c>
      <c r="AC1008" t="s">
        <v>40</v>
      </c>
      <c r="AD1008" t="s">
        <v>40</v>
      </c>
      <c r="AE1008" t="s">
        <v>69</v>
      </c>
      <c r="AF1008" t="s">
        <v>40</v>
      </c>
      <c r="AG1008">
        <v>0</v>
      </c>
      <c r="AH1008" t="s">
        <v>100</v>
      </c>
    </row>
    <row r="1009" spans="1:34" x14ac:dyDescent="0.3">
      <c r="A1009" t="s">
        <v>1630</v>
      </c>
      <c r="B1009" t="s">
        <v>145</v>
      </c>
      <c r="C1009" t="s">
        <v>52</v>
      </c>
      <c r="D1009" t="s">
        <v>37</v>
      </c>
      <c r="E1009" s="1">
        <v>45789</v>
      </c>
      <c r="F1009" s="1">
        <v>45819</v>
      </c>
      <c r="G1009" t="s">
        <v>64</v>
      </c>
      <c r="H1009">
        <v>3110</v>
      </c>
      <c r="I1009" t="s">
        <v>39</v>
      </c>
      <c r="J1009" t="b">
        <v>0</v>
      </c>
      <c r="K1009">
        <v>30</v>
      </c>
      <c r="L1009">
        <v>6</v>
      </c>
      <c r="M1009">
        <v>2025</v>
      </c>
      <c r="N1009">
        <v>2</v>
      </c>
      <c r="O1009">
        <v>5</v>
      </c>
      <c r="P1009">
        <v>2025</v>
      </c>
      <c r="Q1009">
        <v>0</v>
      </c>
      <c r="R1009" t="s">
        <v>40</v>
      </c>
      <c r="S1009" t="s">
        <v>41</v>
      </c>
      <c r="T1009" t="s">
        <v>42</v>
      </c>
      <c r="U1009" t="s">
        <v>66</v>
      </c>
      <c r="V1009" t="s">
        <v>56</v>
      </c>
      <c r="W1009" t="s">
        <v>57</v>
      </c>
      <c r="X1009" t="s">
        <v>45</v>
      </c>
      <c r="Y1009">
        <v>120</v>
      </c>
      <c r="Z1009" t="s">
        <v>46</v>
      </c>
      <c r="AA1009" t="s">
        <v>47</v>
      </c>
      <c r="AB1009" s="1">
        <v>45819</v>
      </c>
      <c r="AC1009" t="s">
        <v>40</v>
      </c>
      <c r="AD1009" t="s">
        <v>40</v>
      </c>
      <c r="AE1009" t="s">
        <v>60</v>
      </c>
      <c r="AF1009" t="s">
        <v>40</v>
      </c>
      <c r="AG1009">
        <v>0</v>
      </c>
      <c r="AH1009" t="s">
        <v>70</v>
      </c>
    </row>
    <row r="1010" spans="1:34" x14ac:dyDescent="0.3">
      <c r="A1010" t="s">
        <v>1631</v>
      </c>
      <c r="B1010" t="s">
        <v>110</v>
      </c>
      <c r="C1010" t="s">
        <v>129</v>
      </c>
      <c r="D1010" t="s">
        <v>37</v>
      </c>
      <c r="E1010" s="1">
        <v>45707</v>
      </c>
      <c r="F1010" s="1">
        <v>45714</v>
      </c>
      <c r="G1010" t="s">
        <v>64</v>
      </c>
      <c r="H1010">
        <v>3205</v>
      </c>
      <c r="I1010" t="s">
        <v>54</v>
      </c>
      <c r="J1010" t="b">
        <v>0</v>
      </c>
      <c r="K1010">
        <v>7</v>
      </c>
      <c r="L1010">
        <v>2</v>
      </c>
      <c r="M1010">
        <v>2025</v>
      </c>
      <c r="N1010">
        <v>2</v>
      </c>
      <c r="O1010">
        <v>2</v>
      </c>
      <c r="P1010">
        <v>2025</v>
      </c>
      <c r="Q1010">
        <v>2</v>
      </c>
      <c r="R1010" t="s">
        <v>40</v>
      </c>
      <c r="S1010" t="s">
        <v>45</v>
      </c>
      <c r="T1010" t="s">
        <v>42</v>
      </c>
      <c r="U1010" t="s">
        <v>66</v>
      </c>
      <c r="V1010" t="s">
        <v>131</v>
      </c>
      <c r="W1010" t="s">
        <v>132</v>
      </c>
      <c r="X1010" t="s">
        <v>45</v>
      </c>
      <c r="Y1010">
        <v>110</v>
      </c>
      <c r="Z1010" t="s">
        <v>46</v>
      </c>
      <c r="AA1010" t="s">
        <v>47</v>
      </c>
      <c r="AB1010" s="1">
        <v>45714</v>
      </c>
      <c r="AC1010" t="s">
        <v>40</v>
      </c>
      <c r="AD1010" t="s">
        <v>40</v>
      </c>
      <c r="AE1010" t="s">
        <v>60</v>
      </c>
      <c r="AF1010" t="s">
        <v>40</v>
      </c>
      <c r="AG1010">
        <v>1</v>
      </c>
      <c r="AH1010" t="s">
        <v>100</v>
      </c>
    </row>
    <row r="1011" spans="1:34" x14ac:dyDescent="0.3">
      <c r="A1011" t="s">
        <v>1632</v>
      </c>
      <c r="B1011" t="s">
        <v>1633</v>
      </c>
      <c r="C1011" t="s">
        <v>79</v>
      </c>
      <c r="D1011" t="s">
        <v>104</v>
      </c>
      <c r="E1011" s="1">
        <v>45770</v>
      </c>
      <c r="F1011" s="1">
        <v>45830</v>
      </c>
      <c r="G1011" t="s">
        <v>64</v>
      </c>
      <c r="H1011">
        <v>3187</v>
      </c>
      <c r="I1011" t="s">
        <v>65</v>
      </c>
      <c r="J1011" t="b">
        <v>0</v>
      </c>
      <c r="K1011">
        <v>60</v>
      </c>
      <c r="L1011">
        <v>6</v>
      </c>
      <c r="M1011">
        <v>2025</v>
      </c>
      <c r="N1011">
        <v>6</v>
      </c>
      <c r="O1011">
        <v>4</v>
      </c>
      <c r="P1011">
        <v>2025</v>
      </c>
      <c r="Q1011">
        <v>2</v>
      </c>
      <c r="R1011" t="s">
        <v>66</v>
      </c>
      <c r="S1011" t="s">
        <v>67</v>
      </c>
      <c r="T1011" t="s">
        <v>42</v>
      </c>
      <c r="U1011" t="s">
        <v>66</v>
      </c>
      <c r="V1011" t="s">
        <v>82</v>
      </c>
      <c r="W1011" t="s">
        <v>83</v>
      </c>
      <c r="X1011" t="s">
        <v>76</v>
      </c>
      <c r="Y1011">
        <v>100</v>
      </c>
      <c r="Z1011" t="s">
        <v>107</v>
      </c>
      <c r="AA1011" t="s">
        <v>108</v>
      </c>
      <c r="AB1011" s="1">
        <v>45830</v>
      </c>
      <c r="AC1011" t="s">
        <v>66</v>
      </c>
      <c r="AD1011" t="s">
        <v>40</v>
      </c>
      <c r="AE1011" t="s">
        <v>60</v>
      </c>
      <c r="AF1011" t="s">
        <v>40</v>
      </c>
      <c r="AG1011">
        <v>0</v>
      </c>
      <c r="AH1011" t="s">
        <v>61</v>
      </c>
    </row>
    <row r="1012" spans="1:34" x14ac:dyDescent="0.3">
      <c r="A1012" t="s">
        <v>1634</v>
      </c>
      <c r="B1012" t="s">
        <v>685</v>
      </c>
      <c r="C1012" t="s">
        <v>103</v>
      </c>
      <c r="D1012" t="s">
        <v>130</v>
      </c>
      <c r="E1012" s="1">
        <v>45967</v>
      </c>
      <c r="F1012" s="1">
        <v>45974</v>
      </c>
      <c r="G1012" t="s">
        <v>81</v>
      </c>
      <c r="H1012">
        <v>8373</v>
      </c>
      <c r="I1012" t="s">
        <v>65</v>
      </c>
      <c r="J1012" t="b">
        <v>0</v>
      </c>
      <c r="K1012">
        <v>7</v>
      </c>
      <c r="L1012">
        <v>11</v>
      </c>
      <c r="M1012">
        <v>2025</v>
      </c>
      <c r="N1012">
        <v>3</v>
      </c>
      <c r="O1012">
        <v>11</v>
      </c>
      <c r="P1012">
        <v>2025</v>
      </c>
      <c r="Q1012">
        <v>3</v>
      </c>
      <c r="R1012" t="s">
        <v>40</v>
      </c>
      <c r="S1012" t="s">
        <v>41</v>
      </c>
      <c r="T1012" t="s">
        <v>68</v>
      </c>
      <c r="U1012" t="s">
        <v>66</v>
      </c>
      <c r="V1012" t="s">
        <v>105</v>
      </c>
      <c r="W1012" t="s">
        <v>106</v>
      </c>
      <c r="X1012" t="s">
        <v>45</v>
      </c>
      <c r="Y1012">
        <v>140</v>
      </c>
      <c r="Z1012" t="s">
        <v>133</v>
      </c>
      <c r="AA1012" t="s">
        <v>134</v>
      </c>
      <c r="AB1012" s="1">
        <v>45974</v>
      </c>
      <c r="AC1012" t="s">
        <v>40</v>
      </c>
      <c r="AD1012" t="s">
        <v>40</v>
      </c>
      <c r="AE1012" t="s">
        <v>86</v>
      </c>
      <c r="AF1012" t="s">
        <v>40</v>
      </c>
      <c r="AG1012">
        <v>0</v>
      </c>
      <c r="AH1012" t="s">
        <v>100</v>
      </c>
    </row>
    <row r="1013" spans="1:34" x14ac:dyDescent="0.3">
      <c r="A1013" t="s">
        <v>1635</v>
      </c>
      <c r="B1013" t="s">
        <v>938</v>
      </c>
      <c r="C1013" t="s">
        <v>97</v>
      </c>
      <c r="D1013" t="s">
        <v>90</v>
      </c>
      <c r="E1013" s="1">
        <v>45793</v>
      </c>
      <c r="F1013" s="1">
        <v>45853</v>
      </c>
      <c r="G1013" t="s">
        <v>64</v>
      </c>
      <c r="H1013">
        <v>3216</v>
      </c>
      <c r="I1013" t="s">
        <v>39</v>
      </c>
      <c r="J1013" t="b">
        <v>0</v>
      </c>
      <c r="K1013">
        <v>60</v>
      </c>
      <c r="L1013">
        <v>7</v>
      </c>
      <c r="M1013">
        <v>2025</v>
      </c>
      <c r="N1013">
        <v>1</v>
      </c>
      <c r="O1013">
        <v>5</v>
      </c>
      <c r="P1013">
        <v>2025</v>
      </c>
      <c r="Q1013">
        <v>4</v>
      </c>
      <c r="R1013" t="s">
        <v>40</v>
      </c>
      <c r="S1013" t="s">
        <v>67</v>
      </c>
      <c r="T1013" t="s">
        <v>139</v>
      </c>
      <c r="U1013" t="s">
        <v>66</v>
      </c>
      <c r="V1013" t="s">
        <v>98</v>
      </c>
      <c r="W1013" t="s">
        <v>99</v>
      </c>
      <c r="X1013" t="s">
        <v>76</v>
      </c>
      <c r="Y1013">
        <v>80</v>
      </c>
      <c r="Z1013" t="s">
        <v>93</v>
      </c>
      <c r="AA1013" t="s">
        <v>94</v>
      </c>
      <c r="AB1013" s="1">
        <v>45853</v>
      </c>
      <c r="AC1013" t="s">
        <v>40</v>
      </c>
      <c r="AD1013" t="s">
        <v>40</v>
      </c>
      <c r="AE1013" t="s">
        <v>86</v>
      </c>
      <c r="AF1013" t="s">
        <v>40</v>
      </c>
      <c r="AG1013">
        <v>0</v>
      </c>
      <c r="AH1013" t="s">
        <v>61</v>
      </c>
    </row>
    <row r="1014" spans="1:34" x14ac:dyDescent="0.3">
      <c r="A1014" t="s">
        <v>1636</v>
      </c>
      <c r="B1014" t="s">
        <v>285</v>
      </c>
      <c r="C1014" t="s">
        <v>36</v>
      </c>
      <c r="D1014" t="s">
        <v>104</v>
      </c>
      <c r="E1014" s="1">
        <v>46143</v>
      </c>
      <c r="F1014" s="1">
        <v>46144</v>
      </c>
      <c r="G1014" t="s">
        <v>41</v>
      </c>
      <c r="H1014">
        <v>5266</v>
      </c>
      <c r="I1014" t="s">
        <v>65</v>
      </c>
      <c r="J1014" t="b">
        <v>0</v>
      </c>
      <c r="K1014">
        <v>1</v>
      </c>
      <c r="L1014">
        <v>5</v>
      </c>
      <c r="M1014">
        <v>2026</v>
      </c>
      <c r="N1014">
        <v>5</v>
      </c>
      <c r="O1014">
        <v>5</v>
      </c>
      <c r="P1014">
        <v>2026</v>
      </c>
      <c r="Q1014">
        <v>4</v>
      </c>
      <c r="R1014" t="s">
        <v>66</v>
      </c>
      <c r="S1014" t="s">
        <v>45</v>
      </c>
      <c r="T1014" t="s">
        <v>286</v>
      </c>
      <c r="U1014" t="s">
        <v>40</v>
      </c>
      <c r="V1014" t="s">
        <v>43</v>
      </c>
      <c r="W1014" t="s">
        <v>44</v>
      </c>
      <c r="X1014" t="s">
        <v>45</v>
      </c>
      <c r="Y1014">
        <v>150</v>
      </c>
      <c r="Z1014" t="s">
        <v>107</v>
      </c>
      <c r="AA1014" t="s">
        <v>108</v>
      </c>
      <c r="AB1014" s="1">
        <v>46144</v>
      </c>
      <c r="AC1014" t="s">
        <v>66</v>
      </c>
      <c r="AD1014" t="s">
        <v>40</v>
      </c>
      <c r="AE1014" t="s">
        <v>69</v>
      </c>
      <c r="AF1014" t="s">
        <v>40</v>
      </c>
      <c r="AG1014">
        <v>0</v>
      </c>
      <c r="AH1014" t="s">
        <v>100</v>
      </c>
    </row>
    <row r="1015" spans="1:34" x14ac:dyDescent="0.3">
      <c r="A1015" t="s">
        <v>1637</v>
      </c>
      <c r="B1015" t="s">
        <v>1419</v>
      </c>
      <c r="C1015" t="s">
        <v>103</v>
      </c>
      <c r="D1015" t="s">
        <v>80</v>
      </c>
      <c r="E1015" s="1">
        <v>45907</v>
      </c>
      <c r="F1015" s="1">
        <v>46007</v>
      </c>
      <c r="G1015" t="s">
        <v>38</v>
      </c>
      <c r="H1015">
        <v>4163</v>
      </c>
      <c r="I1015" t="s">
        <v>54</v>
      </c>
      <c r="J1015" t="b">
        <v>0</v>
      </c>
      <c r="K1015">
        <v>100</v>
      </c>
      <c r="L1015">
        <v>12</v>
      </c>
      <c r="M1015">
        <v>2025</v>
      </c>
      <c r="N1015">
        <v>1</v>
      </c>
      <c r="O1015">
        <v>9</v>
      </c>
      <c r="P1015">
        <v>2025</v>
      </c>
      <c r="Q1015">
        <v>6</v>
      </c>
      <c r="R1015" t="s">
        <v>40</v>
      </c>
      <c r="S1015" t="s">
        <v>41</v>
      </c>
      <c r="T1015" t="s">
        <v>42</v>
      </c>
      <c r="U1015" t="s">
        <v>40</v>
      </c>
      <c r="V1015" t="s">
        <v>105</v>
      </c>
      <c r="W1015" t="s">
        <v>106</v>
      </c>
      <c r="X1015" t="s">
        <v>45</v>
      </c>
      <c r="Y1015">
        <v>140</v>
      </c>
      <c r="Z1015" t="s">
        <v>84</v>
      </c>
      <c r="AA1015" t="s">
        <v>85</v>
      </c>
      <c r="AB1015" s="1">
        <v>46007</v>
      </c>
      <c r="AC1015" t="s">
        <v>40</v>
      </c>
      <c r="AD1015" t="s">
        <v>40</v>
      </c>
      <c r="AE1015" t="s">
        <v>69</v>
      </c>
      <c r="AF1015" t="s">
        <v>40</v>
      </c>
      <c r="AG1015">
        <v>1</v>
      </c>
      <c r="AH1015" t="s">
        <v>49</v>
      </c>
    </row>
    <row r="1016" spans="1:34" x14ac:dyDescent="0.3">
      <c r="A1016" t="s">
        <v>1638</v>
      </c>
      <c r="B1016" t="s">
        <v>261</v>
      </c>
      <c r="C1016" t="s">
        <v>79</v>
      </c>
      <c r="D1016" t="s">
        <v>80</v>
      </c>
      <c r="E1016" s="1">
        <v>45927</v>
      </c>
      <c r="F1016" s="1">
        <v>45941</v>
      </c>
      <c r="G1016" t="s">
        <v>38</v>
      </c>
      <c r="H1016">
        <v>3974</v>
      </c>
      <c r="I1016" t="s">
        <v>39</v>
      </c>
      <c r="J1016" t="b">
        <v>0</v>
      </c>
      <c r="K1016">
        <v>14</v>
      </c>
      <c r="L1016">
        <v>10</v>
      </c>
      <c r="M1016">
        <v>2025</v>
      </c>
      <c r="N1016">
        <v>5</v>
      </c>
      <c r="O1016">
        <v>9</v>
      </c>
      <c r="P1016">
        <v>2025</v>
      </c>
      <c r="Q1016">
        <v>5</v>
      </c>
      <c r="R1016" t="s">
        <v>66</v>
      </c>
      <c r="S1016" t="s">
        <v>55</v>
      </c>
      <c r="T1016" t="s">
        <v>42</v>
      </c>
      <c r="U1016" t="s">
        <v>66</v>
      </c>
      <c r="V1016" t="s">
        <v>82</v>
      </c>
      <c r="W1016" t="s">
        <v>83</v>
      </c>
      <c r="X1016" t="s">
        <v>76</v>
      </c>
      <c r="Y1016">
        <v>100</v>
      </c>
      <c r="Z1016" t="s">
        <v>84</v>
      </c>
      <c r="AA1016" t="s">
        <v>85</v>
      </c>
      <c r="AB1016" s="1">
        <v>45941</v>
      </c>
      <c r="AC1016" t="s">
        <v>66</v>
      </c>
      <c r="AD1016" t="s">
        <v>40</v>
      </c>
      <c r="AE1016" t="s">
        <v>60</v>
      </c>
      <c r="AF1016" t="s">
        <v>40</v>
      </c>
      <c r="AG1016">
        <v>0</v>
      </c>
      <c r="AH1016" t="s">
        <v>70</v>
      </c>
    </row>
    <row r="1017" spans="1:34" x14ac:dyDescent="0.3">
      <c r="A1017" t="s">
        <v>1639</v>
      </c>
      <c r="B1017" t="s">
        <v>245</v>
      </c>
      <c r="C1017" t="s">
        <v>52</v>
      </c>
      <c r="D1017" t="s">
        <v>53</v>
      </c>
      <c r="E1017" s="1">
        <v>45719</v>
      </c>
      <c r="F1017" s="1">
        <v>45749</v>
      </c>
      <c r="G1017" t="s">
        <v>64</v>
      </c>
      <c r="H1017">
        <v>16370</v>
      </c>
      <c r="I1017" t="s">
        <v>54</v>
      </c>
      <c r="J1017" t="b">
        <v>0</v>
      </c>
      <c r="K1017">
        <v>30</v>
      </c>
      <c r="L1017">
        <v>4</v>
      </c>
      <c r="M1017">
        <v>2025</v>
      </c>
      <c r="N1017">
        <v>2</v>
      </c>
      <c r="O1017">
        <v>3</v>
      </c>
      <c r="P1017">
        <v>2025</v>
      </c>
      <c r="Q1017">
        <v>0</v>
      </c>
      <c r="R1017" t="s">
        <v>40</v>
      </c>
      <c r="S1017" t="s">
        <v>41</v>
      </c>
      <c r="T1017" t="s">
        <v>42</v>
      </c>
      <c r="U1017" t="s">
        <v>40</v>
      </c>
      <c r="V1017" t="s">
        <v>56</v>
      </c>
      <c r="W1017" t="s">
        <v>57</v>
      </c>
      <c r="X1017" t="s">
        <v>45</v>
      </c>
      <c r="Y1017">
        <v>120</v>
      </c>
      <c r="Z1017" t="s">
        <v>58</v>
      </c>
      <c r="AA1017" t="s">
        <v>59</v>
      </c>
      <c r="AB1017" s="1">
        <v>45749</v>
      </c>
      <c r="AC1017" t="s">
        <v>40</v>
      </c>
      <c r="AD1017" t="s">
        <v>40</v>
      </c>
      <c r="AE1017" t="s">
        <v>69</v>
      </c>
      <c r="AF1017" t="s">
        <v>40</v>
      </c>
      <c r="AG1017">
        <v>1</v>
      </c>
      <c r="AH1017" t="s">
        <v>70</v>
      </c>
    </row>
    <row r="1018" spans="1:34" x14ac:dyDescent="0.3">
      <c r="A1018" t="s">
        <v>1640</v>
      </c>
      <c r="B1018" t="s">
        <v>1394</v>
      </c>
      <c r="C1018" t="s">
        <v>122</v>
      </c>
      <c r="D1018" t="s">
        <v>90</v>
      </c>
      <c r="E1018" s="1">
        <v>45851</v>
      </c>
      <c r="F1018" s="1">
        <v>45881</v>
      </c>
      <c r="G1018" t="s">
        <v>41</v>
      </c>
      <c r="H1018">
        <v>6588</v>
      </c>
      <c r="I1018" t="s">
        <v>65</v>
      </c>
      <c r="J1018" t="b">
        <v>0</v>
      </c>
      <c r="K1018">
        <v>30</v>
      </c>
      <c r="L1018">
        <v>8</v>
      </c>
      <c r="M1018">
        <v>2025</v>
      </c>
      <c r="N1018">
        <v>1</v>
      </c>
      <c r="O1018">
        <v>7</v>
      </c>
      <c r="P1018">
        <v>2025</v>
      </c>
      <c r="Q1018">
        <v>6</v>
      </c>
      <c r="R1018" t="s">
        <v>40</v>
      </c>
      <c r="S1018" t="s">
        <v>45</v>
      </c>
      <c r="T1018" t="s">
        <v>42</v>
      </c>
      <c r="U1018" t="s">
        <v>40</v>
      </c>
      <c r="V1018" t="s">
        <v>124</v>
      </c>
      <c r="W1018" t="s">
        <v>125</v>
      </c>
      <c r="X1018" t="s">
        <v>126</v>
      </c>
      <c r="Y1018">
        <v>85</v>
      </c>
      <c r="Z1018" t="s">
        <v>93</v>
      </c>
      <c r="AA1018" t="s">
        <v>94</v>
      </c>
      <c r="AB1018" s="1">
        <v>45881</v>
      </c>
      <c r="AC1018" t="s">
        <v>40</v>
      </c>
      <c r="AD1018" t="s">
        <v>40</v>
      </c>
      <c r="AE1018" t="s">
        <v>86</v>
      </c>
      <c r="AF1018" t="s">
        <v>40</v>
      </c>
      <c r="AG1018">
        <v>0</v>
      </c>
      <c r="AH1018" t="s">
        <v>70</v>
      </c>
    </row>
    <row r="1019" spans="1:34" x14ac:dyDescent="0.3">
      <c r="A1019" t="s">
        <v>1641</v>
      </c>
      <c r="B1019" t="s">
        <v>628</v>
      </c>
      <c r="C1019" t="s">
        <v>97</v>
      </c>
      <c r="D1019" t="s">
        <v>37</v>
      </c>
      <c r="E1019" s="1">
        <v>45788</v>
      </c>
      <c r="F1019" s="1">
        <v>45888</v>
      </c>
      <c r="G1019" t="s">
        <v>38</v>
      </c>
      <c r="H1019">
        <v>5602</v>
      </c>
      <c r="I1019" t="s">
        <v>39</v>
      </c>
      <c r="J1019" t="b">
        <v>0</v>
      </c>
      <c r="K1019">
        <v>100</v>
      </c>
      <c r="L1019">
        <v>8</v>
      </c>
      <c r="M1019">
        <v>2025</v>
      </c>
      <c r="N1019">
        <v>1</v>
      </c>
      <c r="O1019">
        <v>5</v>
      </c>
      <c r="P1019">
        <v>2025</v>
      </c>
      <c r="Q1019">
        <v>6</v>
      </c>
      <c r="R1019" t="s">
        <v>40</v>
      </c>
      <c r="S1019" t="s">
        <v>45</v>
      </c>
      <c r="T1019" t="s">
        <v>113</v>
      </c>
      <c r="U1019" t="s">
        <v>66</v>
      </c>
      <c r="V1019" t="s">
        <v>98</v>
      </c>
      <c r="W1019" t="s">
        <v>99</v>
      </c>
      <c r="X1019" t="s">
        <v>76</v>
      </c>
      <c r="Y1019">
        <v>80</v>
      </c>
      <c r="Z1019" t="s">
        <v>46</v>
      </c>
      <c r="AA1019" t="s">
        <v>47</v>
      </c>
      <c r="AB1019" s="1">
        <v>45888</v>
      </c>
      <c r="AC1019" t="s">
        <v>40</v>
      </c>
      <c r="AD1019" t="s">
        <v>40</v>
      </c>
      <c r="AE1019" t="s">
        <v>86</v>
      </c>
      <c r="AF1019" t="s">
        <v>40</v>
      </c>
      <c r="AG1019">
        <v>0</v>
      </c>
      <c r="AH1019" t="s">
        <v>49</v>
      </c>
    </row>
    <row r="1020" spans="1:34" x14ac:dyDescent="0.3">
      <c r="A1020" t="s">
        <v>1642</v>
      </c>
      <c r="B1020" t="s">
        <v>1592</v>
      </c>
      <c r="C1020" t="s">
        <v>79</v>
      </c>
      <c r="D1020" t="s">
        <v>90</v>
      </c>
      <c r="E1020" s="1">
        <v>45926</v>
      </c>
      <c r="F1020" s="1">
        <v>45940</v>
      </c>
      <c r="G1020" t="s">
        <v>41</v>
      </c>
      <c r="H1020">
        <v>5113</v>
      </c>
      <c r="I1020" t="s">
        <v>39</v>
      </c>
      <c r="J1020" t="b">
        <v>0</v>
      </c>
      <c r="K1020">
        <v>14</v>
      </c>
      <c r="L1020">
        <v>10</v>
      </c>
      <c r="M1020">
        <v>2025</v>
      </c>
      <c r="N1020">
        <v>4</v>
      </c>
      <c r="O1020">
        <v>9</v>
      </c>
      <c r="P1020">
        <v>2025</v>
      </c>
      <c r="Q1020">
        <v>4</v>
      </c>
      <c r="R1020" t="s">
        <v>40</v>
      </c>
      <c r="S1020" t="s">
        <v>41</v>
      </c>
      <c r="T1020" t="s">
        <v>42</v>
      </c>
      <c r="U1020" t="s">
        <v>40</v>
      </c>
      <c r="V1020" t="s">
        <v>82</v>
      </c>
      <c r="W1020" t="s">
        <v>83</v>
      </c>
      <c r="X1020" t="s">
        <v>76</v>
      </c>
      <c r="Y1020">
        <v>100</v>
      </c>
      <c r="Z1020" t="s">
        <v>93</v>
      </c>
      <c r="AA1020" t="s">
        <v>94</v>
      </c>
      <c r="AB1020" s="1">
        <v>45940</v>
      </c>
      <c r="AC1020" t="s">
        <v>40</v>
      </c>
      <c r="AD1020" t="s">
        <v>40</v>
      </c>
      <c r="AE1020" t="s">
        <v>60</v>
      </c>
      <c r="AF1020" t="s">
        <v>40</v>
      </c>
      <c r="AG1020">
        <v>0</v>
      </c>
      <c r="AH1020" t="s">
        <v>70</v>
      </c>
    </row>
    <row r="1021" spans="1:34" x14ac:dyDescent="0.3">
      <c r="A1021" t="s">
        <v>1643</v>
      </c>
      <c r="B1021" t="s">
        <v>688</v>
      </c>
      <c r="C1021" t="s">
        <v>155</v>
      </c>
      <c r="D1021" t="s">
        <v>90</v>
      </c>
      <c r="E1021" s="1">
        <v>45788</v>
      </c>
      <c r="F1021" s="1">
        <v>45802</v>
      </c>
      <c r="G1021" t="s">
        <v>41</v>
      </c>
      <c r="H1021">
        <v>6178</v>
      </c>
      <c r="I1021" t="s">
        <v>54</v>
      </c>
      <c r="J1021" t="b">
        <v>0</v>
      </c>
      <c r="K1021">
        <v>14</v>
      </c>
      <c r="L1021">
        <v>5</v>
      </c>
      <c r="M1021">
        <v>2025</v>
      </c>
      <c r="N1021">
        <v>6</v>
      </c>
      <c r="O1021">
        <v>5</v>
      </c>
      <c r="P1021">
        <v>2025</v>
      </c>
      <c r="Q1021">
        <v>6</v>
      </c>
      <c r="R1021" t="s">
        <v>66</v>
      </c>
      <c r="S1021" t="s">
        <v>67</v>
      </c>
      <c r="T1021" t="s">
        <v>286</v>
      </c>
      <c r="U1021" t="s">
        <v>40</v>
      </c>
      <c r="V1021" t="s">
        <v>156</v>
      </c>
      <c r="W1021" t="s">
        <v>157</v>
      </c>
      <c r="X1021" t="s">
        <v>158</v>
      </c>
      <c r="Y1021">
        <v>70</v>
      </c>
      <c r="Z1021" t="s">
        <v>93</v>
      </c>
      <c r="AA1021" t="s">
        <v>94</v>
      </c>
      <c r="AB1021" s="1">
        <v>45802</v>
      </c>
      <c r="AC1021" t="s">
        <v>66</v>
      </c>
      <c r="AD1021" t="s">
        <v>40</v>
      </c>
      <c r="AE1021" t="s">
        <v>69</v>
      </c>
      <c r="AF1021" t="s">
        <v>40</v>
      </c>
      <c r="AG1021">
        <v>1</v>
      </c>
      <c r="AH1021" t="s">
        <v>70</v>
      </c>
    </row>
    <row r="1022" spans="1:34" x14ac:dyDescent="0.3">
      <c r="A1022" t="s">
        <v>1644</v>
      </c>
      <c r="B1022" t="s">
        <v>1172</v>
      </c>
      <c r="C1022" t="s">
        <v>52</v>
      </c>
      <c r="D1022" t="s">
        <v>104</v>
      </c>
      <c r="E1022" s="1">
        <v>45725</v>
      </c>
      <c r="F1022" s="1">
        <v>45755</v>
      </c>
      <c r="G1022" t="s">
        <v>38</v>
      </c>
      <c r="H1022">
        <v>4636</v>
      </c>
      <c r="I1022" t="s">
        <v>65</v>
      </c>
      <c r="J1022" t="b">
        <v>0</v>
      </c>
      <c r="K1022">
        <v>30</v>
      </c>
      <c r="L1022">
        <v>4</v>
      </c>
      <c r="M1022">
        <v>2025</v>
      </c>
      <c r="N1022">
        <v>1</v>
      </c>
      <c r="O1022">
        <v>3</v>
      </c>
      <c r="P1022">
        <v>2025</v>
      </c>
      <c r="Q1022">
        <v>6</v>
      </c>
      <c r="R1022" t="s">
        <v>40</v>
      </c>
      <c r="S1022" t="s">
        <v>45</v>
      </c>
      <c r="T1022" t="s">
        <v>42</v>
      </c>
      <c r="U1022" t="s">
        <v>40</v>
      </c>
      <c r="V1022" t="s">
        <v>56</v>
      </c>
      <c r="W1022" t="s">
        <v>57</v>
      </c>
      <c r="X1022" t="s">
        <v>45</v>
      </c>
      <c r="Y1022">
        <v>120</v>
      </c>
      <c r="Z1022" t="s">
        <v>107</v>
      </c>
      <c r="AA1022" t="s">
        <v>108</v>
      </c>
      <c r="AB1022" s="1">
        <v>45755</v>
      </c>
      <c r="AC1022" t="s">
        <v>40</v>
      </c>
      <c r="AD1022" t="s">
        <v>40</v>
      </c>
      <c r="AE1022" t="s">
        <v>69</v>
      </c>
      <c r="AF1022" t="s">
        <v>40</v>
      </c>
      <c r="AG1022">
        <v>0</v>
      </c>
      <c r="AH1022" t="s">
        <v>70</v>
      </c>
    </row>
    <row r="1023" spans="1:34" x14ac:dyDescent="0.3">
      <c r="A1023" t="s">
        <v>1645</v>
      </c>
      <c r="B1023" t="s">
        <v>112</v>
      </c>
      <c r="C1023" t="s">
        <v>146</v>
      </c>
      <c r="D1023" t="s">
        <v>80</v>
      </c>
      <c r="E1023" s="1">
        <v>45992</v>
      </c>
      <c r="F1023" s="1">
        <v>46142</v>
      </c>
      <c r="G1023" t="s">
        <v>41</v>
      </c>
      <c r="H1023">
        <v>7847</v>
      </c>
      <c r="I1023" t="s">
        <v>39</v>
      </c>
      <c r="J1023" t="b">
        <v>0</v>
      </c>
      <c r="K1023">
        <v>150</v>
      </c>
      <c r="L1023">
        <v>4</v>
      </c>
      <c r="M1023">
        <v>2026</v>
      </c>
      <c r="N1023">
        <v>3</v>
      </c>
      <c r="O1023">
        <v>12</v>
      </c>
      <c r="P1023">
        <v>2025</v>
      </c>
      <c r="Q1023">
        <v>0</v>
      </c>
      <c r="R1023" t="s">
        <v>40</v>
      </c>
      <c r="S1023" t="s">
        <v>55</v>
      </c>
      <c r="T1023" t="s">
        <v>113</v>
      </c>
      <c r="U1023" t="s">
        <v>66</v>
      </c>
      <c r="V1023" t="s">
        <v>147</v>
      </c>
      <c r="W1023" t="s">
        <v>148</v>
      </c>
      <c r="X1023" t="s">
        <v>45</v>
      </c>
      <c r="Y1023">
        <v>160</v>
      </c>
      <c r="Z1023" t="s">
        <v>84</v>
      </c>
      <c r="AA1023" t="s">
        <v>85</v>
      </c>
      <c r="AB1023" s="1">
        <v>46142</v>
      </c>
      <c r="AC1023" t="s">
        <v>40</v>
      </c>
      <c r="AD1023" t="s">
        <v>40</v>
      </c>
      <c r="AE1023" t="s">
        <v>69</v>
      </c>
      <c r="AF1023" t="s">
        <v>40</v>
      </c>
      <c r="AG1023">
        <v>0</v>
      </c>
      <c r="AH1023" t="s">
        <v>49</v>
      </c>
    </row>
    <row r="1024" spans="1:34" x14ac:dyDescent="0.3">
      <c r="A1024" t="s">
        <v>1646</v>
      </c>
      <c r="B1024" t="s">
        <v>1252</v>
      </c>
      <c r="C1024" t="s">
        <v>97</v>
      </c>
      <c r="D1024" t="s">
        <v>104</v>
      </c>
      <c r="E1024" s="1">
        <v>46003</v>
      </c>
      <c r="F1024" s="1">
        <v>46006</v>
      </c>
      <c r="G1024" t="s">
        <v>41</v>
      </c>
      <c r="H1024">
        <v>7586</v>
      </c>
      <c r="I1024" t="s">
        <v>65</v>
      </c>
      <c r="J1024" t="b">
        <v>0</v>
      </c>
      <c r="K1024">
        <v>3</v>
      </c>
      <c r="L1024">
        <v>12</v>
      </c>
      <c r="M1024">
        <v>2025</v>
      </c>
      <c r="N1024">
        <v>0</v>
      </c>
      <c r="O1024">
        <v>12</v>
      </c>
      <c r="P1024">
        <v>2025</v>
      </c>
      <c r="Q1024">
        <v>4</v>
      </c>
      <c r="R1024" t="s">
        <v>40</v>
      </c>
      <c r="S1024" t="s">
        <v>41</v>
      </c>
      <c r="T1024" t="s">
        <v>42</v>
      </c>
      <c r="U1024" t="s">
        <v>66</v>
      </c>
      <c r="V1024" t="s">
        <v>98</v>
      </c>
      <c r="W1024" t="s">
        <v>99</v>
      </c>
      <c r="X1024" t="s">
        <v>76</v>
      </c>
      <c r="Y1024">
        <v>80</v>
      </c>
      <c r="Z1024" t="s">
        <v>107</v>
      </c>
      <c r="AA1024" t="s">
        <v>108</v>
      </c>
      <c r="AB1024" s="1">
        <v>46006</v>
      </c>
      <c r="AC1024" t="s">
        <v>40</v>
      </c>
      <c r="AD1024" t="s">
        <v>40</v>
      </c>
      <c r="AE1024" t="s">
        <v>69</v>
      </c>
      <c r="AF1024" t="s">
        <v>40</v>
      </c>
      <c r="AG1024">
        <v>0</v>
      </c>
      <c r="AH1024" t="s">
        <v>100</v>
      </c>
    </row>
    <row r="1025" spans="1:34" x14ac:dyDescent="0.3">
      <c r="A1025" t="s">
        <v>1647</v>
      </c>
      <c r="B1025" t="s">
        <v>1648</v>
      </c>
      <c r="C1025" t="s">
        <v>155</v>
      </c>
      <c r="D1025" t="s">
        <v>80</v>
      </c>
      <c r="E1025" s="1">
        <v>45891</v>
      </c>
      <c r="F1025" s="1">
        <v>45898</v>
      </c>
      <c r="G1025" t="s">
        <v>81</v>
      </c>
      <c r="H1025">
        <v>9355</v>
      </c>
      <c r="I1025" t="s">
        <v>39</v>
      </c>
      <c r="J1025" t="b">
        <v>0</v>
      </c>
      <c r="K1025">
        <v>7</v>
      </c>
      <c r="L1025">
        <v>8</v>
      </c>
      <c r="M1025">
        <v>2025</v>
      </c>
      <c r="N1025">
        <v>4</v>
      </c>
      <c r="O1025">
        <v>8</v>
      </c>
      <c r="P1025">
        <v>2025</v>
      </c>
      <c r="Q1025">
        <v>4</v>
      </c>
      <c r="R1025" t="s">
        <v>40</v>
      </c>
      <c r="S1025" t="s">
        <v>41</v>
      </c>
      <c r="T1025" t="s">
        <v>42</v>
      </c>
      <c r="U1025" t="s">
        <v>40</v>
      </c>
      <c r="V1025" t="s">
        <v>156</v>
      </c>
      <c r="W1025" t="s">
        <v>157</v>
      </c>
      <c r="X1025" t="s">
        <v>158</v>
      </c>
      <c r="Y1025">
        <v>70</v>
      </c>
      <c r="Z1025" t="s">
        <v>84</v>
      </c>
      <c r="AA1025" t="s">
        <v>85</v>
      </c>
      <c r="AB1025" s="1">
        <v>45898</v>
      </c>
      <c r="AC1025" t="s">
        <v>40</v>
      </c>
      <c r="AD1025" t="s">
        <v>40</v>
      </c>
      <c r="AE1025" t="s">
        <v>86</v>
      </c>
      <c r="AF1025" t="s">
        <v>40</v>
      </c>
      <c r="AG1025">
        <v>0</v>
      </c>
      <c r="AH1025" t="s">
        <v>100</v>
      </c>
    </row>
    <row r="1026" spans="1:34" x14ac:dyDescent="0.3">
      <c r="A1026" t="s">
        <v>1649</v>
      </c>
      <c r="B1026" t="s">
        <v>216</v>
      </c>
      <c r="C1026" t="s">
        <v>169</v>
      </c>
      <c r="D1026" t="s">
        <v>53</v>
      </c>
      <c r="E1026" s="1">
        <v>46270</v>
      </c>
      <c r="F1026" s="1">
        <v>46284</v>
      </c>
      <c r="G1026" t="s">
        <v>38</v>
      </c>
      <c r="H1026">
        <v>4070</v>
      </c>
      <c r="I1026" t="s">
        <v>39</v>
      </c>
      <c r="J1026" t="b">
        <v>0</v>
      </c>
      <c r="K1026">
        <v>14</v>
      </c>
      <c r="L1026">
        <v>9</v>
      </c>
      <c r="M1026">
        <v>2026</v>
      </c>
      <c r="N1026">
        <v>5</v>
      </c>
      <c r="O1026">
        <v>9</v>
      </c>
      <c r="P1026">
        <v>2026</v>
      </c>
      <c r="Q1026">
        <v>5</v>
      </c>
      <c r="R1026" t="s">
        <v>66</v>
      </c>
      <c r="S1026" t="s">
        <v>67</v>
      </c>
      <c r="T1026" t="s">
        <v>42</v>
      </c>
      <c r="U1026" t="s">
        <v>40</v>
      </c>
      <c r="V1026" t="s">
        <v>170</v>
      </c>
      <c r="W1026" t="s">
        <v>171</v>
      </c>
      <c r="X1026" t="s">
        <v>126</v>
      </c>
      <c r="Y1026">
        <v>90</v>
      </c>
      <c r="Z1026" t="s">
        <v>58</v>
      </c>
      <c r="AA1026" t="s">
        <v>59</v>
      </c>
      <c r="AB1026" s="1">
        <v>46284</v>
      </c>
      <c r="AC1026" t="s">
        <v>66</v>
      </c>
      <c r="AD1026" t="s">
        <v>40</v>
      </c>
      <c r="AE1026" t="s">
        <v>60</v>
      </c>
      <c r="AF1026" t="s">
        <v>40</v>
      </c>
      <c r="AG1026">
        <v>0</v>
      </c>
      <c r="AH1026" t="s">
        <v>70</v>
      </c>
    </row>
    <row r="1027" spans="1:34" x14ac:dyDescent="0.3">
      <c r="A1027" t="s">
        <v>1650</v>
      </c>
      <c r="B1027" t="s">
        <v>1560</v>
      </c>
      <c r="C1027" t="s">
        <v>73</v>
      </c>
      <c r="D1027" t="s">
        <v>104</v>
      </c>
      <c r="E1027" s="1">
        <v>46253</v>
      </c>
      <c r="F1027" s="1">
        <v>46283</v>
      </c>
      <c r="G1027" t="s">
        <v>64</v>
      </c>
      <c r="H1027">
        <v>3507</v>
      </c>
      <c r="I1027" t="s">
        <v>39</v>
      </c>
      <c r="J1027" t="b">
        <v>0</v>
      </c>
      <c r="K1027">
        <v>30</v>
      </c>
      <c r="L1027">
        <v>9</v>
      </c>
      <c r="M1027">
        <v>2026</v>
      </c>
      <c r="N1027">
        <v>4</v>
      </c>
      <c r="O1027">
        <v>8</v>
      </c>
      <c r="P1027">
        <v>2026</v>
      </c>
      <c r="Q1027">
        <v>2</v>
      </c>
      <c r="R1027" t="s">
        <v>40</v>
      </c>
      <c r="S1027" t="s">
        <v>41</v>
      </c>
      <c r="T1027" t="s">
        <v>113</v>
      </c>
      <c r="U1027" t="s">
        <v>40</v>
      </c>
      <c r="V1027" t="s">
        <v>74</v>
      </c>
      <c r="W1027" t="s">
        <v>75</v>
      </c>
      <c r="X1027" t="s">
        <v>76</v>
      </c>
      <c r="Y1027">
        <v>75</v>
      </c>
      <c r="Z1027" t="s">
        <v>107</v>
      </c>
      <c r="AA1027" t="s">
        <v>108</v>
      </c>
      <c r="AB1027" s="1">
        <v>46283</v>
      </c>
      <c r="AC1027" t="s">
        <v>40</v>
      </c>
      <c r="AD1027" t="s">
        <v>40</v>
      </c>
      <c r="AE1027" t="s">
        <v>60</v>
      </c>
      <c r="AF1027" t="s">
        <v>40</v>
      </c>
      <c r="AG1027">
        <v>0</v>
      </c>
      <c r="AH1027" t="s">
        <v>70</v>
      </c>
    </row>
    <row r="1028" spans="1:34" x14ac:dyDescent="0.3">
      <c r="A1028" t="s">
        <v>1651</v>
      </c>
      <c r="B1028" t="s">
        <v>303</v>
      </c>
      <c r="C1028" t="s">
        <v>79</v>
      </c>
      <c r="D1028" t="s">
        <v>90</v>
      </c>
      <c r="E1028" s="1">
        <v>46059</v>
      </c>
      <c r="F1028" s="1">
        <v>46073</v>
      </c>
      <c r="G1028" t="s">
        <v>81</v>
      </c>
      <c r="H1028">
        <v>9296</v>
      </c>
      <c r="I1028" t="s">
        <v>39</v>
      </c>
      <c r="J1028" t="b">
        <v>0</v>
      </c>
      <c r="K1028">
        <v>14</v>
      </c>
      <c r="L1028">
        <v>2</v>
      </c>
      <c r="M1028">
        <v>2026</v>
      </c>
      <c r="N1028">
        <v>4</v>
      </c>
      <c r="O1028">
        <v>2</v>
      </c>
      <c r="P1028">
        <v>2026</v>
      </c>
      <c r="Q1028">
        <v>4</v>
      </c>
      <c r="R1028" t="s">
        <v>40</v>
      </c>
      <c r="S1028" t="s">
        <v>45</v>
      </c>
      <c r="T1028" t="s">
        <v>42</v>
      </c>
      <c r="U1028" t="s">
        <v>66</v>
      </c>
      <c r="V1028" t="s">
        <v>82</v>
      </c>
      <c r="W1028" t="s">
        <v>83</v>
      </c>
      <c r="X1028" t="s">
        <v>76</v>
      </c>
      <c r="Y1028">
        <v>100</v>
      </c>
      <c r="Z1028" t="s">
        <v>93</v>
      </c>
      <c r="AA1028" t="s">
        <v>94</v>
      </c>
      <c r="AB1028" s="1">
        <v>46073</v>
      </c>
      <c r="AC1028" t="s">
        <v>40</v>
      </c>
      <c r="AD1028" t="s">
        <v>40</v>
      </c>
      <c r="AE1028" t="s">
        <v>60</v>
      </c>
      <c r="AF1028" t="s">
        <v>40</v>
      </c>
      <c r="AG1028">
        <v>0</v>
      </c>
      <c r="AH1028" t="s">
        <v>70</v>
      </c>
    </row>
    <row r="1029" spans="1:34" x14ac:dyDescent="0.3">
      <c r="A1029" t="s">
        <v>1652</v>
      </c>
      <c r="B1029" t="s">
        <v>1036</v>
      </c>
      <c r="C1029" t="s">
        <v>146</v>
      </c>
      <c r="D1029" t="s">
        <v>104</v>
      </c>
      <c r="E1029" s="1">
        <v>45661</v>
      </c>
      <c r="F1029" s="1">
        <v>45662</v>
      </c>
      <c r="G1029" t="s">
        <v>81</v>
      </c>
      <c r="H1029">
        <v>11280</v>
      </c>
      <c r="I1029" t="s">
        <v>39</v>
      </c>
      <c r="J1029" t="b">
        <v>0</v>
      </c>
      <c r="K1029">
        <v>1</v>
      </c>
      <c r="L1029">
        <v>1</v>
      </c>
      <c r="M1029">
        <v>2025</v>
      </c>
      <c r="N1029">
        <v>6</v>
      </c>
      <c r="O1029">
        <v>1</v>
      </c>
      <c r="P1029">
        <v>2025</v>
      </c>
      <c r="Q1029">
        <v>5</v>
      </c>
      <c r="R1029" t="s">
        <v>66</v>
      </c>
      <c r="S1029" t="s">
        <v>45</v>
      </c>
      <c r="T1029" t="s">
        <v>42</v>
      </c>
      <c r="U1029" t="s">
        <v>40</v>
      </c>
      <c r="V1029" t="s">
        <v>147</v>
      </c>
      <c r="W1029" t="s">
        <v>148</v>
      </c>
      <c r="X1029" t="s">
        <v>45</v>
      </c>
      <c r="Y1029">
        <v>160</v>
      </c>
      <c r="Z1029" t="s">
        <v>107</v>
      </c>
      <c r="AA1029" t="s">
        <v>108</v>
      </c>
      <c r="AB1029" s="1">
        <v>45662</v>
      </c>
      <c r="AC1029" t="s">
        <v>66</v>
      </c>
      <c r="AD1029" t="s">
        <v>40</v>
      </c>
      <c r="AE1029" t="s">
        <v>86</v>
      </c>
      <c r="AF1029" t="s">
        <v>40</v>
      </c>
      <c r="AG1029">
        <v>0</v>
      </c>
      <c r="AH1029" t="s">
        <v>100</v>
      </c>
    </row>
    <row r="1030" spans="1:34" x14ac:dyDescent="0.3">
      <c r="A1030" t="s">
        <v>1653</v>
      </c>
      <c r="B1030" t="s">
        <v>1076</v>
      </c>
      <c r="C1030" t="s">
        <v>103</v>
      </c>
      <c r="D1030" t="s">
        <v>37</v>
      </c>
      <c r="E1030" s="1">
        <v>46159</v>
      </c>
      <c r="F1030" s="1">
        <v>46189</v>
      </c>
      <c r="G1030" t="s">
        <v>41</v>
      </c>
      <c r="H1030">
        <v>5572</v>
      </c>
      <c r="I1030" t="s">
        <v>65</v>
      </c>
      <c r="J1030" t="b">
        <v>0</v>
      </c>
      <c r="K1030">
        <v>30</v>
      </c>
      <c r="L1030">
        <v>6</v>
      </c>
      <c r="M1030">
        <v>2026</v>
      </c>
      <c r="N1030">
        <v>1</v>
      </c>
      <c r="O1030">
        <v>5</v>
      </c>
      <c r="P1030">
        <v>2026</v>
      </c>
      <c r="Q1030">
        <v>6</v>
      </c>
      <c r="R1030" t="s">
        <v>40</v>
      </c>
      <c r="S1030" t="s">
        <v>55</v>
      </c>
      <c r="T1030" t="s">
        <v>42</v>
      </c>
      <c r="U1030" t="s">
        <v>66</v>
      </c>
      <c r="V1030" t="s">
        <v>105</v>
      </c>
      <c r="W1030" t="s">
        <v>106</v>
      </c>
      <c r="X1030" t="s">
        <v>45</v>
      </c>
      <c r="Y1030">
        <v>140</v>
      </c>
      <c r="Z1030" t="s">
        <v>46</v>
      </c>
      <c r="AA1030" t="s">
        <v>47</v>
      </c>
      <c r="AB1030" s="1">
        <v>46189</v>
      </c>
      <c r="AC1030" t="s">
        <v>40</v>
      </c>
      <c r="AD1030" t="s">
        <v>40</v>
      </c>
      <c r="AE1030" t="s">
        <v>60</v>
      </c>
      <c r="AF1030" t="s">
        <v>40</v>
      </c>
      <c r="AG1030">
        <v>0</v>
      </c>
      <c r="AH1030" t="s">
        <v>70</v>
      </c>
    </row>
    <row r="1031" spans="1:34" x14ac:dyDescent="0.3">
      <c r="A1031" t="s">
        <v>1654</v>
      </c>
      <c r="B1031" t="s">
        <v>1655</v>
      </c>
      <c r="C1031" t="s">
        <v>52</v>
      </c>
      <c r="D1031" t="s">
        <v>130</v>
      </c>
      <c r="E1031" s="1">
        <v>45942</v>
      </c>
      <c r="F1031" s="1">
        <v>45945</v>
      </c>
      <c r="G1031" t="s">
        <v>81</v>
      </c>
      <c r="H1031">
        <v>9967</v>
      </c>
      <c r="I1031" t="s">
        <v>39</v>
      </c>
      <c r="J1031" t="b">
        <v>0</v>
      </c>
      <c r="K1031">
        <v>3</v>
      </c>
      <c r="L1031">
        <v>10</v>
      </c>
      <c r="M1031">
        <v>2025</v>
      </c>
      <c r="N1031">
        <v>2</v>
      </c>
      <c r="O1031">
        <v>10</v>
      </c>
      <c r="P1031">
        <v>2025</v>
      </c>
      <c r="Q1031">
        <v>6</v>
      </c>
      <c r="R1031" t="s">
        <v>40</v>
      </c>
      <c r="S1031" t="s">
        <v>55</v>
      </c>
      <c r="T1031" t="s">
        <v>42</v>
      </c>
      <c r="U1031" t="s">
        <v>40</v>
      </c>
      <c r="V1031" t="s">
        <v>56</v>
      </c>
      <c r="W1031" t="s">
        <v>57</v>
      </c>
      <c r="X1031" t="s">
        <v>45</v>
      </c>
      <c r="Y1031">
        <v>120</v>
      </c>
      <c r="Z1031" t="s">
        <v>133</v>
      </c>
      <c r="AA1031" t="s">
        <v>134</v>
      </c>
      <c r="AB1031" s="1">
        <v>45945</v>
      </c>
      <c r="AC1031" t="s">
        <v>40</v>
      </c>
      <c r="AD1031" t="s">
        <v>40</v>
      </c>
      <c r="AE1031" t="s">
        <v>60</v>
      </c>
      <c r="AF1031" t="s">
        <v>40</v>
      </c>
      <c r="AG1031">
        <v>0</v>
      </c>
      <c r="AH1031" t="s">
        <v>100</v>
      </c>
    </row>
    <row r="1032" spans="1:34" x14ac:dyDescent="0.3">
      <c r="A1032" t="s">
        <v>1656</v>
      </c>
      <c r="B1032" t="s">
        <v>760</v>
      </c>
      <c r="C1032" t="s">
        <v>79</v>
      </c>
      <c r="D1032" t="s">
        <v>80</v>
      </c>
      <c r="E1032" s="1">
        <v>45941</v>
      </c>
      <c r="F1032" s="1">
        <v>45948</v>
      </c>
      <c r="G1032" t="s">
        <v>38</v>
      </c>
      <c r="H1032">
        <v>5972</v>
      </c>
      <c r="I1032" t="s">
        <v>65</v>
      </c>
      <c r="J1032" t="b">
        <v>0</v>
      </c>
      <c r="K1032">
        <v>7</v>
      </c>
      <c r="L1032">
        <v>10</v>
      </c>
      <c r="M1032">
        <v>2025</v>
      </c>
      <c r="N1032">
        <v>5</v>
      </c>
      <c r="O1032">
        <v>10</v>
      </c>
      <c r="P1032">
        <v>2025</v>
      </c>
      <c r="Q1032">
        <v>5</v>
      </c>
      <c r="R1032" t="s">
        <v>66</v>
      </c>
      <c r="S1032" t="s">
        <v>55</v>
      </c>
      <c r="T1032" t="s">
        <v>42</v>
      </c>
      <c r="U1032" t="s">
        <v>40</v>
      </c>
      <c r="V1032" t="s">
        <v>82</v>
      </c>
      <c r="W1032" t="s">
        <v>83</v>
      </c>
      <c r="X1032" t="s">
        <v>76</v>
      </c>
      <c r="Y1032">
        <v>100</v>
      </c>
      <c r="Z1032" t="s">
        <v>84</v>
      </c>
      <c r="AA1032" t="s">
        <v>85</v>
      </c>
      <c r="AB1032" s="1">
        <v>45948</v>
      </c>
      <c r="AC1032" t="s">
        <v>66</v>
      </c>
      <c r="AD1032" t="s">
        <v>40</v>
      </c>
      <c r="AE1032" t="s">
        <v>60</v>
      </c>
      <c r="AF1032" t="s">
        <v>40</v>
      </c>
      <c r="AG1032">
        <v>0</v>
      </c>
      <c r="AH1032" t="s">
        <v>100</v>
      </c>
    </row>
    <row r="1033" spans="1:34" x14ac:dyDescent="0.3">
      <c r="A1033" t="s">
        <v>1657</v>
      </c>
      <c r="B1033" t="s">
        <v>1314</v>
      </c>
      <c r="C1033" t="s">
        <v>52</v>
      </c>
      <c r="D1033" t="s">
        <v>80</v>
      </c>
      <c r="E1033" s="1">
        <v>46256</v>
      </c>
      <c r="F1033" s="1">
        <v>46263</v>
      </c>
      <c r="G1033" t="s">
        <v>38</v>
      </c>
      <c r="H1033">
        <v>5069</v>
      </c>
      <c r="I1033" t="s">
        <v>39</v>
      </c>
      <c r="J1033" t="b">
        <v>0</v>
      </c>
      <c r="K1033">
        <v>7</v>
      </c>
      <c r="L1033">
        <v>8</v>
      </c>
      <c r="M1033">
        <v>2026</v>
      </c>
      <c r="N1033">
        <v>5</v>
      </c>
      <c r="O1033">
        <v>8</v>
      </c>
      <c r="P1033">
        <v>2026</v>
      </c>
      <c r="Q1033">
        <v>5</v>
      </c>
      <c r="R1033" t="s">
        <v>66</v>
      </c>
      <c r="S1033" t="s">
        <v>55</v>
      </c>
      <c r="T1033" t="s">
        <v>42</v>
      </c>
      <c r="U1033" t="s">
        <v>40</v>
      </c>
      <c r="V1033" t="s">
        <v>56</v>
      </c>
      <c r="W1033" t="s">
        <v>57</v>
      </c>
      <c r="X1033" t="s">
        <v>45</v>
      </c>
      <c r="Y1033">
        <v>120</v>
      </c>
      <c r="Z1033" t="s">
        <v>84</v>
      </c>
      <c r="AA1033" t="s">
        <v>85</v>
      </c>
      <c r="AB1033" s="1">
        <v>46263</v>
      </c>
      <c r="AC1033" t="s">
        <v>66</v>
      </c>
      <c r="AD1033" t="s">
        <v>40</v>
      </c>
      <c r="AE1033" t="s">
        <v>86</v>
      </c>
      <c r="AF1033" t="s">
        <v>40</v>
      </c>
      <c r="AG1033">
        <v>0</v>
      </c>
      <c r="AH1033" t="s">
        <v>100</v>
      </c>
    </row>
    <row r="1034" spans="1:34" x14ac:dyDescent="0.3">
      <c r="A1034" t="s">
        <v>1658</v>
      </c>
      <c r="B1034" t="s">
        <v>154</v>
      </c>
      <c r="C1034" t="s">
        <v>169</v>
      </c>
      <c r="D1034" t="s">
        <v>104</v>
      </c>
      <c r="E1034" s="1">
        <v>45785</v>
      </c>
      <c r="F1034" s="1">
        <v>45788</v>
      </c>
      <c r="G1034" t="s">
        <v>41</v>
      </c>
      <c r="H1034">
        <v>5678</v>
      </c>
      <c r="I1034" t="s">
        <v>39</v>
      </c>
      <c r="J1034" t="b">
        <v>0</v>
      </c>
      <c r="K1034">
        <v>3</v>
      </c>
      <c r="L1034">
        <v>5</v>
      </c>
      <c r="M1034">
        <v>2025</v>
      </c>
      <c r="N1034">
        <v>6</v>
      </c>
      <c r="O1034">
        <v>5</v>
      </c>
      <c r="P1034">
        <v>2025</v>
      </c>
      <c r="Q1034">
        <v>3</v>
      </c>
      <c r="R1034" t="s">
        <v>66</v>
      </c>
      <c r="S1034" t="s">
        <v>55</v>
      </c>
      <c r="T1034" t="s">
        <v>42</v>
      </c>
      <c r="U1034" t="s">
        <v>40</v>
      </c>
      <c r="V1034" t="s">
        <v>170</v>
      </c>
      <c r="W1034" t="s">
        <v>171</v>
      </c>
      <c r="X1034" t="s">
        <v>126</v>
      </c>
      <c r="Y1034">
        <v>90</v>
      </c>
      <c r="Z1034" t="s">
        <v>107</v>
      </c>
      <c r="AA1034" t="s">
        <v>108</v>
      </c>
      <c r="AB1034" s="1">
        <v>45788</v>
      </c>
      <c r="AC1034" t="s">
        <v>66</v>
      </c>
      <c r="AD1034" t="s">
        <v>40</v>
      </c>
      <c r="AE1034" t="s">
        <v>69</v>
      </c>
      <c r="AF1034" t="s">
        <v>40</v>
      </c>
      <c r="AG1034">
        <v>0</v>
      </c>
      <c r="AH1034" t="s">
        <v>100</v>
      </c>
    </row>
    <row r="1035" spans="1:34" x14ac:dyDescent="0.3">
      <c r="A1035" t="s">
        <v>1659</v>
      </c>
      <c r="B1035" t="s">
        <v>51</v>
      </c>
      <c r="C1035" t="s">
        <v>73</v>
      </c>
      <c r="D1035" t="s">
        <v>37</v>
      </c>
      <c r="E1035" s="1">
        <v>45973</v>
      </c>
      <c r="F1035" s="1">
        <v>45987</v>
      </c>
      <c r="G1035" t="s">
        <v>41</v>
      </c>
      <c r="H1035">
        <v>8470</v>
      </c>
      <c r="I1035" t="s">
        <v>39</v>
      </c>
      <c r="J1035" t="b">
        <v>0</v>
      </c>
      <c r="K1035">
        <v>14</v>
      </c>
      <c r="L1035">
        <v>11</v>
      </c>
      <c r="M1035">
        <v>2025</v>
      </c>
      <c r="N1035">
        <v>2</v>
      </c>
      <c r="O1035">
        <v>11</v>
      </c>
      <c r="P1035">
        <v>2025</v>
      </c>
      <c r="Q1035">
        <v>2</v>
      </c>
      <c r="R1035" t="s">
        <v>40</v>
      </c>
      <c r="S1035" t="s">
        <v>55</v>
      </c>
      <c r="T1035" t="s">
        <v>42</v>
      </c>
      <c r="U1035" t="s">
        <v>40</v>
      </c>
      <c r="V1035" t="s">
        <v>74</v>
      </c>
      <c r="W1035" t="s">
        <v>75</v>
      </c>
      <c r="X1035" t="s">
        <v>76</v>
      </c>
      <c r="Y1035">
        <v>75</v>
      </c>
      <c r="Z1035" t="s">
        <v>46</v>
      </c>
      <c r="AA1035" t="s">
        <v>47</v>
      </c>
      <c r="AB1035" s="1">
        <v>45987</v>
      </c>
      <c r="AC1035" t="s">
        <v>40</v>
      </c>
      <c r="AD1035" t="s">
        <v>40</v>
      </c>
      <c r="AE1035" t="s">
        <v>86</v>
      </c>
      <c r="AF1035" t="s">
        <v>40</v>
      </c>
      <c r="AG1035">
        <v>0</v>
      </c>
      <c r="AH1035" t="s">
        <v>70</v>
      </c>
    </row>
    <row r="1036" spans="1:34" x14ac:dyDescent="0.3">
      <c r="A1036" t="s">
        <v>1660</v>
      </c>
      <c r="B1036" t="s">
        <v>649</v>
      </c>
      <c r="C1036" t="s">
        <v>155</v>
      </c>
      <c r="D1036" t="s">
        <v>104</v>
      </c>
      <c r="E1036" s="1">
        <v>45681</v>
      </c>
      <c r="F1036" s="1">
        <v>45711</v>
      </c>
      <c r="G1036" t="s">
        <v>81</v>
      </c>
      <c r="H1036">
        <v>10077</v>
      </c>
      <c r="I1036" t="s">
        <v>39</v>
      </c>
      <c r="J1036" t="b">
        <v>0</v>
      </c>
      <c r="K1036">
        <v>30</v>
      </c>
      <c r="L1036">
        <v>2</v>
      </c>
      <c r="M1036">
        <v>2025</v>
      </c>
      <c r="N1036">
        <v>6</v>
      </c>
      <c r="O1036">
        <v>1</v>
      </c>
      <c r="P1036">
        <v>2025</v>
      </c>
      <c r="Q1036">
        <v>4</v>
      </c>
      <c r="R1036" t="s">
        <v>66</v>
      </c>
      <c r="S1036" t="s">
        <v>45</v>
      </c>
      <c r="T1036" t="s">
        <v>286</v>
      </c>
      <c r="U1036" t="s">
        <v>40</v>
      </c>
      <c r="V1036" t="s">
        <v>156</v>
      </c>
      <c r="W1036" t="s">
        <v>157</v>
      </c>
      <c r="X1036" t="s">
        <v>158</v>
      </c>
      <c r="Y1036">
        <v>70</v>
      </c>
      <c r="Z1036" t="s">
        <v>107</v>
      </c>
      <c r="AA1036" t="s">
        <v>108</v>
      </c>
      <c r="AB1036" s="1">
        <v>45711</v>
      </c>
      <c r="AC1036" t="s">
        <v>66</v>
      </c>
      <c r="AD1036" t="s">
        <v>40</v>
      </c>
      <c r="AE1036" t="s">
        <v>60</v>
      </c>
      <c r="AF1036" t="s">
        <v>40</v>
      </c>
      <c r="AG1036">
        <v>0</v>
      </c>
      <c r="AH1036" t="s">
        <v>70</v>
      </c>
    </row>
    <row r="1037" spans="1:34" x14ac:dyDescent="0.3">
      <c r="A1037" t="s">
        <v>1661</v>
      </c>
      <c r="B1037" t="s">
        <v>1505</v>
      </c>
      <c r="C1037" t="s">
        <v>155</v>
      </c>
      <c r="D1037" t="s">
        <v>104</v>
      </c>
      <c r="E1037" s="1">
        <v>46110</v>
      </c>
      <c r="F1037" s="1">
        <v>46140</v>
      </c>
      <c r="G1037" t="s">
        <v>81</v>
      </c>
      <c r="H1037">
        <v>11423</v>
      </c>
      <c r="I1037" t="s">
        <v>65</v>
      </c>
      <c r="J1037" t="b">
        <v>0</v>
      </c>
      <c r="K1037">
        <v>30</v>
      </c>
      <c r="L1037">
        <v>4</v>
      </c>
      <c r="M1037">
        <v>2026</v>
      </c>
      <c r="N1037">
        <v>1</v>
      </c>
      <c r="O1037">
        <v>3</v>
      </c>
      <c r="P1037">
        <v>2026</v>
      </c>
      <c r="Q1037">
        <v>6</v>
      </c>
      <c r="R1037" t="s">
        <v>40</v>
      </c>
      <c r="S1037" t="s">
        <v>45</v>
      </c>
      <c r="T1037" t="s">
        <v>42</v>
      </c>
      <c r="U1037" t="s">
        <v>40</v>
      </c>
      <c r="V1037" t="s">
        <v>156</v>
      </c>
      <c r="W1037" t="s">
        <v>157</v>
      </c>
      <c r="X1037" t="s">
        <v>158</v>
      </c>
      <c r="Y1037">
        <v>70</v>
      </c>
      <c r="Z1037" t="s">
        <v>107</v>
      </c>
      <c r="AA1037" t="s">
        <v>108</v>
      </c>
      <c r="AB1037" s="1">
        <v>46140</v>
      </c>
      <c r="AC1037" t="s">
        <v>40</v>
      </c>
      <c r="AD1037" t="s">
        <v>40</v>
      </c>
      <c r="AE1037" t="s">
        <v>69</v>
      </c>
      <c r="AF1037" t="s">
        <v>40</v>
      </c>
      <c r="AG1037">
        <v>0</v>
      </c>
      <c r="AH1037" t="s">
        <v>70</v>
      </c>
    </row>
    <row r="1038" spans="1:34" x14ac:dyDescent="0.3">
      <c r="A1038" t="s">
        <v>1662</v>
      </c>
      <c r="B1038" t="s">
        <v>1663</v>
      </c>
      <c r="C1038" t="s">
        <v>73</v>
      </c>
      <c r="D1038" t="s">
        <v>37</v>
      </c>
      <c r="E1038" s="1">
        <v>45724</v>
      </c>
      <c r="F1038" s="1">
        <v>45738</v>
      </c>
      <c r="G1038" t="s">
        <v>64</v>
      </c>
      <c r="H1038">
        <v>3370</v>
      </c>
      <c r="I1038" t="s">
        <v>39</v>
      </c>
      <c r="J1038" t="b">
        <v>0</v>
      </c>
      <c r="K1038">
        <v>14</v>
      </c>
      <c r="L1038">
        <v>3</v>
      </c>
      <c r="M1038">
        <v>2025</v>
      </c>
      <c r="N1038">
        <v>5</v>
      </c>
      <c r="O1038">
        <v>3</v>
      </c>
      <c r="P1038">
        <v>2025</v>
      </c>
      <c r="Q1038">
        <v>5</v>
      </c>
      <c r="R1038" t="s">
        <v>66</v>
      </c>
      <c r="S1038" t="s">
        <v>45</v>
      </c>
      <c r="T1038" t="s">
        <v>42</v>
      </c>
      <c r="U1038" t="s">
        <v>40</v>
      </c>
      <c r="V1038" t="s">
        <v>74</v>
      </c>
      <c r="W1038" t="s">
        <v>75</v>
      </c>
      <c r="X1038" t="s">
        <v>76</v>
      </c>
      <c r="Y1038">
        <v>75</v>
      </c>
      <c r="Z1038" t="s">
        <v>46</v>
      </c>
      <c r="AA1038" t="s">
        <v>47</v>
      </c>
      <c r="AB1038" s="1">
        <v>45738</v>
      </c>
      <c r="AC1038" t="s">
        <v>66</v>
      </c>
      <c r="AD1038" t="s">
        <v>40</v>
      </c>
      <c r="AE1038" t="s">
        <v>60</v>
      </c>
      <c r="AF1038" t="s">
        <v>40</v>
      </c>
      <c r="AG1038">
        <v>0</v>
      </c>
      <c r="AH1038" t="s">
        <v>70</v>
      </c>
    </row>
    <row r="1039" spans="1:34" x14ac:dyDescent="0.3">
      <c r="A1039" t="s">
        <v>1664</v>
      </c>
      <c r="B1039" t="s">
        <v>773</v>
      </c>
      <c r="C1039" t="s">
        <v>36</v>
      </c>
      <c r="D1039" t="s">
        <v>104</v>
      </c>
      <c r="E1039" s="1">
        <v>45919</v>
      </c>
      <c r="F1039" s="1">
        <v>45933</v>
      </c>
      <c r="G1039" t="s">
        <v>81</v>
      </c>
      <c r="H1039">
        <v>10420</v>
      </c>
      <c r="I1039" t="s">
        <v>39</v>
      </c>
      <c r="J1039" t="b">
        <v>0</v>
      </c>
      <c r="K1039">
        <v>14</v>
      </c>
      <c r="L1039">
        <v>10</v>
      </c>
      <c r="M1039">
        <v>2025</v>
      </c>
      <c r="N1039">
        <v>4</v>
      </c>
      <c r="O1039">
        <v>9</v>
      </c>
      <c r="P1039">
        <v>2025</v>
      </c>
      <c r="Q1039">
        <v>4</v>
      </c>
      <c r="R1039" t="s">
        <v>40</v>
      </c>
      <c r="S1039" t="s">
        <v>41</v>
      </c>
      <c r="T1039" t="s">
        <v>113</v>
      </c>
      <c r="U1039" t="s">
        <v>40</v>
      </c>
      <c r="V1039" t="s">
        <v>43</v>
      </c>
      <c r="W1039" t="s">
        <v>44</v>
      </c>
      <c r="X1039" t="s">
        <v>45</v>
      </c>
      <c r="Y1039">
        <v>150</v>
      </c>
      <c r="Z1039" t="s">
        <v>107</v>
      </c>
      <c r="AA1039" t="s">
        <v>108</v>
      </c>
      <c r="AB1039" s="1">
        <v>45933</v>
      </c>
      <c r="AC1039" t="s">
        <v>40</v>
      </c>
      <c r="AD1039" t="s">
        <v>40</v>
      </c>
      <c r="AE1039" t="s">
        <v>60</v>
      </c>
      <c r="AF1039" t="s">
        <v>40</v>
      </c>
      <c r="AG1039">
        <v>0</v>
      </c>
      <c r="AH1039" t="s">
        <v>70</v>
      </c>
    </row>
    <row r="1040" spans="1:34" x14ac:dyDescent="0.3">
      <c r="A1040" t="s">
        <v>1665</v>
      </c>
      <c r="B1040" t="s">
        <v>1387</v>
      </c>
      <c r="C1040" t="s">
        <v>146</v>
      </c>
      <c r="D1040" t="s">
        <v>90</v>
      </c>
      <c r="E1040" s="1">
        <v>45695</v>
      </c>
      <c r="F1040" s="1">
        <v>45915</v>
      </c>
      <c r="G1040" t="s">
        <v>81</v>
      </c>
      <c r="H1040">
        <v>7237</v>
      </c>
      <c r="I1040" t="s">
        <v>54</v>
      </c>
      <c r="J1040" t="b">
        <v>0</v>
      </c>
      <c r="K1040">
        <v>220</v>
      </c>
      <c r="L1040">
        <v>9</v>
      </c>
      <c r="M1040">
        <v>2025</v>
      </c>
      <c r="N1040">
        <v>0</v>
      </c>
      <c r="O1040">
        <v>2</v>
      </c>
      <c r="P1040">
        <v>2025</v>
      </c>
      <c r="Q1040">
        <v>4</v>
      </c>
      <c r="R1040" t="s">
        <v>40</v>
      </c>
      <c r="S1040" t="s">
        <v>67</v>
      </c>
      <c r="T1040" t="s">
        <v>42</v>
      </c>
      <c r="U1040" t="s">
        <v>40</v>
      </c>
      <c r="V1040" t="s">
        <v>147</v>
      </c>
      <c r="W1040" t="s">
        <v>148</v>
      </c>
      <c r="X1040" t="s">
        <v>45</v>
      </c>
      <c r="Y1040">
        <v>160</v>
      </c>
      <c r="Z1040" t="s">
        <v>93</v>
      </c>
      <c r="AA1040" t="s">
        <v>94</v>
      </c>
      <c r="AB1040" s="1">
        <v>45915</v>
      </c>
      <c r="AC1040" t="s">
        <v>40</v>
      </c>
      <c r="AD1040" t="s">
        <v>40</v>
      </c>
      <c r="AE1040" t="s">
        <v>60</v>
      </c>
      <c r="AF1040" t="s">
        <v>40</v>
      </c>
      <c r="AG1040">
        <v>1</v>
      </c>
      <c r="AH1040" t="s">
        <v>142</v>
      </c>
    </row>
    <row r="1041" spans="1:34" x14ac:dyDescent="0.3">
      <c r="A1041" t="s">
        <v>1666</v>
      </c>
      <c r="B1041" t="s">
        <v>1667</v>
      </c>
      <c r="C1041" t="s">
        <v>52</v>
      </c>
      <c r="D1041" t="s">
        <v>53</v>
      </c>
      <c r="E1041" s="1">
        <v>45739</v>
      </c>
      <c r="F1041" s="1">
        <v>45769</v>
      </c>
      <c r="G1041" t="s">
        <v>81</v>
      </c>
      <c r="H1041">
        <v>7660</v>
      </c>
      <c r="I1041" t="s">
        <v>39</v>
      </c>
      <c r="J1041" t="b">
        <v>0</v>
      </c>
      <c r="K1041">
        <v>30</v>
      </c>
      <c r="L1041">
        <v>4</v>
      </c>
      <c r="M1041">
        <v>2025</v>
      </c>
      <c r="N1041">
        <v>1</v>
      </c>
      <c r="O1041">
        <v>3</v>
      </c>
      <c r="P1041">
        <v>2025</v>
      </c>
      <c r="Q1041">
        <v>6</v>
      </c>
      <c r="R1041" t="s">
        <v>40</v>
      </c>
      <c r="S1041" t="s">
        <v>45</v>
      </c>
      <c r="T1041" t="s">
        <v>42</v>
      </c>
      <c r="U1041" t="s">
        <v>40</v>
      </c>
      <c r="V1041" t="s">
        <v>56</v>
      </c>
      <c r="W1041" t="s">
        <v>57</v>
      </c>
      <c r="X1041" t="s">
        <v>45</v>
      </c>
      <c r="Y1041">
        <v>120</v>
      </c>
      <c r="Z1041" t="s">
        <v>58</v>
      </c>
      <c r="AA1041" t="s">
        <v>59</v>
      </c>
      <c r="AB1041" s="1">
        <v>45769</v>
      </c>
      <c r="AC1041" t="s">
        <v>40</v>
      </c>
      <c r="AD1041" t="s">
        <v>40</v>
      </c>
      <c r="AE1041" t="s">
        <v>69</v>
      </c>
      <c r="AF1041" t="s">
        <v>40</v>
      </c>
      <c r="AG1041">
        <v>0</v>
      </c>
      <c r="AH1041" t="s">
        <v>70</v>
      </c>
    </row>
    <row r="1042" spans="1:34" x14ac:dyDescent="0.3">
      <c r="A1042" t="s">
        <v>1668</v>
      </c>
      <c r="B1042" t="s">
        <v>1669</v>
      </c>
      <c r="C1042" t="s">
        <v>169</v>
      </c>
      <c r="D1042" t="s">
        <v>90</v>
      </c>
      <c r="E1042" s="1">
        <v>46191</v>
      </c>
      <c r="F1042" s="1">
        <v>46192</v>
      </c>
      <c r="G1042" t="s">
        <v>64</v>
      </c>
      <c r="H1042">
        <v>2306</v>
      </c>
      <c r="I1042" t="s">
        <v>212</v>
      </c>
      <c r="J1042" t="b">
        <v>0</v>
      </c>
      <c r="K1042">
        <v>1</v>
      </c>
      <c r="L1042">
        <v>6</v>
      </c>
      <c r="M1042">
        <v>2026</v>
      </c>
      <c r="N1042">
        <v>4</v>
      </c>
      <c r="O1042">
        <v>6</v>
      </c>
      <c r="P1042">
        <v>2026</v>
      </c>
      <c r="Q1042">
        <v>3</v>
      </c>
      <c r="R1042" t="s">
        <v>40</v>
      </c>
      <c r="S1042" t="s">
        <v>41</v>
      </c>
      <c r="T1042" t="s">
        <v>42</v>
      </c>
      <c r="U1042" t="s">
        <v>40</v>
      </c>
      <c r="V1042" t="s">
        <v>170</v>
      </c>
      <c r="W1042" t="s">
        <v>171</v>
      </c>
      <c r="X1042" t="s">
        <v>126</v>
      </c>
      <c r="Y1042">
        <v>90</v>
      </c>
      <c r="Z1042" t="s">
        <v>93</v>
      </c>
      <c r="AA1042" t="s">
        <v>94</v>
      </c>
      <c r="AB1042" s="1">
        <v>46192</v>
      </c>
      <c r="AC1042" t="s">
        <v>40</v>
      </c>
      <c r="AD1042" t="s">
        <v>40</v>
      </c>
      <c r="AE1042" t="s">
        <v>60</v>
      </c>
      <c r="AF1042" t="s">
        <v>40</v>
      </c>
      <c r="AG1042">
        <v>0</v>
      </c>
      <c r="AH1042" t="s">
        <v>100</v>
      </c>
    </row>
    <row r="1043" spans="1:34" x14ac:dyDescent="0.3">
      <c r="A1043" t="s">
        <v>1670</v>
      </c>
      <c r="B1043" t="s">
        <v>685</v>
      </c>
      <c r="C1043" t="s">
        <v>169</v>
      </c>
      <c r="D1043" t="s">
        <v>80</v>
      </c>
      <c r="E1043" s="1">
        <v>46139</v>
      </c>
      <c r="F1043" s="1">
        <v>46289</v>
      </c>
      <c r="G1043" t="s">
        <v>38</v>
      </c>
      <c r="H1043">
        <v>4300</v>
      </c>
      <c r="I1043" t="s">
        <v>39</v>
      </c>
      <c r="J1043" t="b">
        <v>0</v>
      </c>
      <c r="K1043">
        <v>150</v>
      </c>
      <c r="L1043">
        <v>9</v>
      </c>
      <c r="M1043">
        <v>2026</v>
      </c>
      <c r="N1043">
        <v>3</v>
      </c>
      <c r="O1043">
        <v>4</v>
      </c>
      <c r="P1043">
        <v>2026</v>
      </c>
      <c r="Q1043">
        <v>0</v>
      </c>
      <c r="R1043" t="s">
        <v>40</v>
      </c>
      <c r="S1043" t="s">
        <v>41</v>
      </c>
      <c r="T1043" t="s">
        <v>68</v>
      </c>
      <c r="U1043" t="s">
        <v>66</v>
      </c>
      <c r="V1043" t="s">
        <v>170</v>
      </c>
      <c r="W1043" t="s">
        <v>171</v>
      </c>
      <c r="X1043" t="s">
        <v>126</v>
      </c>
      <c r="Y1043">
        <v>90</v>
      </c>
      <c r="Z1043" t="s">
        <v>84</v>
      </c>
      <c r="AA1043" t="s">
        <v>85</v>
      </c>
      <c r="AB1043" s="1">
        <v>46289</v>
      </c>
      <c r="AC1043" t="s">
        <v>40</v>
      </c>
      <c r="AD1043" t="s">
        <v>40</v>
      </c>
      <c r="AE1043" t="s">
        <v>60</v>
      </c>
      <c r="AF1043" t="s">
        <v>40</v>
      </c>
      <c r="AG1043">
        <v>0</v>
      </c>
      <c r="AH1043" t="s">
        <v>49</v>
      </c>
    </row>
    <row r="1044" spans="1:34" x14ac:dyDescent="0.3">
      <c r="A1044" t="s">
        <v>1671</v>
      </c>
      <c r="B1044" t="s">
        <v>957</v>
      </c>
      <c r="C1044" t="s">
        <v>146</v>
      </c>
      <c r="D1044" t="s">
        <v>130</v>
      </c>
      <c r="E1044" s="1">
        <v>46131</v>
      </c>
      <c r="F1044" s="1">
        <v>46161</v>
      </c>
      <c r="G1044" t="s">
        <v>81</v>
      </c>
      <c r="H1044">
        <v>8030</v>
      </c>
      <c r="I1044" t="s">
        <v>39</v>
      </c>
      <c r="J1044" t="b">
        <v>0</v>
      </c>
      <c r="K1044">
        <v>30</v>
      </c>
      <c r="L1044">
        <v>5</v>
      </c>
      <c r="M1044">
        <v>2026</v>
      </c>
      <c r="N1044">
        <v>1</v>
      </c>
      <c r="O1044">
        <v>4</v>
      </c>
      <c r="P1044">
        <v>2026</v>
      </c>
      <c r="Q1044">
        <v>6</v>
      </c>
      <c r="R1044" t="s">
        <v>40</v>
      </c>
      <c r="S1044" t="s">
        <v>55</v>
      </c>
      <c r="T1044" t="s">
        <v>113</v>
      </c>
      <c r="U1044" t="s">
        <v>40</v>
      </c>
      <c r="V1044" t="s">
        <v>147</v>
      </c>
      <c r="W1044" t="s">
        <v>148</v>
      </c>
      <c r="X1044" t="s">
        <v>45</v>
      </c>
      <c r="Y1044">
        <v>160</v>
      </c>
      <c r="Z1044" t="s">
        <v>133</v>
      </c>
      <c r="AA1044" t="s">
        <v>134</v>
      </c>
      <c r="AB1044" s="1">
        <v>46161</v>
      </c>
      <c r="AC1044" t="s">
        <v>40</v>
      </c>
      <c r="AD1044" t="s">
        <v>40</v>
      </c>
      <c r="AE1044" t="s">
        <v>69</v>
      </c>
      <c r="AF1044" t="s">
        <v>40</v>
      </c>
      <c r="AG1044">
        <v>0</v>
      </c>
      <c r="AH1044" t="s">
        <v>70</v>
      </c>
    </row>
    <row r="1045" spans="1:34" x14ac:dyDescent="0.3">
      <c r="A1045" t="s">
        <v>1672</v>
      </c>
      <c r="B1045" t="s">
        <v>519</v>
      </c>
      <c r="C1045" t="s">
        <v>146</v>
      </c>
      <c r="D1045" t="s">
        <v>130</v>
      </c>
      <c r="E1045" s="1">
        <v>46170</v>
      </c>
      <c r="F1045" s="1">
        <v>46200</v>
      </c>
      <c r="G1045" t="s">
        <v>64</v>
      </c>
      <c r="H1045">
        <v>2476</v>
      </c>
      <c r="I1045" t="s">
        <v>65</v>
      </c>
      <c r="J1045" t="b">
        <v>0</v>
      </c>
      <c r="K1045">
        <v>30</v>
      </c>
      <c r="L1045">
        <v>6</v>
      </c>
      <c r="M1045">
        <v>2026</v>
      </c>
      <c r="N1045">
        <v>5</v>
      </c>
      <c r="O1045">
        <v>5</v>
      </c>
      <c r="P1045">
        <v>2026</v>
      </c>
      <c r="Q1045">
        <v>3</v>
      </c>
      <c r="R1045" t="s">
        <v>66</v>
      </c>
      <c r="S1045" t="s">
        <v>41</v>
      </c>
      <c r="T1045" t="s">
        <v>42</v>
      </c>
      <c r="U1045" t="s">
        <v>40</v>
      </c>
      <c r="V1045" t="s">
        <v>147</v>
      </c>
      <c r="W1045" t="s">
        <v>148</v>
      </c>
      <c r="X1045" t="s">
        <v>45</v>
      </c>
      <c r="Y1045">
        <v>160</v>
      </c>
      <c r="Z1045" t="s">
        <v>133</v>
      </c>
      <c r="AA1045" t="s">
        <v>134</v>
      </c>
      <c r="AB1045" s="1">
        <v>46200</v>
      </c>
      <c r="AC1045" t="s">
        <v>66</v>
      </c>
      <c r="AD1045" t="s">
        <v>40</v>
      </c>
      <c r="AE1045" t="s">
        <v>60</v>
      </c>
      <c r="AF1045" t="s">
        <v>40</v>
      </c>
      <c r="AG1045">
        <v>0</v>
      </c>
      <c r="AH1045" t="s">
        <v>70</v>
      </c>
    </row>
    <row r="1046" spans="1:34" x14ac:dyDescent="0.3">
      <c r="A1046" t="s">
        <v>1673</v>
      </c>
      <c r="B1046" t="s">
        <v>1674</v>
      </c>
      <c r="C1046" t="s">
        <v>155</v>
      </c>
      <c r="D1046" t="s">
        <v>53</v>
      </c>
      <c r="E1046" s="1">
        <v>46131</v>
      </c>
      <c r="F1046" s="1">
        <v>46138</v>
      </c>
      <c r="G1046" t="s">
        <v>38</v>
      </c>
      <c r="H1046">
        <v>4516</v>
      </c>
      <c r="I1046" t="s">
        <v>54</v>
      </c>
      <c r="J1046" t="b">
        <v>0</v>
      </c>
      <c r="K1046">
        <v>7</v>
      </c>
      <c r="L1046">
        <v>4</v>
      </c>
      <c r="M1046">
        <v>2026</v>
      </c>
      <c r="N1046">
        <v>6</v>
      </c>
      <c r="O1046">
        <v>4</v>
      </c>
      <c r="P1046">
        <v>2026</v>
      </c>
      <c r="Q1046">
        <v>6</v>
      </c>
      <c r="R1046" t="s">
        <v>66</v>
      </c>
      <c r="S1046" t="s">
        <v>55</v>
      </c>
      <c r="T1046" t="s">
        <v>42</v>
      </c>
      <c r="U1046" t="s">
        <v>40</v>
      </c>
      <c r="V1046" t="s">
        <v>156</v>
      </c>
      <c r="W1046" t="s">
        <v>157</v>
      </c>
      <c r="X1046" t="s">
        <v>158</v>
      </c>
      <c r="Y1046">
        <v>70</v>
      </c>
      <c r="Z1046" t="s">
        <v>58</v>
      </c>
      <c r="AA1046" t="s">
        <v>59</v>
      </c>
      <c r="AB1046" s="1">
        <v>46138</v>
      </c>
      <c r="AC1046" t="s">
        <v>66</v>
      </c>
      <c r="AD1046" t="s">
        <v>40</v>
      </c>
      <c r="AE1046" t="s">
        <v>69</v>
      </c>
      <c r="AF1046" t="s">
        <v>40</v>
      </c>
      <c r="AG1046">
        <v>1</v>
      </c>
      <c r="AH1046" t="s">
        <v>100</v>
      </c>
    </row>
    <row r="1047" spans="1:34" x14ac:dyDescent="0.3">
      <c r="A1047" t="s">
        <v>1675</v>
      </c>
      <c r="B1047" t="s">
        <v>983</v>
      </c>
      <c r="C1047" t="s">
        <v>97</v>
      </c>
      <c r="D1047" t="s">
        <v>130</v>
      </c>
      <c r="E1047" s="1">
        <v>45952</v>
      </c>
      <c r="F1047" s="1">
        <v>45966</v>
      </c>
      <c r="G1047" t="s">
        <v>41</v>
      </c>
      <c r="H1047">
        <v>8640</v>
      </c>
      <c r="I1047" t="s">
        <v>212</v>
      </c>
      <c r="J1047" t="b">
        <v>0</v>
      </c>
      <c r="K1047">
        <v>14</v>
      </c>
      <c r="L1047">
        <v>11</v>
      </c>
      <c r="M1047">
        <v>2025</v>
      </c>
      <c r="N1047">
        <v>2</v>
      </c>
      <c r="O1047">
        <v>10</v>
      </c>
      <c r="P1047">
        <v>2025</v>
      </c>
      <c r="Q1047">
        <v>2</v>
      </c>
      <c r="R1047" t="s">
        <v>40</v>
      </c>
      <c r="S1047" t="s">
        <v>41</v>
      </c>
      <c r="T1047" t="s">
        <v>42</v>
      </c>
      <c r="U1047" t="s">
        <v>40</v>
      </c>
      <c r="V1047" t="s">
        <v>98</v>
      </c>
      <c r="W1047" t="s">
        <v>99</v>
      </c>
      <c r="X1047" t="s">
        <v>76</v>
      </c>
      <c r="Y1047">
        <v>80</v>
      </c>
      <c r="Z1047" t="s">
        <v>133</v>
      </c>
      <c r="AA1047" t="s">
        <v>134</v>
      </c>
      <c r="AB1047" s="1">
        <v>45966</v>
      </c>
      <c r="AC1047" t="s">
        <v>40</v>
      </c>
      <c r="AD1047" t="s">
        <v>40</v>
      </c>
      <c r="AE1047" t="s">
        <v>86</v>
      </c>
      <c r="AF1047" t="s">
        <v>40</v>
      </c>
      <c r="AG1047">
        <v>0</v>
      </c>
      <c r="AH1047" t="s">
        <v>70</v>
      </c>
    </row>
    <row r="1048" spans="1:34" x14ac:dyDescent="0.3">
      <c r="A1048" t="s">
        <v>1676</v>
      </c>
      <c r="B1048" t="s">
        <v>1677</v>
      </c>
      <c r="C1048" t="s">
        <v>155</v>
      </c>
      <c r="D1048" t="s">
        <v>80</v>
      </c>
      <c r="E1048" s="1">
        <v>46072</v>
      </c>
      <c r="F1048" s="1">
        <v>46132</v>
      </c>
      <c r="G1048" t="s">
        <v>41</v>
      </c>
      <c r="H1048">
        <v>8296</v>
      </c>
      <c r="I1048" t="s">
        <v>54</v>
      </c>
      <c r="J1048" t="b">
        <v>0</v>
      </c>
      <c r="K1048">
        <v>60</v>
      </c>
      <c r="L1048">
        <v>4</v>
      </c>
      <c r="M1048">
        <v>2026</v>
      </c>
      <c r="N1048">
        <v>0</v>
      </c>
      <c r="O1048">
        <v>2</v>
      </c>
      <c r="P1048">
        <v>2026</v>
      </c>
      <c r="Q1048">
        <v>3</v>
      </c>
      <c r="R1048" t="s">
        <v>40</v>
      </c>
      <c r="S1048" t="s">
        <v>45</v>
      </c>
      <c r="T1048" t="s">
        <v>42</v>
      </c>
      <c r="U1048" t="s">
        <v>40</v>
      </c>
      <c r="V1048" t="s">
        <v>156</v>
      </c>
      <c r="W1048" t="s">
        <v>157</v>
      </c>
      <c r="X1048" t="s">
        <v>158</v>
      </c>
      <c r="Y1048">
        <v>70</v>
      </c>
      <c r="Z1048" t="s">
        <v>84</v>
      </c>
      <c r="AA1048" t="s">
        <v>85</v>
      </c>
      <c r="AB1048" s="1">
        <v>46132</v>
      </c>
      <c r="AC1048" t="s">
        <v>40</v>
      </c>
      <c r="AD1048" t="s">
        <v>40</v>
      </c>
      <c r="AE1048" t="s">
        <v>69</v>
      </c>
      <c r="AF1048" t="s">
        <v>40</v>
      </c>
      <c r="AG1048">
        <v>1</v>
      </c>
      <c r="AH1048" t="s">
        <v>61</v>
      </c>
    </row>
    <row r="1049" spans="1:34" x14ac:dyDescent="0.3">
      <c r="A1049" t="s">
        <v>1678</v>
      </c>
      <c r="B1049" t="s">
        <v>1674</v>
      </c>
      <c r="C1049" t="s">
        <v>169</v>
      </c>
      <c r="D1049" t="s">
        <v>130</v>
      </c>
      <c r="E1049" s="1">
        <v>46276</v>
      </c>
      <c r="F1049" s="1">
        <v>46376</v>
      </c>
      <c r="G1049" t="s">
        <v>41</v>
      </c>
      <c r="H1049">
        <v>6288</v>
      </c>
      <c r="I1049" t="s">
        <v>39</v>
      </c>
      <c r="J1049" t="b">
        <v>0</v>
      </c>
      <c r="K1049">
        <v>100</v>
      </c>
      <c r="L1049">
        <v>12</v>
      </c>
      <c r="M1049">
        <v>2026</v>
      </c>
      <c r="N1049">
        <v>6</v>
      </c>
      <c r="O1049">
        <v>9</v>
      </c>
      <c r="P1049">
        <v>2026</v>
      </c>
      <c r="Q1049">
        <v>4</v>
      </c>
      <c r="R1049" t="s">
        <v>66</v>
      </c>
      <c r="S1049" t="s">
        <v>55</v>
      </c>
      <c r="T1049" t="s">
        <v>42</v>
      </c>
      <c r="U1049" t="s">
        <v>40</v>
      </c>
      <c r="V1049" t="s">
        <v>170</v>
      </c>
      <c r="W1049" t="s">
        <v>171</v>
      </c>
      <c r="X1049" t="s">
        <v>126</v>
      </c>
      <c r="Y1049">
        <v>90</v>
      </c>
      <c r="Z1049" t="s">
        <v>133</v>
      </c>
      <c r="AA1049" t="s">
        <v>134</v>
      </c>
      <c r="AB1049" s="1">
        <v>46376</v>
      </c>
      <c r="AC1049" t="s">
        <v>66</v>
      </c>
      <c r="AD1049" t="s">
        <v>40</v>
      </c>
      <c r="AE1049" t="s">
        <v>69</v>
      </c>
      <c r="AF1049" t="s">
        <v>40</v>
      </c>
      <c r="AG1049">
        <v>0</v>
      </c>
      <c r="AH1049" t="s">
        <v>49</v>
      </c>
    </row>
    <row r="1050" spans="1:34" x14ac:dyDescent="0.3">
      <c r="A1050" t="s">
        <v>1679</v>
      </c>
      <c r="B1050" t="s">
        <v>775</v>
      </c>
      <c r="C1050" t="s">
        <v>122</v>
      </c>
      <c r="D1050" t="s">
        <v>80</v>
      </c>
      <c r="E1050" s="1">
        <v>45801</v>
      </c>
      <c r="F1050" s="1">
        <v>45831</v>
      </c>
      <c r="G1050" t="s">
        <v>81</v>
      </c>
      <c r="H1050">
        <v>6634</v>
      </c>
      <c r="I1050" t="s">
        <v>39</v>
      </c>
      <c r="J1050" t="b">
        <v>0</v>
      </c>
      <c r="K1050">
        <v>30</v>
      </c>
      <c r="L1050">
        <v>6</v>
      </c>
      <c r="M1050">
        <v>2025</v>
      </c>
      <c r="N1050">
        <v>0</v>
      </c>
      <c r="O1050">
        <v>5</v>
      </c>
      <c r="P1050">
        <v>2025</v>
      </c>
      <c r="Q1050">
        <v>5</v>
      </c>
      <c r="R1050" t="s">
        <v>40</v>
      </c>
      <c r="S1050" t="s">
        <v>67</v>
      </c>
      <c r="T1050" t="s">
        <v>113</v>
      </c>
      <c r="U1050" t="s">
        <v>40</v>
      </c>
      <c r="V1050" t="s">
        <v>124</v>
      </c>
      <c r="W1050" t="s">
        <v>125</v>
      </c>
      <c r="X1050" t="s">
        <v>126</v>
      </c>
      <c r="Y1050">
        <v>85</v>
      </c>
      <c r="Z1050" t="s">
        <v>84</v>
      </c>
      <c r="AA1050" t="s">
        <v>85</v>
      </c>
      <c r="AB1050" s="1">
        <v>45831</v>
      </c>
      <c r="AC1050" t="s">
        <v>40</v>
      </c>
      <c r="AD1050" t="s">
        <v>40</v>
      </c>
      <c r="AE1050" t="s">
        <v>60</v>
      </c>
      <c r="AF1050" t="s">
        <v>40</v>
      </c>
      <c r="AG1050">
        <v>0</v>
      </c>
      <c r="AH1050" t="s">
        <v>70</v>
      </c>
    </row>
    <row r="1051" spans="1:34" x14ac:dyDescent="0.3">
      <c r="A1051" t="s">
        <v>1680</v>
      </c>
      <c r="B1051" t="s">
        <v>1360</v>
      </c>
      <c r="C1051" t="s">
        <v>89</v>
      </c>
      <c r="D1051" t="s">
        <v>104</v>
      </c>
      <c r="E1051" s="1">
        <v>46038</v>
      </c>
      <c r="F1051" s="1">
        <v>46138</v>
      </c>
      <c r="G1051" t="s">
        <v>41</v>
      </c>
      <c r="H1051">
        <v>8881</v>
      </c>
      <c r="I1051" t="s">
        <v>39</v>
      </c>
      <c r="J1051" t="b">
        <v>0</v>
      </c>
      <c r="K1051">
        <v>100</v>
      </c>
      <c r="L1051">
        <v>4</v>
      </c>
      <c r="M1051">
        <v>2026</v>
      </c>
      <c r="N1051">
        <v>6</v>
      </c>
      <c r="O1051">
        <v>1</v>
      </c>
      <c r="P1051">
        <v>2026</v>
      </c>
      <c r="Q1051">
        <v>4</v>
      </c>
      <c r="R1051" t="s">
        <v>66</v>
      </c>
      <c r="S1051" t="s">
        <v>55</v>
      </c>
      <c r="T1051" t="s">
        <v>113</v>
      </c>
      <c r="U1051" t="s">
        <v>40</v>
      </c>
      <c r="V1051" t="s">
        <v>91</v>
      </c>
      <c r="W1051" t="s">
        <v>92</v>
      </c>
      <c r="X1051" t="s">
        <v>76</v>
      </c>
      <c r="Y1051">
        <v>65</v>
      </c>
      <c r="Z1051" t="s">
        <v>107</v>
      </c>
      <c r="AA1051" t="s">
        <v>108</v>
      </c>
      <c r="AB1051" s="1">
        <v>46138</v>
      </c>
      <c r="AC1051" t="s">
        <v>66</v>
      </c>
      <c r="AD1051" t="s">
        <v>40</v>
      </c>
      <c r="AE1051" t="s">
        <v>69</v>
      </c>
      <c r="AF1051" t="s">
        <v>40</v>
      </c>
      <c r="AG1051">
        <v>0</v>
      </c>
      <c r="AH1051" t="s">
        <v>49</v>
      </c>
    </row>
    <row r="1052" spans="1:34" x14ac:dyDescent="0.3">
      <c r="A1052" t="s">
        <v>1681</v>
      </c>
      <c r="B1052" t="s">
        <v>1083</v>
      </c>
      <c r="C1052" t="s">
        <v>52</v>
      </c>
      <c r="D1052" t="s">
        <v>53</v>
      </c>
      <c r="E1052" s="1">
        <v>46134</v>
      </c>
      <c r="F1052" s="1">
        <v>46234</v>
      </c>
      <c r="G1052" t="s">
        <v>41</v>
      </c>
      <c r="H1052">
        <v>8363</v>
      </c>
      <c r="I1052" t="s">
        <v>54</v>
      </c>
      <c r="J1052" t="b">
        <v>0</v>
      </c>
      <c r="K1052">
        <v>100</v>
      </c>
      <c r="L1052">
        <v>7</v>
      </c>
      <c r="M1052">
        <v>2026</v>
      </c>
      <c r="N1052">
        <v>4</v>
      </c>
      <c r="O1052">
        <v>4</v>
      </c>
      <c r="P1052">
        <v>2026</v>
      </c>
      <c r="Q1052">
        <v>2</v>
      </c>
      <c r="R1052" t="s">
        <v>40</v>
      </c>
      <c r="S1052" t="s">
        <v>55</v>
      </c>
      <c r="T1052" t="s">
        <v>42</v>
      </c>
      <c r="U1052" t="s">
        <v>40</v>
      </c>
      <c r="V1052" t="s">
        <v>56</v>
      </c>
      <c r="W1052" t="s">
        <v>57</v>
      </c>
      <c r="X1052" t="s">
        <v>45</v>
      </c>
      <c r="Y1052">
        <v>120</v>
      </c>
      <c r="Z1052" t="s">
        <v>58</v>
      </c>
      <c r="AA1052" t="s">
        <v>59</v>
      </c>
      <c r="AB1052" s="1">
        <v>46234</v>
      </c>
      <c r="AC1052" t="s">
        <v>40</v>
      </c>
      <c r="AD1052" t="s">
        <v>40</v>
      </c>
      <c r="AE1052" t="s">
        <v>86</v>
      </c>
      <c r="AF1052" t="s">
        <v>40</v>
      </c>
      <c r="AG1052">
        <v>1</v>
      </c>
      <c r="AH1052" t="s">
        <v>49</v>
      </c>
    </row>
    <row r="1053" spans="1:34" x14ac:dyDescent="0.3">
      <c r="A1053" t="s">
        <v>1682</v>
      </c>
      <c r="B1053" t="s">
        <v>1683</v>
      </c>
      <c r="C1053" t="s">
        <v>36</v>
      </c>
      <c r="D1053" t="s">
        <v>53</v>
      </c>
      <c r="E1053" s="1">
        <v>45997</v>
      </c>
      <c r="F1053" s="1">
        <v>46004</v>
      </c>
      <c r="G1053" t="s">
        <v>38</v>
      </c>
      <c r="H1053">
        <v>4097</v>
      </c>
      <c r="I1053" t="s">
        <v>39</v>
      </c>
      <c r="J1053" t="b">
        <v>0</v>
      </c>
      <c r="K1053">
        <v>7</v>
      </c>
      <c r="L1053">
        <v>12</v>
      </c>
      <c r="M1053">
        <v>2025</v>
      </c>
      <c r="N1053">
        <v>5</v>
      </c>
      <c r="O1053">
        <v>12</v>
      </c>
      <c r="P1053">
        <v>2025</v>
      </c>
      <c r="Q1053">
        <v>5</v>
      </c>
      <c r="R1053" t="s">
        <v>66</v>
      </c>
      <c r="S1053" t="s">
        <v>67</v>
      </c>
      <c r="T1053" t="s">
        <v>42</v>
      </c>
      <c r="U1053" t="s">
        <v>40</v>
      </c>
      <c r="V1053" t="s">
        <v>43</v>
      </c>
      <c r="W1053" t="s">
        <v>44</v>
      </c>
      <c r="X1053" t="s">
        <v>45</v>
      </c>
      <c r="Y1053">
        <v>150</v>
      </c>
      <c r="Z1053" t="s">
        <v>58</v>
      </c>
      <c r="AA1053" t="s">
        <v>59</v>
      </c>
      <c r="AB1053" s="1">
        <v>46004</v>
      </c>
      <c r="AC1053" t="s">
        <v>66</v>
      </c>
      <c r="AD1053" t="s">
        <v>40</v>
      </c>
      <c r="AE1053" t="s">
        <v>69</v>
      </c>
      <c r="AF1053" t="s">
        <v>40</v>
      </c>
      <c r="AG1053">
        <v>0</v>
      </c>
      <c r="AH1053" t="s">
        <v>100</v>
      </c>
    </row>
    <row r="1054" spans="1:34" x14ac:dyDescent="0.3">
      <c r="A1054" t="s">
        <v>1684</v>
      </c>
      <c r="B1054" t="s">
        <v>545</v>
      </c>
      <c r="C1054" t="s">
        <v>52</v>
      </c>
      <c r="D1054" t="s">
        <v>104</v>
      </c>
      <c r="E1054" s="1">
        <v>46071</v>
      </c>
      <c r="F1054" s="1">
        <v>46085</v>
      </c>
      <c r="G1054" t="s">
        <v>41</v>
      </c>
      <c r="H1054">
        <v>6507</v>
      </c>
      <c r="I1054" t="s">
        <v>39</v>
      </c>
      <c r="J1054" t="b">
        <v>0</v>
      </c>
      <c r="K1054">
        <v>14</v>
      </c>
      <c r="L1054">
        <v>3</v>
      </c>
      <c r="M1054">
        <v>2026</v>
      </c>
      <c r="N1054">
        <v>2</v>
      </c>
      <c r="O1054">
        <v>2</v>
      </c>
      <c r="P1054">
        <v>2026</v>
      </c>
      <c r="Q1054">
        <v>2</v>
      </c>
      <c r="R1054" t="s">
        <v>40</v>
      </c>
      <c r="S1054" t="s">
        <v>41</v>
      </c>
      <c r="T1054" t="s">
        <v>42</v>
      </c>
      <c r="U1054" t="s">
        <v>40</v>
      </c>
      <c r="V1054" t="s">
        <v>56</v>
      </c>
      <c r="W1054" t="s">
        <v>57</v>
      </c>
      <c r="X1054" t="s">
        <v>45</v>
      </c>
      <c r="Y1054">
        <v>120</v>
      </c>
      <c r="Z1054" t="s">
        <v>107</v>
      </c>
      <c r="AA1054" t="s">
        <v>108</v>
      </c>
      <c r="AB1054" s="1">
        <v>46085</v>
      </c>
      <c r="AC1054" t="s">
        <v>40</v>
      </c>
      <c r="AD1054" t="s">
        <v>40</v>
      </c>
      <c r="AE1054" t="s">
        <v>60</v>
      </c>
      <c r="AF1054" t="s">
        <v>40</v>
      </c>
      <c r="AG1054">
        <v>0</v>
      </c>
      <c r="AH1054" t="s">
        <v>70</v>
      </c>
    </row>
    <row r="1055" spans="1:34" x14ac:dyDescent="0.3">
      <c r="A1055" t="s">
        <v>1685</v>
      </c>
      <c r="B1055" t="s">
        <v>191</v>
      </c>
      <c r="C1055" t="s">
        <v>122</v>
      </c>
      <c r="D1055" t="s">
        <v>104</v>
      </c>
      <c r="E1055" s="1">
        <v>46184</v>
      </c>
      <c r="F1055" s="1">
        <v>46185</v>
      </c>
      <c r="G1055" t="s">
        <v>64</v>
      </c>
      <c r="H1055">
        <v>4110</v>
      </c>
      <c r="I1055" t="s">
        <v>39</v>
      </c>
      <c r="J1055" t="b">
        <v>0</v>
      </c>
      <c r="K1055">
        <v>1</v>
      </c>
      <c r="L1055">
        <v>6</v>
      </c>
      <c r="M1055">
        <v>2026</v>
      </c>
      <c r="N1055">
        <v>4</v>
      </c>
      <c r="O1055">
        <v>6</v>
      </c>
      <c r="P1055">
        <v>2026</v>
      </c>
      <c r="Q1055">
        <v>3</v>
      </c>
      <c r="R1055" t="s">
        <v>40</v>
      </c>
      <c r="S1055" t="s">
        <v>41</v>
      </c>
      <c r="T1055" t="s">
        <v>42</v>
      </c>
      <c r="U1055" t="s">
        <v>40</v>
      </c>
      <c r="V1055" t="s">
        <v>124</v>
      </c>
      <c r="W1055" t="s">
        <v>125</v>
      </c>
      <c r="X1055" t="s">
        <v>126</v>
      </c>
      <c r="Y1055">
        <v>85</v>
      </c>
      <c r="Z1055" t="s">
        <v>107</v>
      </c>
      <c r="AA1055" t="s">
        <v>108</v>
      </c>
      <c r="AB1055" s="1">
        <v>46185</v>
      </c>
      <c r="AC1055" t="s">
        <v>40</v>
      </c>
      <c r="AD1055" t="s">
        <v>40</v>
      </c>
      <c r="AE1055" t="s">
        <v>60</v>
      </c>
      <c r="AF1055" t="s">
        <v>40</v>
      </c>
      <c r="AG1055">
        <v>0</v>
      </c>
      <c r="AH1055" t="s">
        <v>100</v>
      </c>
    </row>
    <row r="1056" spans="1:34" x14ac:dyDescent="0.3">
      <c r="A1056" t="s">
        <v>1686</v>
      </c>
      <c r="B1056" t="s">
        <v>431</v>
      </c>
      <c r="C1056" t="s">
        <v>97</v>
      </c>
      <c r="D1056" t="s">
        <v>90</v>
      </c>
      <c r="E1056" s="1">
        <v>45753</v>
      </c>
      <c r="F1056" s="1">
        <v>45783</v>
      </c>
      <c r="G1056" t="s">
        <v>81</v>
      </c>
      <c r="H1056">
        <v>34300</v>
      </c>
      <c r="I1056" t="s">
        <v>39</v>
      </c>
      <c r="J1056" t="b">
        <v>0</v>
      </c>
      <c r="K1056">
        <v>30</v>
      </c>
      <c r="L1056">
        <v>5</v>
      </c>
      <c r="M1056">
        <v>2025</v>
      </c>
      <c r="N1056">
        <v>1</v>
      </c>
      <c r="O1056">
        <v>4</v>
      </c>
      <c r="P1056">
        <v>2025</v>
      </c>
      <c r="Q1056">
        <v>6</v>
      </c>
      <c r="R1056" t="s">
        <v>40</v>
      </c>
      <c r="S1056" t="s">
        <v>67</v>
      </c>
      <c r="T1056" t="s">
        <v>42</v>
      </c>
      <c r="U1056" t="s">
        <v>40</v>
      </c>
      <c r="V1056" t="s">
        <v>98</v>
      </c>
      <c r="W1056" t="s">
        <v>99</v>
      </c>
      <c r="X1056" t="s">
        <v>76</v>
      </c>
      <c r="Y1056">
        <v>80</v>
      </c>
      <c r="Z1056" t="s">
        <v>93</v>
      </c>
      <c r="AA1056" t="s">
        <v>94</v>
      </c>
      <c r="AB1056" s="1">
        <v>45783</v>
      </c>
      <c r="AC1056" t="s">
        <v>40</v>
      </c>
      <c r="AD1056" t="s">
        <v>40</v>
      </c>
      <c r="AE1056" t="s">
        <v>69</v>
      </c>
      <c r="AF1056" t="s">
        <v>40</v>
      </c>
      <c r="AG1056">
        <v>0</v>
      </c>
      <c r="AH1056" t="s">
        <v>70</v>
      </c>
    </row>
    <row r="1057" spans="1:34" x14ac:dyDescent="0.3">
      <c r="A1057" t="s">
        <v>1687</v>
      </c>
      <c r="B1057" t="s">
        <v>406</v>
      </c>
      <c r="C1057" t="s">
        <v>97</v>
      </c>
      <c r="D1057" t="s">
        <v>104</v>
      </c>
      <c r="E1057" s="1">
        <v>46218</v>
      </c>
      <c r="F1057" s="1">
        <v>46248</v>
      </c>
      <c r="G1057" t="s">
        <v>38</v>
      </c>
      <c r="H1057">
        <v>4169</v>
      </c>
      <c r="I1057" t="s">
        <v>39</v>
      </c>
      <c r="J1057" t="b">
        <v>0</v>
      </c>
      <c r="K1057">
        <v>30</v>
      </c>
      <c r="L1057">
        <v>8</v>
      </c>
      <c r="M1057">
        <v>2026</v>
      </c>
      <c r="N1057">
        <v>4</v>
      </c>
      <c r="O1057">
        <v>7</v>
      </c>
      <c r="P1057">
        <v>2026</v>
      </c>
      <c r="Q1057">
        <v>2</v>
      </c>
      <c r="R1057" t="s">
        <v>40</v>
      </c>
      <c r="S1057" t="s">
        <v>55</v>
      </c>
      <c r="T1057" t="s">
        <v>42</v>
      </c>
      <c r="U1057" t="s">
        <v>40</v>
      </c>
      <c r="V1057" t="s">
        <v>98</v>
      </c>
      <c r="W1057" t="s">
        <v>99</v>
      </c>
      <c r="X1057" t="s">
        <v>76</v>
      </c>
      <c r="Y1057">
        <v>80</v>
      </c>
      <c r="Z1057" t="s">
        <v>107</v>
      </c>
      <c r="AA1057" t="s">
        <v>108</v>
      </c>
      <c r="AB1057" s="1">
        <v>46248</v>
      </c>
      <c r="AC1057" t="s">
        <v>40</v>
      </c>
      <c r="AD1057" t="s">
        <v>40</v>
      </c>
      <c r="AE1057" t="s">
        <v>86</v>
      </c>
      <c r="AF1057" t="s">
        <v>40</v>
      </c>
      <c r="AG1057">
        <v>0</v>
      </c>
      <c r="AH1057" t="s">
        <v>70</v>
      </c>
    </row>
    <row r="1058" spans="1:34" x14ac:dyDescent="0.3">
      <c r="A1058" t="s">
        <v>1688</v>
      </c>
      <c r="B1058" t="s">
        <v>1689</v>
      </c>
      <c r="C1058" t="s">
        <v>129</v>
      </c>
      <c r="D1058" t="s">
        <v>104</v>
      </c>
      <c r="E1058" s="1">
        <v>45774</v>
      </c>
      <c r="F1058" s="1">
        <v>45775</v>
      </c>
      <c r="G1058" t="s">
        <v>41</v>
      </c>
      <c r="H1058">
        <v>8914</v>
      </c>
      <c r="I1058" t="s">
        <v>39</v>
      </c>
      <c r="J1058" t="b">
        <v>0</v>
      </c>
      <c r="K1058">
        <v>1</v>
      </c>
      <c r="L1058">
        <v>4</v>
      </c>
      <c r="M1058">
        <v>2025</v>
      </c>
      <c r="N1058">
        <v>0</v>
      </c>
      <c r="O1058">
        <v>4</v>
      </c>
      <c r="P1058">
        <v>2025</v>
      </c>
      <c r="Q1058">
        <v>6</v>
      </c>
      <c r="R1058" t="s">
        <v>40</v>
      </c>
      <c r="S1058" t="s">
        <v>45</v>
      </c>
      <c r="T1058" t="s">
        <v>48</v>
      </c>
      <c r="U1058" t="s">
        <v>40</v>
      </c>
      <c r="V1058" t="s">
        <v>131</v>
      </c>
      <c r="W1058" t="s">
        <v>132</v>
      </c>
      <c r="X1058" t="s">
        <v>45</v>
      </c>
      <c r="Y1058">
        <v>110</v>
      </c>
      <c r="Z1058" t="s">
        <v>107</v>
      </c>
      <c r="AA1058" t="s">
        <v>108</v>
      </c>
      <c r="AB1058" s="1">
        <v>45775</v>
      </c>
      <c r="AC1058" t="s">
        <v>40</v>
      </c>
      <c r="AD1058" t="s">
        <v>40</v>
      </c>
      <c r="AE1058" t="s">
        <v>69</v>
      </c>
      <c r="AF1058" t="s">
        <v>40</v>
      </c>
      <c r="AG1058">
        <v>0</v>
      </c>
      <c r="AH1058" t="s">
        <v>100</v>
      </c>
    </row>
    <row r="1059" spans="1:34" x14ac:dyDescent="0.3">
      <c r="A1059" t="s">
        <v>1690</v>
      </c>
      <c r="B1059" t="s">
        <v>387</v>
      </c>
      <c r="C1059" t="s">
        <v>129</v>
      </c>
      <c r="D1059" t="s">
        <v>37</v>
      </c>
      <c r="E1059" s="1">
        <v>45992</v>
      </c>
      <c r="F1059" s="1">
        <v>46022</v>
      </c>
      <c r="G1059" t="s">
        <v>81</v>
      </c>
      <c r="H1059">
        <v>8353</v>
      </c>
      <c r="I1059" t="s">
        <v>39</v>
      </c>
      <c r="J1059" t="b">
        <v>0</v>
      </c>
      <c r="K1059">
        <v>30</v>
      </c>
      <c r="L1059">
        <v>12</v>
      </c>
      <c r="M1059">
        <v>2025</v>
      </c>
      <c r="N1059">
        <v>2</v>
      </c>
      <c r="O1059">
        <v>12</v>
      </c>
      <c r="P1059">
        <v>2025</v>
      </c>
      <c r="Q1059">
        <v>0</v>
      </c>
      <c r="R1059" t="s">
        <v>40</v>
      </c>
      <c r="S1059" t="s">
        <v>41</v>
      </c>
      <c r="T1059" t="s">
        <v>42</v>
      </c>
      <c r="U1059" t="s">
        <v>66</v>
      </c>
      <c r="V1059" t="s">
        <v>131</v>
      </c>
      <c r="W1059" t="s">
        <v>132</v>
      </c>
      <c r="X1059" t="s">
        <v>45</v>
      </c>
      <c r="Y1059">
        <v>110</v>
      </c>
      <c r="Z1059" t="s">
        <v>46</v>
      </c>
      <c r="AA1059" t="s">
        <v>47</v>
      </c>
      <c r="AB1059" s="1">
        <v>46022</v>
      </c>
      <c r="AC1059" t="s">
        <v>40</v>
      </c>
      <c r="AD1059" t="s">
        <v>40</v>
      </c>
      <c r="AE1059" t="s">
        <v>69</v>
      </c>
      <c r="AF1059" t="s">
        <v>40</v>
      </c>
      <c r="AG1059">
        <v>0</v>
      </c>
      <c r="AH1059" t="s">
        <v>70</v>
      </c>
    </row>
    <row r="1060" spans="1:34" x14ac:dyDescent="0.3">
      <c r="A1060" t="s">
        <v>1691</v>
      </c>
      <c r="B1060" t="s">
        <v>1692</v>
      </c>
      <c r="C1060" t="s">
        <v>169</v>
      </c>
      <c r="D1060" t="s">
        <v>104</v>
      </c>
      <c r="E1060" s="1">
        <v>46072</v>
      </c>
      <c r="F1060" s="1">
        <v>46073</v>
      </c>
      <c r="G1060" t="s">
        <v>81</v>
      </c>
      <c r="H1060">
        <v>11046</v>
      </c>
      <c r="I1060" t="s">
        <v>212</v>
      </c>
      <c r="J1060" t="b">
        <v>0</v>
      </c>
      <c r="K1060">
        <v>1</v>
      </c>
      <c r="L1060">
        <v>2</v>
      </c>
      <c r="M1060">
        <v>2026</v>
      </c>
      <c r="N1060">
        <v>4</v>
      </c>
      <c r="O1060">
        <v>2</v>
      </c>
      <c r="P1060">
        <v>2026</v>
      </c>
      <c r="Q1060">
        <v>3</v>
      </c>
      <c r="R1060" t="s">
        <v>40</v>
      </c>
      <c r="S1060" t="s">
        <v>55</v>
      </c>
      <c r="T1060" t="s">
        <v>48</v>
      </c>
      <c r="U1060" t="s">
        <v>40</v>
      </c>
      <c r="V1060" t="s">
        <v>170</v>
      </c>
      <c r="W1060" t="s">
        <v>171</v>
      </c>
      <c r="X1060" t="s">
        <v>126</v>
      </c>
      <c r="Y1060">
        <v>90</v>
      </c>
      <c r="Z1060" t="s">
        <v>107</v>
      </c>
      <c r="AA1060" t="s">
        <v>108</v>
      </c>
      <c r="AB1060" s="1">
        <v>46073</v>
      </c>
      <c r="AC1060" t="s">
        <v>40</v>
      </c>
      <c r="AD1060" t="s">
        <v>40</v>
      </c>
      <c r="AE1060" t="s">
        <v>60</v>
      </c>
      <c r="AF1060" t="s">
        <v>40</v>
      </c>
      <c r="AG1060">
        <v>0</v>
      </c>
      <c r="AH1060" t="s">
        <v>100</v>
      </c>
    </row>
    <row r="1061" spans="1:34" x14ac:dyDescent="0.3">
      <c r="A1061" t="s">
        <v>1693</v>
      </c>
      <c r="B1061" t="s">
        <v>338</v>
      </c>
      <c r="C1061" t="s">
        <v>97</v>
      </c>
      <c r="D1061" t="s">
        <v>130</v>
      </c>
      <c r="E1061" s="1">
        <v>46213</v>
      </c>
      <c r="F1061" s="1">
        <v>46243</v>
      </c>
      <c r="G1061" t="s">
        <v>41</v>
      </c>
      <c r="H1061">
        <v>6225</v>
      </c>
      <c r="I1061" t="s">
        <v>39</v>
      </c>
      <c r="J1061" t="b">
        <v>0</v>
      </c>
      <c r="K1061">
        <v>30</v>
      </c>
      <c r="L1061">
        <v>8</v>
      </c>
      <c r="M1061">
        <v>2026</v>
      </c>
      <c r="N1061">
        <v>6</v>
      </c>
      <c r="O1061">
        <v>7</v>
      </c>
      <c r="P1061">
        <v>2026</v>
      </c>
      <c r="Q1061">
        <v>4</v>
      </c>
      <c r="R1061" t="s">
        <v>66</v>
      </c>
      <c r="S1061" t="s">
        <v>45</v>
      </c>
      <c r="T1061" t="s">
        <v>42</v>
      </c>
      <c r="U1061" t="s">
        <v>40</v>
      </c>
      <c r="V1061" t="s">
        <v>98</v>
      </c>
      <c r="W1061" t="s">
        <v>99</v>
      </c>
      <c r="X1061" t="s">
        <v>76</v>
      </c>
      <c r="Y1061">
        <v>80</v>
      </c>
      <c r="Z1061" t="s">
        <v>133</v>
      </c>
      <c r="AA1061" t="s">
        <v>134</v>
      </c>
      <c r="AB1061" s="1">
        <v>46243</v>
      </c>
      <c r="AC1061" t="s">
        <v>66</v>
      </c>
      <c r="AD1061" t="s">
        <v>40</v>
      </c>
      <c r="AE1061" t="s">
        <v>86</v>
      </c>
      <c r="AF1061" t="s">
        <v>40</v>
      </c>
      <c r="AG1061">
        <v>0</v>
      </c>
      <c r="AH1061" t="s">
        <v>70</v>
      </c>
    </row>
    <row r="1062" spans="1:34" x14ac:dyDescent="0.3">
      <c r="A1062" t="s">
        <v>1694</v>
      </c>
      <c r="B1062" t="s">
        <v>723</v>
      </c>
      <c r="C1062" t="s">
        <v>79</v>
      </c>
      <c r="D1062" t="s">
        <v>130</v>
      </c>
      <c r="E1062" s="1">
        <v>46104</v>
      </c>
      <c r="F1062" s="1">
        <v>46118</v>
      </c>
      <c r="G1062" t="s">
        <v>41</v>
      </c>
      <c r="H1062">
        <v>6367</v>
      </c>
      <c r="I1062" t="s">
        <v>39</v>
      </c>
      <c r="J1062" t="b">
        <v>0</v>
      </c>
      <c r="K1062">
        <v>14</v>
      </c>
      <c r="L1062">
        <v>4</v>
      </c>
      <c r="M1062">
        <v>2026</v>
      </c>
      <c r="N1062">
        <v>0</v>
      </c>
      <c r="O1062">
        <v>3</v>
      </c>
      <c r="P1062">
        <v>2026</v>
      </c>
      <c r="Q1062">
        <v>0</v>
      </c>
      <c r="R1062" t="s">
        <v>40</v>
      </c>
      <c r="S1062" t="s">
        <v>67</v>
      </c>
      <c r="T1062" t="s">
        <v>286</v>
      </c>
      <c r="U1062" t="s">
        <v>66</v>
      </c>
      <c r="V1062" t="s">
        <v>82</v>
      </c>
      <c r="W1062" t="s">
        <v>83</v>
      </c>
      <c r="X1062" t="s">
        <v>76</v>
      </c>
      <c r="Y1062">
        <v>100</v>
      </c>
      <c r="Z1062" t="s">
        <v>133</v>
      </c>
      <c r="AA1062" t="s">
        <v>134</v>
      </c>
      <c r="AB1062" s="1">
        <v>46118</v>
      </c>
      <c r="AC1062" t="s">
        <v>40</v>
      </c>
      <c r="AD1062" t="s">
        <v>40</v>
      </c>
      <c r="AE1062" t="s">
        <v>69</v>
      </c>
      <c r="AF1062" t="s">
        <v>40</v>
      </c>
      <c r="AG1062">
        <v>0</v>
      </c>
      <c r="AH1062" t="s">
        <v>70</v>
      </c>
    </row>
    <row r="1063" spans="1:34" x14ac:dyDescent="0.3">
      <c r="A1063" t="s">
        <v>1695</v>
      </c>
      <c r="B1063" t="s">
        <v>515</v>
      </c>
      <c r="C1063" t="s">
        <v>103</v>
      </c>
      <c r="D1063" t="s">
        <v>80</v>
      </c>
      <c r="E1063" s="1">
        <v>45877</v>
      </c>
      <c r="F1063" s="1">
        <v>45891</v>
      </c>
      <c r="G1063" t="s">
        <v>38</v>
      </c>
      <c r="H1063">
        <v>6000</v>
      </c>
      <c r="I1063" t="s">
        <v>39</v>
      </c>
      <c r="J1063" t="b">
        <v>0</v>
      </c>
      <c r="K1063">
        <v>14</v>
      </c>
      <c r="L1063">
        <v>8</v>
      </c>
      <c r="M1063">
        <v>2025</v>
      </c>
      <c r="N1063">
        <v>4</v>
      </c>
      <c r="O1063">
        <v>8</v>
      </c>
      <c r="P1063">
        <v>2025</v>
      </c>
      <c r="Q1063">
        <v>4</v>
      </c>
      <c r="R1063" t="s">
        <v>40</v>
      </c>
      <c r="S1063" t="s">
        <v>45</v>
      </c>
      <c r="T1063" t="s">
        <v>42</v>
      </c>
      <c r="U1063" t="s">
        <v>40</v>
      </c>
      <c r="V1063" t="s">
        <v>105</v>
      </c>
      <c r="W1063" t="s">
        <v>106</v>
      </c>
      <c r="X1063" t="s">
        <v>45</v>
      </c>
      <c r="Y1063">
        <v>140</v>
      </c>
      <c r="Z1063" t="s">
        <v>84</v>
      </c>
      <c r="AA1063" t="s">
        <v>85</v>
      </c>
      <c r="AB1063" s="1">
        <v>45891</v>
      </c>
      <c r="AC1063" t="s">
        <v>40</v>
      </c>
      <c r="AD1063" t="s">
        <v>40</v>
      </c>
      <c r="AE1063" t="s">
        <v>86</v>
      </c>
      <c r="AF1063" t="s">
        <v>40</v>
      </c>
      <c r="AG1063">
        <v>0</v>
      </c>
      <c r="AH1063" t="s">
        <v>70</v>
      </c>
    </row>
    <row r="1064" spans="1:34" x14ac:dyDescent="0.3">
      <c r="A1064" t="s">
        <v>1696</v>
      </c>
      <c r="B1064" t="s">
        <v>243</v>
      </c>
      <c r="C1064" t="s">
        <v>36</v>
      </c>
      <c r="D1064" t="s">
        <v>130</v>
      </c>
      <c r="E1064" s="1">
        <v>45742</v>
      </c>
      <c r="F1064" s="1">
        <v>45802</v>
      </c>
      <c r="G1064" t="s">
        <v>64</v>
      </c>
      <c r="H1064">
        <v>3306</v>
      </c>
      <c r="I1064" t="s">
        <v>65</v>
      </c>
      <c r="J1064" t="b">
        <v>0</v>
      </c>
      <c r="K1064">
        <v>60</v>
      </c>
      <c r="L1064">
        <v>5</v>
      </c>
      <c r="M1064">
        <v>2025</v>
      </c>
      <c r="N1064">
        <v>6</v>
      </c>
      <c r="O1064">
        <v>3</v>
      </c>
      <c r="P1064">
        <v>2025</v>
      </c>
      <c r="Q1064">
        <v>2</v>
      </c>
      <c r="R1064" t="s">
        <v>66</v>
      </c>
      <c r="S1064" t="s">
        <v>55</v>
      </c>
      <c r="T1064" t="s">
        <v>42</v>
      </c>
      <c r="U1064" t="s">
        <v>40</v>
      </c>
      <c r="V1064" t="s">
        <v>43</v>
      </c>
      <c r="W1064" t="s">
        <v>44</v>
      </c>
      <c r="X1064" t="s">
        <v>45</v>
      </c>
      <c r="Y1064">
        <v>150</v>
      </c>
      <c r="Z1064" t="s">
        <v>133</v>
      </c>
      <c r="AA1064" t="s">
        <v>134</v>
      </c>
      <c r="AB1064" s="1">
        <v>45802</v>
      </c>
      <c r="AC1064" t="s">
        <v>66</v>
      </c>
      <c r="AD1064" t="s">
        <v>40</v>
      </c>
      <c r="AE1064" t="s">
        <v>69</v>
      </c>
      <c r="AF1064" t="s">
        <v>40</v>
      </c>
      <c r="AG1064">
        <v>0</v>
      </c>
      <c r="AH1064" t="s">
        <v>61</v>
      </c>
    </row>
    <row r="1065" spans="1:34" x14ac:dyDescent="0.3">
      <c r="A1065" t="s">
        <v>1697</v>
      </c>
      <c r="B1065" t="s">
        <v>1314</v>
      </c>
      <c r="C1065" t="s">
        <v>52</v>
      </c>
      <c r="D1065" t="s">
        <v>130</v>
      </c>
      <c r="E1065" s="1">
        <v>46140</v>
      </c>
      <c r="F1065" s="1">
        <v>46143</v>
      </c>
      <c r="G1065" t="s">
        <v>38</v>
      </c>
      <c r="H1065">
        <v>5002</v>
      </c>
      <c r="I1065" t="s">
        <v>54</v>
      </c>
      <c r="J1065" t="b">
        <v>0</v>
      </c>
      <c r="K1065">
        <v>3</v>
      </c>
      <c r="L1065">
        <v>5</v>
      </c>
      <c r="M1065">
        <v>2026</v>
      </c>
      <c r="N1065">
        <v>4</v>
      </c>
      <c r="O1065">
        <v>4</v>
      </c>
      <c r="P1065">
        <v>2026</v>
      </c>
      <c r="Q1065">
        <v>1</v>
      </c>
      <c r="R1065" t="s">
        <v>40</v>
      </c>
      <c r="S1065" t="s">
        <v>55</v>
      </c>
      <c r="T1065" t="s">
        <v>42</v>
      </c>
      <c r="U1065" t="s">
        <v>40</v>
      </c>
      <c r="V1065" t="s">
        <v>56</v>
      </c>
      <c r="W1065" t="s">
        <v>57</v>
      </c>
      <c r="X1065" t="s">
        <v>45</v>
      </c>
      <c r="Y1065">
        <v>120</v>
      </c>
      <c r="Z1065" t="s">
        <v>133</v>
      </c>
      <c r="AA1065" t="s">
        <v>134</v>
      </c>
      <c r="AB1065" s="1">
        <v>46143</v>
      </c>
      <c r="AC1065" t="s">
        <v>40</v>
      </c>
      <c r="AD1065" t="s">
        <v>40</v>
      </c>
      <c r="AE1065" t="s">
        <v>69</v>
      </c>
      <c r="AF1065" t="s">
        <v>40</v>
      </c>
      <c r="AG1065">
        <v>1</v>
      </c>
      <c r="AH1065" t="s">
        <v>100</v>
      </c>
    </row>
    <row r="1066" spans="1:34" x14ac:dyDescent="0.3">
      <c r="A1066" t="s">
        <v>1698</v>
      </c>
      <c r="B1066" t="s">
        <v>1699</v>
      </c>
      <c r="C1066" t="s">
        <v>79</v>
      </c>
      <c r="D1066" t="s">
        <v>130</v>
      </c>
      <c r="E1066" s="1">
        <v>45697</v>
      </c>
      <c r="F1066" s="1">
        <v>45917</v>
      </c>
      <c r="G1066" t="s">
        <v>64</v>
      </c>
      <c r="H1066">
        <v>3458</v>
      </c>
      <c r="I1066" t="s">
        <v>212</v>
      </c>
      <c r="J1066" t="b">
        <v>0</v>
      </c>
      <c r="K1066">
        <v>220</v>
      </c>
      <c r="L1066">
        <v>9</v>
      </c>
      <c r="M1066">
        <v>2025</v>
      </c>
      <c r="N1066">
        <v>2</v>
      </c>
      <c r="O1066">
        <v>2</v>
      </c>
      <c r="P1066">
        <v>2025</v>
      </c>
      <c r="Q1066">
        <v>6</v>
      </c>
      <c r="R1066" t="s">
        <v>40</v>
      </c>
      <c r="S1066" t="s">
        <v>67</v>
      </c>
      <c r="T1066" t="s">
        <v>68</v>
      </c>
      <c r="U1066" t="s">
        <v>40</v>
      </c>
      <c r="V1066" t="s">
        <v>82</v>
      </c>
      <c r="W1066" t="s">
        <v>83</v>
      </c>
      <c r="X1066" t="s">
        <v>76</v>
      </c>
      <c r="Y1066">
        <v>100</v>
      </c>
      <c r="Z1066" t="s">
        <v>133</v>
      </c>
      <c r="AA1066" t="s">
        <v>134</v>
      </c>
      <c r="AB1066" s="1">
        <v>45917</v>
      </c>
      <c r="AC1066" t="s">
        <v>40</v>
      </c>
      <c r="AD1066" t="s">
        <v>40</v>
      </c>
      <c r="AE1066" t="s">
        <v>60</v>
      </c>
      <c r="AF1066" t="s">
        <v>40</v>
      </c>
      <c r="AG1066">
        <v>0</v>
      </c>
      <c r="AH1066" t="s">
        <v>142</v>
      </c>
    </row>
    <row r="1067" spans="1:34" x14ac:dyDescent="0.3">
      <c r="A1067" t="s">
        <v>1700</v>
      </c>
      <c r="B1067" t="s">
        <v>1701</v>
      </c>
      <c r="C1067" t="s">
        <v>169</v>
      </c>
      <c r="D1067" t="s">
        <v>80</v>
      </c>
      <c r="E1067" s="1">
        <v>45956</v>
      </c>
      <c r="F1067" s="1">
        <v>45986</v>
      </c>
      <c r="G1067" t="s">
        <v>64</v>
      </c>
      <c r="H1067">
        <v>2782</v>
      </c>
      <c r="I1067" t="s">
        <v>39</v>
      </c>
      <c r="J1067" t="b">
        <v>0</v>
      </c>
      <c r="K1067">
        <v>30</v>
      </c>
      <c r="L1067">
        <v>11</v>
      </c>
      <c r="M1067">
        <v>2025</v>
      </c>
      <c r="N1067">
        <v>1</v>
      </c>
      <c r="O1067">
        <v>10</v>
      </c>
      <c r="P1067">
        <v>2025</v>
      </c>
      <c r="Q1067">
        <v>6</v>
      </c>
      <c r="R1067" t="s">
        <v>40</v>
      </c>
      <c r="S1067" t="s">
        <v>41</v>
      </c>
      <c r="T1067" t="s">
        <v>42</v>
      </c>
      <c r="U1067" t="s">
        <v>40</v>
      </c>
      <c r="V1067" t="s">
        <v>170</v>
      </c>
      <c r="W1067" t="s">
        <v>171</v>
      </c>
      <c r="X1067" t="s">
        <v>126</v>
      </c>
      <c r="Y1067">
        <v>90</v>
      </c>
      <c r="Z1067" t="s">
        <v>84</v>
      </c>
      <c r="AA1067" t="s">
        <v>85</v>
      </c>
      <c r="AB1067" s="1">
        <v>45986</v>
      </c>
      <c r="AC1067" t="s">
        <v>40</v>
      </c>
      <c r="AD1067" t="s">
        <v>40</v>
      </c>
      <c r="AE1067" t="s">
        <v>86</v>
      </c>
      <c r="AF1067" t="s">
        <v>40</v>
      </c>
      <c r="AG1067">
        <v>0</v>
      </c>
      <c r="AH1067" t="s">
        <v>70</v>
      </c>
    </row>
    <row r="1068" spans="1:34" x14ac:dyDescent="0.3">
      <c r="A1068" t="s">
        <v>1702</v>
      </c>
      <c r="B1068" t="s">
        <v>705</v>
      </c>
      <c r="C1068" t="s">
        <v>36</v>
      </c>
      <c r="D1068" t="s">
        <v>104</v>
      </c>
      <c r="E1068" s="1">
        <v>46279</v>
      </c>
      <c r="F1068" s="1">
        <v>46286</v>
      </c>
      <c r="G1068" t="s">
        <v>81</v>
      </c>
      <c r="H1068">
        <v>11947</v>
      </c>
      <c r="I1068" t="s">
        <v>39</v>
      </c>
      <c r="J1068" t="b">
        <v>0</v>
      </c>
      <c r="K1068">
        <v>7</v>
      </c>
      <c r="L1068">
        <v>9</v>
      </c>
      <c r="M1068">
        <v>2026</v>
      </c>
      <c r="N1068">
        <v>0</v>
      </c>
      <c r="O1068">
        <v>9</v>
      </c>
      <c r="P1068">
        <v>2026</v>
      </c>
      <c r="Q1068">
        <v>0</v>
      </c>
      <c r="R1068" t="s">
        <v>40</v>
      </c>
      <c r="S1068" t="s">
        <v>67</v>
      </c>
      <c r="T1068" t="s">
        <v>42</v>
      </c>
      <c r="U1068" t="s">
        <v>66</v>
      </c>
      <c r="V1068" t="s">
        <v>43</v>
      </c>
      <c r="W1068" t="s">
        <v>44</v>
      </c>
      <c r="X1068" t="s">
        <v>45</v>
      </c>
      <c r="Y1068">
        <v>150</v>
      </c>
      <c r="Z1068" t="s">
        <v>107</v>
      </c>
      <c r="AA1068" t="s">
        <v>108</v>
      </c>
      <c r="AB1068" s="1">
        <v>46286</v>
      </c>
      <c r="AC1068" t="s">
        <v>40</v>
      </c>
      <c r="AD1068" t="s">
        <v>40</v>
      </c>
      <c r="AE1068" t="s">
        <v>60</v>
      </c>
      <c r="AF1068" t="s">
        <v>40</v>
      </c>
      <c r="AG1068">
        <v>0</v>
      </c>
      <c r="AH1068" t="s">
        <v>100</v>
      </c>
    </row>
    <row r="1069" spans="1:34" x14ac:dyDescent="0.3">
      <c r="A1069" t="s">
        <v>1703</v>
      </c>
      <c r="B1069" t="s">
        <v>1692</v>
      </c>
      <c r="C1069" t="s">
        <v>169</v>
      </c>
      <c r="D1069" t="s">
        <v>53</v>
      </c>
      <c r="E1069" s="1">
        <v>46327</v>
      </c>
      <c r="F1069" s="1">
        <v>46387</v>
      </c>
      <c r="G1069" t="s">
        <v>41</v>
      </c>
      <c r="H1069">
        <v>7728</v>
      </c>
      <c r="I1069" t="s">
        <v>54</v>
      </c>
      <c r="J1069" t="b">
        <v>0</v>
      </c>
      <c r="K1069">
        <v>60</v>
      </c>
      <c r="L1069">
        <v>12</v>
      </c>
      <c r="M1069">
        <v>2026</v>
      </c>
      <c r="N1069">
        <v>3</v>
      </c>
      <c r="O1069">
        <v>11</v>
      </c>
      <c r="P1069">
        <v>2026</v>
      </c>
      <c r="Q1069">
        <v>6</v>
      </c>
      <c r="R1069" t="s">
        <v>40</v>
      </c>
      <c r="S1069" t="s">
        <v>55</v>
      </c>
      <c r="T1069" t="s">
        <v>48</v>
      </c>
      <c r="U1069" t="s">
        <v>40</v>
      </c>
      <c r="V1069" t="s">
        <v>170</v>
      </c>
      <c r="W1069" t="s">
        <v>171</v>
      </c>
      <c r="X1069" t="s">
        <v>126</v>
      </c>
      <c r="Y1069">
        <v>90</v>
      </c>
      <c r="Z1069" t="s">
        <v>58</v>
      </c>
      <c r="AA1069" t="s">
        <v>59</v>
      </c>
      <c r="AB1069" s="1">
        <v>46387</v>
      </c>
      <c r="AC1069" t="s">
        <v>40</v>
      </c>
      <c r="AD1069" t="s">
        <v>40</v>
      </c>
      <c r="AE1069" t="s">
        <v>69</v>
      </c>
      <c r="AF1069" t="s">
        <v>40</v>
      </c>
      <c r="AG1069">
        <v>1</v>
      </c>
      <c r="AH1069" t="s">
        <v>61</v>
      </c>
    </row>
    <row r="1070" spans="1:34" x14ac:dyDescent="0.3">
      <c r="A1070" t="s">
        <v>1704</v>
      </c>
      <c r="B1070" t="s">
        <v>680</v>
      </c>
      <c r="C1070" t="s">
        <v>89</v>
      </c>
      <c r="D1070" t="s">
        <v>90</v>
      </c>
      <c r="E1070" s="1">
        <v>45695</v>
      </c>
      <c r="F1070" s="1">
        <v>45696</v>
      </c>
      <c r="G1070" t="s">
        <v>64</v>
      </c>
      <c r="H1070">
        <v>2420</v>
      </c>
      <c r="I1070" t="s">
        <v>39</v>
      </c>
      <c r="J1070" t="b">
        <v>0</v>
      </c>
      <c r="K1070">
        <v>1</v>
      </c>
      <c r="L1070">
        <v>2</v>
      </c>
      <c r="M1070">
        <v>2025</v>
      </c>
      <c r="N1070">
        <v>5</v>
      </c>
      <c r="O1070">
        <v>2</v>
      </c>
      <c r="P1070">
        <v>2025</v>
      </c>
      <c r="Q1070">
        <v>4</v>
      </c>
      <c r="R1070" t="s">
        <v>66</v>
      </c>
      <c r="S1070" t="s">
        <v>41</v>
      </c>
      <c r="T1070" t="s">
        <v>42</v>
      </c>
      <c r="U1070" t="s">
        <v>40</v>
      </c>
      <c r="V1070" t="s">
        <v>91</v>
      </c>
      <c r="W1070" t="s">
        <v>92</v>
      </c>
      <c r="X1070" t="s">
        <v>76</v>
      </c>
      <c r="Y1070">
        <v>65</v>
      </c>
      <c r="Z1070" t="s">
        <v>93</v>
      </c>
      <c r="AA1070" t="s">
        <v>94</v>
      </c>
      <c r="AB1070" s="1">
        <v>45696</v>
      </c>
      <c r="AC1070" t="s">
        <v>66</v>
      </c>
      <c r="AD1070" t="s">
        <v>40</v>
      </c>
      <c r="AE1070" t="s">
        <v>60</v>
      </c>
      <c r="AF1070" t="s">
        <v>40</v>
      </c>
      <c r="AG1070">
        <v>0</v>
      </c>
      <c r="AH1070" t="s">
        <v>100</v>
      </c>
    </row>
    <row r="1071" spans="1:34" x14ac:dyDescent="0.3">
      <c r="A1071" t="s">
        <v>1705</v>
      </c>
      <c r="B1071" t="s">
        <v>117</v>
      </c>
      <c r="C1071" t="s">
        <v>155</v>
      </c>
      <c r="D1071" t="s">
        <v>90</v>
      </c>
      <c r="E1071" s="1">
        <v>46151</v>
      </c>
      <c r="F1071" s="1">
        <v>46165</v>
      </c>
      <c r="G1071" t="s">
        <v>64</v>
      </c>
      <c r="H1071">
        <v>3693</v>
      </c>
      <c r="I1071" t="s">
        <v>65</v>
      </c>
      <c r="J1071" t="b">
        <v>0</v>
      </c>
      <c r="K1071">
        <v>14</v>
      </c>
      <c r="L1071">
        <v>5</v>
      </c>
      <c r="M1071">
        <v>2026</v>
      </c>
      <c r="N1071">
        <v>5</v>
      </c>
      <c r="O1071">
        <v>5</v>
      </c>
      <c r="P1071">
        <v>2026</v>
      </c>
      <c r="Q1071">
        <v>5</v>
      </c>
      <c r="R1071" t="s">
        <v>66</v>
      </c>
      <c r="S1071" t="s">
        <v>67</v>
      </c>
      <c r="T1071" t="s">
        <v>42</v>
      </c>
      <c r="U1071" t="s">
        <v>40</v>
      </c>
      <c r="V1071" t="s">
        <v>156</v>
      </c>
      <c r="W1071" t="s">
        <v>157</v>
      </c>
      <c r="X1071" t="s">
        <v>158</v>
      </c>
      <c r="Y1071">
        <v>70</v>
      </c>
      <c r="Z1071" t="s">
        <v>93</v>
      </c>
      <c r="AA1071" t="s">
        <v>94</v>
      </c>
      <c r="AB1071" s="1">
        <v>46165</v>
      </c>
      <c r="AC1071" t="s">
        <v>66</v>
      </c>
      <c r="AD1071" t="s">
        <v>40</v>
      </c>
      <c r="AE1071" t="s">
        <v>69</v>
      </c>
      <c r="AF1071" t="s">
        <v>40</v>
      </c>
      <c r="AG1071">
        <v>0</v>
      </c>
      <c r="AH1071" t="s">
        <v>70</v>
      </c>
    </row>
    <row r="1072" spans="1:34" x14ac:dyDescent="0.3">
      <c r="A1072" t="s">
        <v>1706</v>
      </c>
      <c r="B1072" t="s">
        <v>703</v>
      </c>
      <c r="C1072" t="s">
        <v>97</v>
      </c>
      <c r="D1072" t="s">
        <v>104</v>
      </c>
      <c r="E1072" s="1">
        <v>45854</v>
      </c>
      <c r="F1072" s="1">
        <v>45868</v>
      </c>
      <c r="G1072" t="s">
        <v>64</v>
      </c>
      <c r="H1072">
        <v>3922</v>
      </c>
      <c r="I1072" t="s">
        <v>212</v>
      </c>
      <c r="J1072" t="b">
        <v>0</v>
      </c>
      <c r="K1072">
        <v>14</v>
      </c>
      <c r="L1072">
        <v>7</v>
      </c>
      <c r="M1072">
        <v>2025</v>
      </c>
      <c r="N1072">
        <v>2</v>
      </c>
      <c r="O1072">
        <v>7</v>
      </c>
      <c r="P1072">
        <v>2025</v>
      </c>
      <c r="Q1072">
        <v>2</v>
      </c>
      <c r="R1072" t="s">
        <v>40</v>
      </c>
      <c r="S1072" t="s">
        <v>55</v>
      </c>
      <c r="T1072" t="s">
        <v>123</v>
      </c>
      <c r="U1072" t="s">
        <v>40</v>
      </c>
      <c r="V1072" t="s">
        <v>98</v>
      </c>
      <c r="W1072" t="s">
        <v>99</v>
      </c>
      <c r="X1072" t="s">
        <v>76</v>
      </c>
      <c r="Y1072">
        <v>80</v>
      </c>
      <c r="Z1072" t="s">
        <v>107</v>
      </c>
      <c r="AA1072" t="s">
        <v>108</v>
      </c>
      <c r="AB1072" s="1">
        <v>45868</v>
      </c>
      <c r="AC1072" t="s">
        <v>40</v>
      </c>
      <c r="AD1072" t="s">
        <v>40</v>
      </c>
      <c r="AE1072" t="s">
        <v>86</v>
      </c>
      <c r="AF1072" t="s">
        <v>40</v>
      </c>
      <c r="AG1072">
        <v>0</v>
      </c>
      <c r="AH1072" t="s">
        <v>70</v>
      </c>
    </row>
    <row r="1073" spans="1:34" x14ac:dyDescent="0.3">
      <c r="A1073" t="s">
        <v>1707</v>
      </c>
      <c r="B1073" t="s">
        <v>1708</v>
      </c>
      <c r="C1073" t="s">
        <v>122</v>
      </c>
      <c r="D1073" t="s">
        <v>90</v>
      </c>
      <c r="E1073" s="1">
        <v>45992</v>
      </c>
      <c r="F1073" s="1">
        <v>46052</v>
      </c>
      <c r="G1073" t="s">
        <v>41</v>
      </c>
      <c r="H1073">
        <v>5030</v>
      </c>
      <c r="I1073" t="s">
        <v>39</v>
      </c>
      <c r="J1073" t="b">
        <v>0</v>
      </c>
      <c r="K1073">
        <v>60</v>
      </c>
      <c r="L1073">
        <v>1</v>
      </c>
      <c r="M1073">
        <v>2026</v>
      </c>
      <c r="N1073">
        <v>4</v>
      </c>
      <c r="O1073">
        <v>12</v>
      </c>
      <c r="P1073">
        <v>2025</v>
      </c>
      <c r="Q1073">
        <v>0</v>
      </c>
      <c r="R1073" t="s">
        <v>40</v>
      </c>
      <c r="S1073" t="s">
        <v>45</v>
      </c>
      <c r="T1073" t="s">
        <v>68</v>
      </c>
      <c r="U1073" t="s">
        <v>66</v>
      </c>
      <c r="V1073" t="s">
        <v>124</v>
      </c>
      <c r="W1073" t="s">
        <v>125</v>
      </c>
      <c r="X1073" t="s">
        <v>126</v>
      </c>
      <c r="Y1073">
        <v>85</v>
      </c>
      <c r="Z1073" t="s">
        <v>93</v>
      </c>
      <c r="AA1073" t="s">
        <v>94</v>
      </c>
      <c r="AB1073" s="1">
        <v>46052</v>
      </c>
      <c r="AC1073" t="s">
        <v>40</v>
      </c>
      <c r="AD1073" t="s">
        <v>40</v>
      </c>
      <c r="AE1073" t="s">
        <v>86</v>
      </c>
      <c r="AF1073" t="s">
        <v>40</v>
      </c>
      <c r="AG1073">
        <v>0</v>
      </c>
      <c r="AH1073" t="s">
        <v>61</v>
      </c>
    </row>
    <row r="1074" spans="1:34" x14ac:dyDescent="0.3">
      <c r="A1074" t="s">
        <v>1709</v>
      </c>
      <c r="B1074" t="s">
        <v>833</v>
      </c>
      <c r="C1074" t="s">
        <v>122</v>
      </c>
      <c r="D1074" t="s">
        <v>53</v>
      </c>
      <c r="E1074" s="1">
        <v>45809</v>
      </c>
      <c r="F1074" s="1">
        <v>45810</v>
      </c>
      <c r="G1074" t="s">
        <v>38</v>
      </c>
      <c r="H1074">
        <v>5973</v>
      </c>
      <c r="I1074" t="s">
        <v>54</v>
      </c>
      <c r="J1074" t="b">
        <v>0</v>
      </c>
      <c r="K1074">
        <v>1</v>
      </c>
      <c r="L1074">
        <v>6</v>
      </c>
      <c r="M1074">
        <v>2025</v>
      </c>
      <c r="N1074">
        <v>0</v>
      </c>
      <c r="O1074">
        <v>6</v>
      </c>
      <c r="P1074">
        <v>2025</v>
      </c>
      <c r="Q1074">
        <v>6</v>
      </c>
      <c r="R1074" t="s">
        <v>40</v>
      </c>
      <c r="S1074" t="s">
        <v>67</v>
      </c>
      <c r="T1074" t="s">
        <v>286</v>
      </c>
      <c r="U1074" t="s">
        <v>66</v>
      </c>
      <c r="V1074" t="s">
        <v>124</v>
      </c>
      <c r="W1074" t="s">
        <v>125</v>
      </c>
      <c r="X1074" t="s">
        <v>126</v>
      </c>
      <c r="Y1074">
        <v>85</v>
      </c>
      <c r="Z1074" t="s">
        <v>58</v>
      </c>
      <c r="AA1074" t="s">
        <v>59</v>
      </c>
      <c r="AB1074" s="1">
        <v>45810</v>
      </c>
      <c r="AC1074" t="s">
        <v>40</v>
      </c>
      <c r="AD1074" t="s">
        <v>40</v>
      </c>
      <c r="AE1074" t="s">
        <v>60</v>
      </c>
      <c r="AF1074" t="s">
        <v>40</v>
      </c>
      <c r="AG1074">
        <v>1</v>
      </c>
      <c r="AH1074" t="s">
        <v>100</v>
      </c>
    </row>
    <row r="1075" spans="1:34" x14ac:dyDescent="0.3">
      <c r="A1075" t="s">
        <v>1710</v>
      </c>
      <c r="B1075" t="s">
        <v>456</v>
      </c>
      <c r="C1075" t="s">
        <v>103</v>
      </c>
      <c r="D1075" t="s">
        <v>130</v>
      </c>
      <c r="E1075" s="1">
        <v>45667</v>
      </c>
      <c r="F1075" s="1">
        <v>45697</v>
      </c>
      <c r="G1075" t="s">
        <v>81</v>
      </c>
      <c r="H1075">
        <v>6522</v>
      </c>
      <c r="I1075" t="s">
        <v>39</v>
      </c>
      <c r="J1075" t="b">
        <v>0</v>
      </c>
      <c r="K1075">
        <v>30</v>
      </c>
      <c r="L1075">
        <v>2</v>
      </c>
      <c r="M1075">
        <v>2025</v>
      </c>
      <c r="N1075">
        <v>6</v>
      </c>
      <c r="O1075">
        <v>1</v>
      </c>
      <c r="P1075">
        <v>2025</v>
      </c>
      <c r="Q1075">
        <v>4</v>
      </c>
      <c r="R1075" t="s">
        <v>66</v>
      </c>
      <c r="S1075" t="s">
        <v>55</v>
      </c>
      <c r="T1075" t="s">
        <v>123</v>
      </c>
      <c r="U1075" t="s">
        <v>40</v>
      </c>
      <c r="V1075" t="s">
        <v>105</v>
      </c>
      <c r="W1075" t="s">
        <v>106</v>
      </c>
      <c r="X1075" t="s">
        <v>45</v>
      </c>
      <c r="Y1075">
        <v>140</v>
      </c>
      <c r="Z1075" t="s">
        <v>133</v>
      </c>
      <c r="AA1075" t="s">
        <v>134</v>
      </c>
      <c r="AB1075" s="1">
        <v>45697</v>
      </c>
      <c r="AC1075" t="s">
        <v>66</v>
      </c>
      <c r="AD1075" t="s">
        <v>40</v>
      </c>
      <c r="AE1075" t="s">
        <v>60</v>
      </c>
      <c r="AF1075" t="s">
        <v>40</v>
      </c>
      <c r="AG1075">
        <v>0</v>
      </c>
      <c r="AH1075" t="s">
        <v>70</v>
      </c>
    </row>
    <row r="1076" spans="1:34" x14ac:dyDescent="0.3">
      <c r="A1076" t="s">
        <v>1711</v>
      </c>
      <c r="B1076" t="s">
        <v>1024</v>
      </c>
      <c r="C1076" t="s">
        <v>97</v>
      </c>
      <c r="D1076" t="s">
        <v>53</v>
      </c>
      <c r="E1076" s="1">
        <v>46354</v>
      </c>
      <c r="F1076" s="1">
        <v>46384</v>
      </c>
      <c r="G1076" t="s">
        <v>81</v>
      </c>
      <c r="H1076">
        <v>11337</v>
      </c>
      <c r="I1076" t="s">
        <v>54</v>
      </c>
      <c r="J1076" t="b">
        <v>0</v>
      </c>
      <c r="K1076">
        <v>30</v>
      </c>
      <c r="L1076">
        <v>12</v>
      </c>
      <c r="M1076">
        <v>2026</v>
      </c>
      <c r="N1076">
        <v>0</v>
      </c>
      <c r="O1076">
        <v>11</v>
      </c>
      <c r="P1076">
        <v>2026</v>
      </c>
      <c r="Q1076">
        <v>5</v>
      </c>
      <c r="R1076" t="s">
        <v>40</v>
      </c>
      <c r="S1076" t="s">
        <v>45</v>
      </c>
      <c r="T1076" t="s">
        <v>42</v>
      </c>
      <c r="U1076" t="s">
        <v>66</v>
      </c>
      <c r="V1076" t="s">
        <v>98</v>
      </c>
      <c r="W1076" t="s">
        <v>99</v>
      </c>
      <c r="X1076" t="s">
        <v>76</v>
      </c>
      <c r="Y1076">
        <v>80</v>
      </c>
      <c r="Z1076" t="s">
        <v>58</v>
      </c>
      <c r="AA1076" t="s">
        <v>59</v>
      </c>
      <c r="AB1076" s="1">
        <v>46384</v>
      </c>
      <c r="AC1076" t="s">
        <v>40</v>
      </c>
      <c r="AD1076" t="s">
        <v>40</v>
      </c>
      <c r="AE1076" t="s">
        <v>69</v>
      </c>
      <c r="AF1076" t="s">
        <v>40</v>
      </c>
      <c r="AG1076">
        <v>1</v>
      </c>
      <c r="AH1076" t="s">
        <v>70</v>
      </c>
    </row>
    <row r="1077" spans="1:34" x14ac:dyDescent="0.3">
      <c r="A1077" t="s">
        <v>1712</v>
      </c>
      <c r="B1077" t="s">
        <v>420</v>
      </c>
      <c r="C1077" t="s">
        <v>122</v>
      </c>
      <c r="D1077" t="s">
        <v>37</v>
      </c>
      <c r="E1077" s="1">
        <v>46263</v>
      </c>
      <c r="F1077" s="1">
        <v>46293</v>
      </c>
      <c r="G1077" t="s">
        <v>41</v>
      </c>
      <c r="H1077">
        <v>6668</v>
      </c>
      <c r="I1077" t="s">
        <v>39</v>
      </c>
      <c r="J1077" t="b">
        <v>0</v>
      </c>
      <c r="K1077">
        <v>30</v>
      </c>
      <c r="L1077">
        <v>9</v>
      </c>
      <c r="M1077">
        <v>2026</v>
      </c>
      <c r="N1077">
        <v>0</v>
      </c>
      <c r="O1077">
        <v>8</v>
      </c>
      <c r="P1077">
        <v>2026</v>
      </c>
      <c r="Q1077">
        <v>5</v>
      </c>
      <c r="R1077" t="s">
        <v>40</v>
      </c>
      <c r="S1077" t="s">
        <v>41</v>
      </c>
      <c r="T1077" t="s">
        <v>42</v>
      </c>
      <c r="U1077" t="s">
        <v>40</v>
      </c>
      <c r="V1077" t="s">
        <v>124</v>
      </c>
      <c r="W1077" t="s">
        <v>125</v>
      </c>
      <c r="X1077" t="s">
        <v>126</v>
      </c>
      <c r="Y1077">
        <v>85</v>
      </c>
      <c r="Z1077" t="s">
        <v>46</v>
      </c>
      <c r="AA1077" t="s">
        <v>47</v>
      </c>
      <c r="AB1077" s="1">
        <v>46293</v>
      </c>
      <c r="AC1077" t="s">
        <v>40</v>
      </c>
      <c r="AD1077" t="s">
        <v>40</v>
      </c>
      <c r="AE1077" t="s">
        <v>60</v>
      </c>
      <c r="AF1077" t="s">
        <v>40</v>
      </c>
      <c r="AG1077">
        <v>0</v>
      </c>
      <c r="AH1077" t="s">
        <v>70</v>
      </c>
    </row>
    <row r="1078" spans="1:34" x14ac:dyDescent="0.3">
      <c r="A1078" t="s">
        <v>1713</v>
      </c>
      <c r="B1078" t="s">
        <v>406</v>
      </c>
      <c r="C1078" t="s">
        <v>122</v>
      </c>
      <c r="D1078" t="s">
        <v>80</v>
      </c>
      <c r="E1078" s="1">
        <v>46243</v>
      </c>
      <c r="F1078" s="1">
        <v>46250</v>
      </c>
      <c r="G1078" t="s">
        <v>81</v>
      </c>
      <c r="H1078">
        <v>8668</v>
      </c>
      <c r="I1078" t="s">
        <v>65</v>
      </c>
      <c r="J1078" t="b">
        <v>0</v>
      </c>
      <c r="K1078">
        <v>7</v>
      </c>
      <c r="L1078">
        <v>8</v>
      </c>
      <c r="M1078">
        <v>2026</v>
      </c>
      <c r="N1078">
        <v>6</v>
      </c>
      <c r="O1078">
        <v>8</v>
      </c>
      <c r="P1078">
        <v>2026</v>
      </c>
      <c r="Q1078">
        <v>6</v>
      </c>
      <c r="R1078" t="s">
        <v>66</v>
      </c>
      <c r="S1078" t="s">
        <v>55</v>
      </c>
      <c r="T1078" t="s">
        <v>42</v>
      </c>
      <c r="U1078" t="s">
        <v>40</v>
      </c>
      <c r="V1078" t="s">
        <v>124</v>
      </c>
      <c r="W1078" t="s">
        <v>125</v>
      </c>
      <c r="X1078" t="s">
        <v>126</v>
      </c>
      <c r="Y1078">
        <v>85</v>
      </c>
      <c r="Z1078" t="s">
        <v>84</v>
      </c>
      <c r="AA1078" t="s">
        <v>85</v>
      </c>
      <c r="AB1078" s="1">
        <v>46250</v>
      </c>
      <c r="AC1078" t="s">
        <v>66</v>
      </c>
      <c r="AD1078" t="s">
        <v>40</v>
      </c>
      <c r="AE1078" t="s">
        <v>86</v>
      </c>
      <c r="AF1078" t="s">
        <v>40</v>
      </c>
      <c r="AG1078">
        <v>0</v>
      </c>
      <c r="AH1078" t="s">
        <v>100</v>
      </c>
    </row>
    <row r="1079" spans="1:34" x14ac:dyDescent="0.3">
      <c r="A1079" t="s">
        <v>1714</v>
      </c>
      <c r="B1079" t="s">
        <v>904</v>
      </c>
      <c r="C1079" t="s">
        <v>169</v>
      </c>
      <c r="D1079" t="s">
        <v>104</v>
      </c>
      <c r="E1079" s="1">
        <v>45929</v>
      </c>
      <c r="F1079" s="1">
        <v>45930</v>
      </c>
      <c r="G1079" t="s">
        <v>38</v>
      </c>
      <c r="H1079">
        <v>26700</v>
      </c>
      <c r="I1079" t="s">
        <v>65</v>
      </c>
      <c r="J1079" t="b">
        <v>0</v>
      </c>
      <c r="K1079">
        <v>1</v>
      </c>
      <c r="L1079">
        <v>9</v>
      </c>
      <c r="M1079">
        <v>2025</v>
      </c>
      <c r="N1079">
        <v>1</v>
      </c>
      <c r="O1079">
        <v>9</v>
      </c>
      <c r="P1079">
        <v>2025</v>
      </c>
      <c r="Q1079">
        <v>0</v>
      </c>
      <c r="R1079" t="s">
        <v>40</v>
      </c>
      <c r="S1079" t="s">
        <v>55</v>
      </c>
      <c r="T1079" t="s">
        <v>48</v>
      </c>
      <c r="U1079" t="s">
        <v>40</v>
      </c>
      <c r="V1079" t="s">
        <v>170</v>
      </c>
      <c r="W1079" t="s">
        <v>171</v>
      </c>
      <c r="X1079" t="s">
        <v>126</v>
      </c>
      <c r="Y1079">
        <v>90</v>
      </c>
      <c r="Z1079" t="s">
        <v>107</v>
      </c>
      <c r="AA1079" t="s">
        <v>108</v>
      </c>
      <c r="AB1079" s="1">
        <v>45930</v>
      </c>
      <c r="AC1079" t="s">
        <v>40</v>
      </c>
      <c r="AD1079" t="s">
        <v>40</v>
      </c>
      <c r="AE1079" t="s">
        <v>60</v>
      </c>
      <c r="AF1079" t="s">
        <v>40</v>
      </c>
      <c r="AG1079">
        <v>0</v>
      </c>
      <c r="AH1079" t="s">
        <v>100</v>
      </c>
    </row>
    <row r="1080" spans="1:34" x14ac:dyDescent="0.3">
      <c r="A1080" t="s">
        <v>1715</v>
      </c>
      <c r="B1080" t="s">
        <v>1185</v>
      </c>
      <c r="C1080" t="s">
        <v>146</v>
      </c>
      <c r="D1080" t="s">
        <v>80</v>
      </c>
      <c r="E1080" s="1">
        <v>46084</v>
      </c>
      <c r="F1080" s="1">
        <v>46085</v>
      </c>
      <c r="G1080" t="s">
        <v>81</v>
      </c>
      <c r="H1080">
        <v>10568</v>
      </c>
      <c r="I1080" t="s">
        <v>39</v>
      </c>
      <c r="J1080" t="b">
        <v>0</v>
      </c>
      <c r="K1080">
        <v>1</v>
      </c>
      <c r="L1080">
        <v>3</v>
      </c>
      <c r="M1080">
        <v>2026</v>
      </c>
      <c r="N1080">
        <v>2</v>
      </c>
      <c r="O1080">
        <v>3</v>
      </c>
      <c r="P1080">
        <v>2026</v>
      </c>
      <c r="Q1080">
        <v>1</v>
      </c>
      <c r="R1080" t="s">
        <v>40</v>
      </c>
      <c r="S1080" t="s">
        <v>55</v>
      </c>
      <c r="T1080" t="s">
        <v>113</v>
      </c>
      <c r="U1080" t="s">
        <v>40</v>
      </c>
      <c r="V1080" t="s">
        <v>147</v>
      </c>
      <c r="W1080" t="s">
        <v>148</v>
      </c>
      <c r="X1080" t="s">
        <v>45</v>
      </c>
      <c r="Y1080">
        <v>160</v>
      </c>
      <c r="Z1080" t="s">
        <v>84</v>
      </c>
      <c r="AA1080" t="s">
        <v>85</v>
      </c>
      <c r="AB1080" s="1">
        <v>46085</v>
      </c>
      <c r="AC1080" t="s">
        <v>40</v>
      </c>
      <c r="AD1080" t="s">
        <v>40</v>
      </c>
      <c r="AE1080" t="s">
        <v>60</v>
      </c>
      <c r="AF1080" t="s">
        <v>40</v>
      </c>
      <c r="AG1080">
        <v>0</v>
      </c>
      <c r="AH1080" t="s">
        <v>100</v>
      </c>
    </row>
    <row r="1081" spans="1:34" x14ac:dyDescent="0.3">
      <c r="A1081" t="s">
        <v>1716</v>
      </c>
      <c r="B1081" t="s">
        <v>253</v>
      </c>
      <c r="C1081" t="s">
        <v>73</v>
      </c>
      <c r="D1081" t="s">
        <v>104</v>
      </c>
      <c r="E1081" s="1">
        <v>46232</v>
      </c>
      <c r="F1081" s="1">
        <v>46292</v>
      </c>
      <c r="G1081" t="s">
        <v>38</v>
      </c>
      <c r="H1081">
        <v>4320</v>
      </c>
      <c r="I1081" t="s">
        <v>39</v>
      </c>
      <c r="J1081" t="b">
        <v>0</v>
      </c>
      <c r="K1081">
        <v>60</v>
      </c>
      <c r="L1081">
        <v>9</v>
      </c>
      <c r="M1081">
        <v>2026</v>
      </c>
      <c r="N1081">
        <v>6</v>
      </c>
      <c r="O1081">
        <v>7</v>
      </c>
      <c r="P1081">
        <v>2026</v>
      </c>
      <c r="Q1081">
        <v>2</v>
      </c>
      <c r="R1081" t="s">
        <v>66</v>
      </c>
      <c r="S1081" t="s">
        <v>67</v>
      </c>
      <c r="T1081" t="s">
        <v>42</v>
      </c>
      <c r="U1081" t="s">
        <v>40</v>
      </c>
      <c r="V1081" t="s">
        <v>74</v>
      </c>
      <c r="W1081" t="s">
        <v>75</v>
      </c>
      <c r="X1081" t="s">
        <v>76</v>
      </c>
      <c r="Y1081">
        <v>75</v>
      </c>
      <c r="Z1081" t="s">
        <v>107</v>
      </c>
      <c r="AA1081" t="s">
        <v>108</v>
      </c>
      <c r="AB1081" s="1">
        <v>46292</v>
      </c>
      <c r="AC1081" t="s">
        <v>66</v>
      </c>
      <c r="AD1081" t="s">
        <v>40</v>
      </c>
      <c r="AE1081" t="s">
        <v>60</v>
      </c>
      <c r="AF1081" t="s">
        <v>40</v>
      </c>
      <c r="AG1081">
        <v>0</v>
      </c>
      <c r="AH1081" t="s">
        <v>61</v>
      </c>
    </row>
    <row r="1082" spans="1:34" x14ac:dyDescent="0.3">
      <c r="A1082" t="s">
        <v>1717</v>
      </c>
      <c r="B1082" t="s">
        <v>931</v>
      </c>
      <c r="C1082" t="s">
        <v>52</v>
      </c>
      <c r="D1082" t="s">
        <v>130</v>
      </c>
      <c r="E1082" s="1">
        <v>45790</v>
      </c>
      <c r="F1082" s="1">
        <v>45940</v>
      </c>
      <c r="G1082" t="s">
        <v>81</v>
      </c>
      <c r="H1082">
        <v>8606</v>
      </c>
      <c r="I1082" t="s">
        <v>65</v>
      </c>
      <c r="J1082" t="b">
        <v>0</v>
      </c>
      <c r="K1082">
        <v>150</v>
      </c>
      <c r="L1082">
        <v>10</v>
      </c>
      <c r="M1082">
        <v>2025</v>
      </c>
      <c r="N1082">
        <v>4</v>
      </c>
      <c r="O1082">
        <v>5</v>
      </c>
      <c r="P1082">
        <v>2025</v>
      </c>
      <c r="Q1082">
        <v>1</v>
      </c>
      <c r="R1082" t="s">
        <v>40</v>
      </c>
      <c r="S1082" t="s">
        <v>67</v>
      </c>
      <c r="T1082" t="s">
        <v>42</v>
      </c>
      <c r="U1082" t="s">
        <v>40</v>
      </c>
      <c r="V1082" t="s">
        <v>56</v>
      </c>
      <c r="W1082" t="s">
        <v>57</v>
      </c>
      <c r="X1082" t="s">
        <v>45</v>
      </c>
      <c r="Y1082">
        <v>120</v>
      </c>
      <c r="Z1082" t="s">
        <v>133</v>
      </c>
      <c r="AA1082" t="s">
        <v>134</v>
      </c>
      <c r="AB1082" s="1">
        <v>45940</v>
      </c>
      <c r="AC1082" t="s">
        <v>40</v>
      </c>
      <c r="AD1082" t="s">
        <v>40</v>
      </c>
      <c r="AE1082" t="s">
        <v>60</v>
      </c>
      <c r="AF1082" t="s">
        <v>40</v>
      </c>
      <c r="AG1082">
        <v>0</v>
      </c>
      <c r="AH1082" t="s">
        <v>49</v>
      </c>
    </row>
    <row r="1083" spans="1:34" x14ac:dyDescent="0.3">
      <c r="A1083" t="s">
        <v>1718</v>
      </c>
      <c r="B1083" t="s">
        <v>749</v>
      </c>
      <c r="C1083" t="s">
        <v>36</v>
      </c>
      <c r="D1083" t="s">
        <v>53</v>
      </c>
      <c r="E1083" s="1">
        <v>45974</v>
      </c>
      <c r="F1083" s="1">
        <v>46194</v>
      </c>
      <c r="G1083" t="s">
        <v>64</v>
      </c>
      <c r="H1083">
        <v>2518</v>
      </c>
      <c r="I1083" t="s">
        <v>65</v>
      </c>
      <c r="J1083" t="b">
        <v>0</v>
      </c>
      <c r="K1083">
        <v>220</v>
      </c>
      <c r="L1083">
        <v>6</v>
      </c>
      <c r="M1083">
        <v>2026</v>
      </c>
      <c r="N1083">
        <v>6</v>
      </c>
      <c r="O1083">
        <v>11</v>
      </c>
      <c r="P1083">
        <v>2025</v>
      </c>
      <c r="Q1083">
        <v>3</v>
      </c>
      <c r="R1083" t="s">
        <v>66</v>
      </c>
      <c r="S1083" t="s">
        <v>45</v>
      </c>
      <c r="T1083" t="s">
        <v>42</v>
      </c>
      <c r="U1083" t="s">
        <v>40</v>
      </c>
      <c r="V1083" t="s">
        <v>43</v>
      </c>
      <c r="W1083" t="s">
        <v>44</v>
      </c>
      <c r="X1083" t="s">
        <v>45</v>
      </c>
      <c r="Y1083">
        <v>150</v>
      </c>
      <c r="Z1083" t="s">
        <v>58</v>
      </c>
      <c r="AA1083" t="s">
        <v>59</v>
      </c>
      <c r="AB1083" s="1">
        <v>46194</v>
      </c>
      <c r="AC1083" t="s">
        <v>66</v>
      </c>
      <c r="AD1083" t="s">
        <v>40</v>
      </c>
      <c r="AE1083" t="s">
        <v>60</v>
      </c>
      <c r="AF1083" t="s">
        <v>40</v>
      </c>
      <c r="AG1083">
        <v>0</v>
      </c>
      <c r="AH1083" t="s">
        <v>142</v>
      </c>
    </row>
    <row r="1084" spans="1:34" x14ac:dyDescent="0.3">
      <c r="A1084" t="s">
        <v>1719</v>
      </c>
      <c r="B1084" t="s">
        <v>585</v>
      </c>
      <c r="C1084" t="s">
        <v>97</v>
      </c>
      <c r="D1084" t="s">
        <v>130</v>
      </c>
      <c r="E1084" s="1">
        <v>46120</v>
      </c>
      <c r="F1084" s="1">
        <v>46134</v>
      </c>
      <c r="G1084" t="s">
        <v>41</v>
      </c>
      <c r="H1084">
        <v>7516</v>
      </c>
      <c r="I1084" t="s">
        <v>54</v>
      </c>
      <c r="J1084" t="b">
        <v>0</v>
      </c>
      <c r="K1084">
        <v>14</v>
      </c>
      <c r="L1084">
        <v>4</v>
      </c>
      <c r="M1084">
        <v>2026</v>
      </c>
      <c r="N1084">
        <v>2</v>
      </c>
      <c r="O1084">
        <v>4</v>
      </c>
      <c r="P1084">
        <v>2026</v>
      </c>
      <c r="Q1084">
        <v>2</v>
      </c>
      <c r="R1084" t="s">
        <v>40</v>
      </c>
      <c r="S1084" t="s">
        <v>45</v>
      </c>
      <c r="T1084" t="s">
        <v>286</v>
      </c>
      <c r="U1084" t="s">
        <v>40</v>
      </c>
      <c r="V1084" t="s">
        <v>98</v>
      </c>
      <c r="W1084" t="s">
        <v>99</v>
      </c>
      <c r="X1084" t="s">
        <v>76</v>
      </c>
      <c r="Y1084">
        <v>80</v>
      </c>
      <c r="Z1084" t="s">
        <v>133</v>
      </c>
      <c r="AA1084" t="s">
        <v>134</v>
      </c>
      <c r="AB1084" s="1">
        <v>46134</v>
      </c>
      <c r="AC1084" t="s">
        <v>40</v>
      </c>
      <c r="AD1084" t="s">
        <v>40</v>
      </c>
      <c r="AE1084" t="s">
        <v>69</v>
      </c>
      <c r="AF1084" t="s">
        <v>40</v>
      </c>
      <c r="AG1084">
        <v>1</v>
      </c>
      <c r="AH1084" t="s">
        <v>70</v>
      </c>
    </row>
    <row r="1085" spans="1:34" x14ac:dyDescent="0.3">
      <c r="A1085" t="s">
        <v>1720</v>
      </c>
      <c r="B1085" t="s">
        <v>1270</v>
      </c>
      <c r="C1085" t="s">
        <v>79</v>
      </c>
      <c r="D1085" t="s">
        <v>90</v>
      </c>
      <c r="E1085" s="1">
        <v>46055</v>
      </c>
      <c r="F1085" s="1">
        <v>46115</v>
      </c>
      <c r="G1085" t="s">
        <v>81</v>
      </c>
      <c r="H1085">
        <v>7019</v>
      </c>
      <c r="I1085" t="s">
        <v>65</v>
      </c>
      <c r="J1085" t="b">
        <v>0</v>
      </c>
      <c r="K1085">
        <v>60</v>
      </c>
      <c r="L1085">
        <v>4</v>
      </c>
      <c r="M1085">
        <v>2026</v>
      </c>
      <c r="N1085">
        <v>4</v>
      </c>
      <c r="O1085">
        <v>2</v>
      </c>
      <c r="P1085">
        <v>2026</v>
      </c>
      <c r="Q1085">
        <v>0</v>
      </c>
      <c r="R1085" t="s">
        <v>40</v>
      </c>
      <c r="S1085" t="s">
        <v>41</v>
      </c>
      <c r="T1085" t="s">
        <v>42</v>
      </c>
      <c r="U1085" t="s">
        <v>40</v>
      </c>
      <c r="V1085" t="s">
        <v>82</v>
      </c>
      <c r="W1085" t="s">
        <v>83</v>
      </c>
      <c r="X1085" t="s">
        <v>76</v>
      </c>
      <c r="Y1085">
        <v>100</v>
      </c>
      <c r="Z1085" t="s">
        <v>93</v>
      </c>
      <c r="AA1085" t="s">
        <v>94</v>
      </c>
      <c r="AB1085" s="1">
        <v>46115</v>
      </c>
      <c r="AC1085" t="s">
        <v>40</v>
      </c>
      <c r="AD1085" t="s">
        <v>40</v>
      </c>
      <c r="AE1085" t="s">
        <v>69</v>
      </c>
      <c r="AF1085" t="s">
        <v>40</v>
      </c>
      <c r="AG1085">
        <v>0</v>
      </c>
      <c r="AH1085" t="s">
        <v>61</v>
      </c>
    </row>
    <row r="1086" spans="1:34" x14ac:dyDescent="0.3">
      <c r="A1086" t="s">
        <v>1721</v>
      </c>
      <c r="B1086" t="s">
        <v>1280</v>
      </c>
      <c r="C1086" t="s">
        <v>73</v>
      </c>
      <c r="D1086" t="s">
        <v>104</v>
      </c>
      <c r="E1086" s="1">
        <v>46304</v>
      </c>
      <c r="F1086" s="1">
        <v>46318</v>
      </c>
      <c r="G1086" t="s">
        <v>81</v>
      </c>
      <c r="H1086">
        <v>7348</v>
      </c>
      <c r="I1086" t="s">
        <v>39</v>
      </c>
      <c r="J1086" t="b">
        <v>0</v>
      </c>
      <c r="K1086">
        <v>14</v>
      </c>
      <c r="L1086">
        <v>10</v>
      </c>
      <c r="M1086">
        <v>2026</v>
      </c>
      <c r="N1086">
        <v>4</v>
      </c>
      <c r="O1086">
        <v>10</v>
      </c>
      <c r="P1086">
        <v>2026</v>
      </c>
      <c r="Q1086">
        <v>4</v>
      </c>
      <c r="R1086" t="s">
        <v>40</v>
      </c>
      <c r="S1086" t="s">
        <v>55</v>
      </c>
      <c r="T1086" t="s">
        <v>42</v>
      </c>
      <c r="U1086" t="s">
        <v>40</v>
      </c>
      <c r="V1086" t="s">
        <v>74</v>
      </c>
      <c r="W1086" t="s">
        <v>75</v>
      </c>
      <c r="X1086" t="s">
        <v>76</v>
      </c>
      <c r="Y1086">
        <v>75</v>
      </c>
      <c r="Z1086" t="s">
        <v>107</v>
      </c>
      <c r="AA1086" t="s">
        <v>108</v>
      </c>
      <c r="AB1086" s="1">
        <v>46318</v>
      </c>
      <c r="AC1086" t="s">
        <v>40</v>
      </c>
      <c r="AD1086" t="s">
        <v>40</v>
      </c>
      <c r="AE1086" t="s">
        <v>60</v>
      </c>
      <c r="AF1086" t="s">
        <v>40</v>
      </c>
      <c r="AG1086">
        <v>0</v>
      </c>
      <c r="AH1086" t="s">
        <v>70</v>
      </c>
    </row>
    <row r="1087" spans="1:34" x14ac:dyDescent="0.3">
      <c r="A1087" t="s">
        <v>1722</v>
      </c>
      <c r="B1087" t="s">
        <v>484</v>
      </c>
      <c r="C1087" t="s">
        <v>155</v>
      </c>
      <c r="D1087" t="s">
        <v>37</v>
      </c>
      <c r="E1087" s="1">
        <v>46153</v>
      </c>
      <c r="F1087" s="1">
        <v>46213</v>
      </c>
      <c r="G1087" t="s">
        <v>64</v>
      </c>
      <c r="H1087">
        <v>3909</v>
      </c>
      <c r="I1087" t="s">
        <v>39</v>
      </c>
      <c r="J1087" t="b">
        <v>0</v>
      </c>
      <c r="K1087">
        <v>60</v>
      </c>
      <c r="L1087">
        <v>7</v>
      </c>
      <c r="M1087">
        <v>2026</v>
      </c>
      <c r="N1087">
        <v>4</v>
      </c>
      <c r="O1087">
        <v>5</v>
      </c>
      <c r="P1087">
        <v>2026</v>
      </c>
      <c r="Q1087">
        <v>0</v>
      </c>
      <c r="R1087" t="s">
        <v>40</v>
      </c>
      <c r="S1087" t="s">
        <v>41</v>
      </c>
      <c r="T1087" t="s">
        <v>42</v>
      </c>
      <c r="U1087" t="s">
        <v>40</v>
      </c>
      <c r="V1087" t="s">
        <v>156</v>
      </c>
      <c r="W1087" t="s">
        <v>157</v>
      </c>
      <c r="X1087" t="s">
        <v>158</v>
      </c>
      <c r="Y1087">
        <v>70</v>
      </c>
      <c r="Z1087" t="s">
        <v>46</v>
      </c>
      <c r="AA1087" t="s">
        <v>47</v>
      </c>
      <c r="AB1087" s="1">
        <v>46213</v>
      </c>
      <c r="AC1087" t="s">
        <v>40</v>
      </c>
      <c r="AD1087" t="s">
        <v>40</v>
      </c>
      <c r="AE1087" t="s">
        <v>86</v>
      </c>
      <c r="AF1087" t="s">
        <v>40</v>
      </c>
      <c r="AG1087">
        <v>0</v>
      </c>
      <c r="AH1087" t="s">
        <v>61</v>
      </c>
    </row>
    <row r="1088" spans="1:34" x14ac:dyDescent="0.3">
      <c r="A1088" t="s">
        <v>1723</v>
      </c>
      <c r="B1088" t="s">
        <v>556</v>
      </c>
      <c r="C1088" t="s">
        <v>52</v>
      </c>
      <c r="D1088" t="s">
        <v>104</v>
      </c>
      <c r="E1088" s="1">
        <v>45850</v>
      </c>
      <c r="F1088" s="1">
        <v>45851</v>
      </c>
      <c r="G1088" t="s">
        <v>81</v>
      </c>
      <c r="H1088">
        <v>11814</v>
      </c>
      <c r="I1088" t="s">
        <v>212</v>
      </c>
      <c r="J1088" t="b">
        <v>0</v>
      </c>
      <c r="K1088">
        <v>1</v>
      </c>
      <c r="L1088">
        <v>7</v>
      </c>
      <c r="M1088">
        <v>2025</v>
      </c>
      <c r="N1088">
        <v>6</v>
      </c>
      <c r="O1088">
        <v>7</v>
      </c>
      <c r="P1088">
        <v>2025</v>
      </c>
      <c r="Q1088">
        <v>5</v>
      </c>
      <c r="R1088" t="s">
        <v>66</v>
      </c>
      <c r="S1088" t="s">
        <v>55</v>
      </c>
      <c r="T1088" t="s">
        <v>139</v>
      </c>
      <c r="U1088" t="s">
        <v>40</v>
      </c>
      <c r="V1088" t="s">
        <v>56</v>
      </c>
      <c r="W1088" t="s">
        <v>57</v>
      </c>
      <c r="X1088" t="s">
        <v>45</v>
      </c>
      <c r="Y1088">
        <v>120</v>
      </c>
      <c r="Z1088" t="s">
        <v>107</v>
      </c>
      <c r="AA1088" t="s">
        <v>108</v>
      </c>
      <c r="AB1088" s="1">
        <v>45851</v>
      </c>
      <c r="AC1088" t="s">
        <v>66</v>
      </c>
      <c r="AD1088" t="s">
        <v>40</v>
      </c>
      <c r="AE1088" t="s">
        <v>86</v>
      </c>
      <c r="AF1088" t="s">
        <v>40</v>
      </c>
      <c r="AG1088">
        <v>0</v>
      </c>
      <c r="AH1088" t="s">
        <v>100</v>
      </c>
    </row>
    <row r="1089" spans="1:34" x14ac:dyDescent="0.3">
      <c r="A1089" t="s">
        <v>1724</v>
      </c>
      <c r="B1089" t="s">
        <v>1080</v>
      </c>
      <c r="C1089" t="s">
        <v>36</v>
      </c>
      <c r="D1089" t="s">
        <v>90</v>
      </c>
      <c r="E1089" s="1">
        <v>45756</v>
      </c>
      <c r="F1089" s="1">
        <v>45786</v>
      </c>
      <c r="G1089" t="s">
        <v>64</v>
      </c>
      <c r="H1089">
        <v>2478</v>
      </c>
      <c r="I1089" t="s">
        <v>39</v>
      </c>
      <c r="J1089" t="b">
        <v>0</v>
      </c>
      <c r="K1089">
        <v>30</v>
      </c>
      <c r="L1089">
        <v>5</v>
      </c>
      <c r="M1089">
        <v>2025</v>
      </c>
      <c r="N1089">
        <v>4</v>
      </c>
      <c r="O1089">
        <v>4</v>
      </c>
      <c r="P1089">
        <v>2025</v>
      </c>
      <c r="Q1089">
        <v>2</v>
      </c>
      <c r="R1089" t="s">
        <v>40</v>
      </c>
      <c r="S1089" t="s">
        <v>67</v>
      </c>
      <c r="T1089" t="s">
        <v>42</v>
      </c>
      <c r="U1089" t="s">
        <v>40</v>
      </c>
      <c r="V1089" t="s">
        <v>43</v>
      </c>
      <c r="W1089" t="s">
        <v>44</v>
      </c>
      <c r="X1089" t="s">
        <v>45</v>
      </c>
      <c r="Y1089">
        <v>150</v>
      </c>
      <c r="Z1089" t="s">
        <v>93</v>
      </c>
      <c r="AA1089" t="s">
        <v>94</v>
      </c>
      <c r="AB1089" s="1">
        <v>45786</v>
      </c>
      <c r="AC1089" t="s">
        <v>40</v>
      </c>
      <c r="AD1089" t="s">
        <v>40</v>
      </c>
      <c r="AE1089" t="s">
        <v>69</v>
      </c>
      <c r="AF1089" t="s">
        <v>40</v>
      </c>
      <c r="AG1089">
        <v>0</v>
      </c>
      <c r="AH1089" t="s">
        <v>70</v>
      </c>
    </row>
    <row r="1090" spans="1:34" x14ac:dyDescent="0.3">
      <c r="A1090" t="s">
        <v>1725</v>
      </c>
      <c r="B1090" t="s">
        <v>788</v>
      </c>
      <c r="C1090" t="s">
        <v>52</v>
      </c>
      <c r="D1090" t="s">
        <v>37</v>
      </c>
      <c r="E1090" s="1">
        <v>45982</v>
      </c>
      <c r="F1090" s="1">
        <v>45989</v>
      </c>
      <c r="G1090" t="s">
        <v>41</v>
      </c>
      <c r="H1090">
        <v>8846</v>
      </c>
      <c r="I1090" t="s">
        <v>39</v>
      </c>
      <c r="J1090" t="b">
        <v>0</v>
      </c>
      <c r="K1090">
        <v>7</v>
      </c>
      <c r="L1090">
        <v>11</v>
      </c>
      <c r="M1090">
        <v>2025</v>
      </c>
      <c r="N1090">
        <v>4</v>
      </c>
      <c r="O1090">
        <v>11</v>
      </c>
      <c r="P1090">
        <v>2025</v>
      </c>
      <c r="Q1090">
        <v>4</v>
      </c>
      <c r="R1090" t="s">
        <v>40</v>
      </c>
      <c r="S1090" t="s">
        <v>45</v>
      </c>
      <c r="T1090" t="s">
        <v>42</v>
      </c>
      <c r="U1090" t="s">
        <v>40</v>
      </c>
      <c r="V1090" t="s">
        <v>56</v>
      </c>
      <c r="W1090" t="s">
        <v>57</v>
      </c>
      <c r="X1090" t="s">
        <v>45</v>
      </c>
      <c r="Y1090">
        <v>120</v>
      </c>
      <c r="Z1090" t="s">
        <v>46</v>
      </c>
      <c r="AA1090" t="s">
        <v>47</v>
      </c>
      <c r="AB1090" s="1">
        <v>45989</v>
      </c>
      <c r="AC1090" t="s">
        <v>40</v>
      </c>
      <c r="AD1090" t="s">
        <v>40</v>
      </c>
      <c r="AE1090" t="s">
        <v>86</v>
      </c>
      <c r="AF1090" t="s">
        <v>40</v>
      </c>
      <c r="AG1090">
        <v>0</v>
      </c>
      <c r="AH1090" t="s">
        <v>100</v>
      </c>
    </row>
    <row r="1091" spans="1:34" x14ac:dyDescent="0.3">
      <c r="A1091" t="s">
        <v>1726</v>
      </c>
      <c r="B1091" t="s">
        <v>677</v>
      </c>
      <c r="C1091" t="s">
        <v>103</v>
      </c>
      <c r="D1091" t="s">
        <v>90</v>
      </c>
      <c r="E1091" s="1">
        <v>45945</v>
      </c>
      <c r="F1091" s="1">
        <v>45959</v>
      </c>
      <c r="G1091" t="s">
        <v>41</v>
      </c>
      <c r="H1091">
        <v>5307</v>
      </c>
      <c r="I1091" t="s">
        <v>39</v>
      </c>
      <c r="J1091" t="b">
        <v>0</v>
      </c>
      <c r="K1091">
        <v>14</v>
      </c>
      <c r="L1091">
        <v>10</v>
      </c>
      <c r="M1091">
        <v>2025</v>
      </c>
      <c r="N1091">
        <v>2</v>
      </c>
      <c r="O1091">
        <v>10</v>
      </c>
      <c r="P1091">
        <v>2025</v>
      </c>
      <c r="Q1091">
        <v>2</v>
      </c>
      <c r="R1091" t="s">
        <v>40</v>
      </c>
      <c r="S1091" t="s">
        <v>67</v>
      </c>
      <c r="T1091" t="s">
        <v>286</v>
      </c>
      <c r="U1091" t="s">
        <v>40</v>
      </c>
      <c r="V1091" t="s">
        <v>105</v>
      </c>
      <c r="W1091" t="s">
        <v>106</v>
      </c>
      <c r="X1091" t="s">
        <v>45</v>
      </c>
      <c r="Y1091">
        <v>140</v>
      </c>
      <c r="Z1091" t="s">
        <v>93</v>
      </c>
      <c r="AA1091" t="s">
        <v>94</v>
      </c>
      <c r="AB1091" s="1">
        <v>45959</v>
      </c>
      <c r="AC1091" t="s">
        <v>40</v>
      </c>
      <c r="AD1091" t="s">
        <v>40</v>
      </c>
      <c r="AE1091" t="s">
        <v>60</v>
      </c>
      <c r="AF1091" t="s">
        <v>40</v>
      </c>
      <c r="AG1091">
        <v>0</v>
      </c>
      <c r="AH1091" t="s">
        <v>70</v>
      </c>
    </row>
    <row r="1092" spans="1:34" x14ac:dyDescent="0.3">
      <c r="A1092" t="s">
        <v>1727</v>
      </c>
      <c r="B1092" t="s">
        <v>1176</v>
      </c>
      <c r="C1092" t="s">
        <v>169</v>
      </c>
      <c r="D1092" t="s">
        <v>53</v>
      </c>
      <c r="E1092" s="1">
        <v>45847</v>
      </c>
      <c r="F1092" s="1">
        <v>45907</v>
      </c>
      <c r="G1092" t="s">
        <v>38</v>
      </c>
      <c r="H1092">
        <v>5955</v>
      </c>
      <c r="I1092" t="s">
        <v>65</v>
      </c>
      <c r="J1092" t="b">
        <v>0</v>
      </c>
      <c r="K1092">
        <v>60</v>
      </c>
      <c r="L1092">
        <v>9</v>
      </c>
      <c r="M1092">
        <v>2025</v>
      </c>
      <c r="N1092">
        <v>6</v>
      </c>
      <c r="O1092">
        <v>7</v>
      </c>
      <c r="P1092">
        <v>2025</v>
      </c>
      <c r="Q1092">
        <v>2</v>
      </c>
      <c r="R1092" t="s">
        <v>66</v>
      </c>
      <c r="S1092" t="s">
        <v>55</v>
      </c>
      <c r="T1092" t="s">
        <v>42</v>
      </c>
      <c r="U1092" t="s">
        <v>40</v>
      </c>
      <c r="V1092" t="s">
        <v>170</v>
      </c>
      <c r="W1092" t="s">
        <v>171</v>
      </c>
      <c r="X1092" t="s">
        <v>126</v>
      </c>
      <c r="Y1092">
        <v>90</v>
      </c>
      <c r="Z1092" t="s">
        <v>58</v>
      </c>
      <c r="AA1092" t="s">
        <v>59</v>
      </c>
      <c r="AB1092" s="1">
        <v>45907</v>
      </c>
      <c r="AC1092" t="s">
        <v>66</v>
      </c>
      <c r="AD1092" t="s">
        <v>40</v>
      </c>
      <c r="AE1092" t="s">
        <v>60</v>
      </c>
      <c r="AF1092" t="s">
        <v>40</v>
      </c>
      <c r="AG1092">
        <v>0</v>
      </c>
      <c r="AH1092" t="s">
        <v>61</v>
      </c>
    </row>
    <row r="1093" spans="1:34" x14ac:dyDescent="0.3">
      <c r="A1093" t="s">
        <v>1728</v>
      </c>
      <c r="B1093" t="s">
        <v>269</v>
      </c>
      <c r="C1093" t="s">
        <v>36</v>
      </c>
      <c r="D1093" t="s">
        <v>90</v>
      </c>
      <c r="E1093" s="1">
        <v>46248</v>
      </c>
      <c r="F1093" s="1">
        <v>46255</v>
      </c>
      <c r="G1093" t="s">
        <v>64</v>
      </c>
      <c r="H1093">
        <v>2300</v>
      </c>
      <c r="I1093" t="s">
        <v>65</v>
      </c>
      <c r="J1093" t="b">
        <v>0</v>
      </c>
      <c r="K1093">
        <v>7</v>
      </c>
      <c r="L1093">
        <v>8</v>
      </c>
      <c r="M1093">
        <v>2026</v>
      </c>
      <c r="N1093">
        <v>4</v>
      </c>
      <c r="O1093">
        <v>8</v>
      </c>
      <c r="P1093">
        <v>2026</v>
      </c>
      <c r="Q1093">
        <v>4</v>
      </c>
      <c r="R1093" t="s">
        <v>40</v>
      </c>
      <c r="S1093" t="s">
        <v>45</v>
      </c>
      <c r="T1093" t="s">
        <v>42</v>
      </c>
      <c r="U1093" t="s">
        <v>40</v>
      </c>
      <c r="V1093" t="s">
        <v>43</v>
      </c>
      <c r="W1093" t="s">
        <v>44</v>
      </c>
      <c r="X1093" t="s">
        <v>45</v>
      </c>
      <c r="Y1093">
        <v>150</v>
      </c>
      <c r="Z1093" t="s">
        <v>93</v>
      </c>
      <c r="AA1093" t="s">
        <v>94</v>
      </c>
      <c r="AB1093" s="1">
        <v>46255</v>
      </c>
      <c r="AC1093" t="s">
        <v>40</v>
      </c>
      <c r="AD1093" t="s">
        <v>40</v>
      </c>
      <c r="AE1093" t="s">
        <v>86</v>
      </c>
      <c r="AF1093" t="s">
        <v>40</v>
      </c>
      <c r="AG1093">
        <v>0</v>
      </c>
      <c r="AH1093" t="s">
        <v>100</v>
      </c>
    </row>
    <row r="1094" spans="1:34" x14ac:dyDescent="0.3">
      <c r="A1094" t="s">
        <v>1729</v>
      </c>
      <c r="B1094" t="s">
        <v>1730</v>
      </c>
      <c r="C1094" t="s">
        <v>89</v>
      </c>
      <c r="D1094" t="s">
        <v>80</v>
      </c>
      <c r="E1094" s="1">
        <v>46249</v>
      </c>
      <c r="F1094" s="1">
        <v>46349</v>
      </c>
      <c r="G1094" t="s">
        <v>81</v>
      </c>
      <c r="H1094">
        <v>7322</v>
      </c>
      <c r="I1094" t="s">
        <v>39</v>
      </c>
      <c r="J1094" t="b">
        <v>0</v>
      </c>
      <c r="K1094">
        <v>100</v>
      </c>
      <c r="L1094">
        <v>11</v>
      </c>
      <c r="M1094">
        <v>2026</v>
      </c>
      <c r="N1094">
        <v>0</v>
      </c>
      <c r="O1094">
        <v>8</v>
      </c>
      <c r="P1094">
        <v>2026</v>
      </c>
      <c r="Q1094">
        <v>5</v>
      </c>
      <c r="R1094" t="s">
        <v>40</v>
      </c>
      <c r="S1094" t="s">
        <v>67</v>
      </c>
      <c r="T1094" t="s">
        <v>48</v>
      </c>
      <c r="U1094" t="s">
        <v>40</v>
      </c>
      <c r="V1094" t="s">
        <v>91</v>
      </c>
      <c r="W1094" t="s">
        <v>92</v>
      </c>
      <c r="X1094" t="s">
        <v>76</v>
      </c>
      <c r="Y1094">
        <v>65</v>
      </c>
      <c r="Z1094" t="s">
        <v>84</v>
      </c>
      <c r="AA1094" t="s">
        <v>85</v>
      </c>
      <c r="AB1094" s="1">
        <v>46349</v>
      </c>
      <c r="AC1094" t="s">
        <v>40</v>
      </c>
      <c r="AD1094" t="s">
        <v>40</v>
      </c>
      <c r="AE1094" t="s">
        <v>86</v>
      </c>
      <c r="AF1094" t="s">
        <v>40</v>
      </c>
      <c r="AG1094">
        <v>0</v>
      </c>
      <c r="AH1094" t="s">
        <v>49</v>
      </c>
    </row>
    <row r="1095" spans="1:34" x14ac:dyDescent="0.3">
      <c r="A1095" t="s">
        <v>1731</v>
      </c>
      <c r="B1095" t="s">
        <v>1732</v>
      </c>
      <c r="C1095" t="s">
        <v>36</v>
      </c>
      <c r="D1095" t="s">
        <v>37</v>
      </c>
      <c r="E1095" s="1">
        <v>45999</v>
      </c>
      <c r="F1095" s="1">
        <v>46006</v>
      </c>
      <c r="G1095" t="s">
        <v>64</v>
      </c>
      <c r="H1095">
        <v>2340</v>
      </c>
      <c r="I1095" t="s">
        <v>39</v>
      </c>
      <c r="J1095" t="b">
        <v>0</v>
      </c>
      <c r="K1095">
        <v>7</v>
      </c>
      <c r="L1095">
        <v>12</v>
      </c>
      <c r="M1095">
        <v>2025</v>
      </c>
      <c r="N1095">
        <v>0</v>
      </c>
      <c r="O1095">
        <v>12</v>
      </c>
      <c r="P1095">
        <v>2025</v>
      </c>
      <c r="Q1095">
        <v>0</v>
      </c>
      <c r="R1095" t="s">
        <v>40</v>
      </c>
      <c r="S1095" t="s">
        <v>55</v>
      </c>
      <c r="T1095" t="s">
        <v>42</v>
      </c>
      <c r="U1095" t="s">
        <v>40</v>
      </c>
      <c r="V1095" t="s">
        <v>43</v>
      </c>
      <c r="W1095" t="s">
        <v>44</v>
      </c>
      <c r="X1095" t="s">
        <v>45</v>
      </c>
      <c r="Y1095">
        <v>150</v>
      </c>
      <c r="Z1095" t="s">
        <v>46</v>
      </c>
      <c r="AA1095" t="s">
        <v>47</v>
      </c>
      <c r="AB1095" s="1">
        <v>46006</v>
      </c>
      <c r="AC1095" t="s">
        <v>40</v>
      </c>
      <c r="AD1095" t="s">
        <v>40</v>
      </c>
      <c r="AE1095" t="s">
        <v>69</v>
      </c>
      <c r="AF1095" t="s">
        <v>40</v>
      </c>
      <c r="AG1095">
        <v>0</v>
      </c>
      <c r="AH1095" t="s">
        <v>100</v>
      </c>
    </row>
    <row r="1096" spans="1:34" x14ac:dyDescent="0.3">
      <c r="A1096" t="s">
        <v>1733</v>
      </c>
      <c r="B1096" t="s">
        <v>162</v>
      </c>
      <c r="C1096" t="s">
        <v>103</v>
      </c>
      <c r="D1096" t="s">
        <v>80</v>
      </c>
      <c r="E1096" s="1">
        <v>45767</v>
      </c>
      <c r="F1096" s="1">
        <v>45774</v>
      </c>
      <c r="G1096" t="s">
        <v>38</v>
      </c>
      <c r="H1096">
        <v>4189</v>
      </c>
      <c r="I1096" t="s">
        <v>39</v>
      </c>
      <c r="J1096" t="b">
        <v>0</v>
      </c>
      <c r="K1096">
        <v>7</v>
      </c>
      <c r="L1096">
        <v>4</v>
      </c>
      <c r="M1096">
        <v>2025</v>
      </c>
      <c r="N1096">
        <v>6</v>
      </c>
      <c r="O1096">
        <v>4</v>
      </c>
      <c r="P1096">
        <v>2025</v>
      </c>
      <c r="Q1096">
        <v>6</v>
      </c>
      <c r="R1096" t="s">
        <v>66</v>
      </c>
      <c r="S1096" t="s">
        <v>67</v>
      </c>
      <c r="T1096" t="s">
        <v>42</v>
      </c>
      <c r="U1096" t="s">
        <v>40</v>
      </c>
      <c r="V1096" t="s">
        <v>105</v>
      </c>
      <c r="W1096" t="s">
        <v>106</v>
      </c>
      <c r="X1096" t="s">
        <v>45</v>
      </c>
      <c r="Y1096">
        <v>140</v>
      </c>
      <c r="Z1096" t="s">
        <v>84</v>
      </c>
      <c r="AA1096" t="s">
        <v>85</v>
      </c>
      <c r="AB1096" s="1">
        <v>45774</v>
      </c>
      <c r="AC1096" t="s">
        <v>66</v>
      </c>
      <c r="AD1096" t="s">
        <v>40</v>
      </c>
      <c r="AE1096" t="s">
        <v>69</v>
      </c>
      <c r="AF1096" t="s">
        <v>40</v>
      </c>
      <c r="AG1096">
        <v>0</v>
      </c>
      <c r="AH1096" t="s">
        <v>100</v>
      </c>
    </row>
    <row r="1097" spans="1:34" x14ac:dyDescent="0.3">
      <c r="A1097" t="s">
        <v>1734</v>
      </c>
      <c r="B1097" t="s">
        <v>1735</v>
      </c>
      <c r="C1097" t="s">
        <v>122</v>
      </c>
      <c r="D1097" t="s">
        <v>90</v>
      </c>
      <c r="E1097" s="1">
        <v>45787</v>
      </c>
      <c r="F1097" s="1">
        <v>45790</v>
      </c>
      <c r="G1097" t="s">
        <v>38</v>
      </c>
      <c r="H1097">
        <v>5642</v>
      </c>
      <c r="I1097" t="s">
        <v>39</v>
      </c>
      <c r="J1097" t="b">
        <v>0</v>
      </c>
      <c r="K1097">
        <v>3</v>
      </c>
      <c r="L1097">
        <v>5</v>
      </c>
      <c r="M1097">
        <v>2025</v>
      </c>
      <c r="N1097">
        <v>1</v>
      </c>
      <c r="O1097">
        <v>5</v>
      </c>
      <c r="P1097">
        <v>2025</v>
      </c>
      <c r="Q1097">
        <v>5</v>
      </c>
      <c r="R1097" t="s">
        <v>40</v>
      </c>
      <c r="S1097" t="s">
        <v>55</v>
      </c>
      <c r="T1097" t="s">
        <v>42</v>
      </c>
      <c r="U1097" t="s">
        <v>40</v>
      </c>
      <c r="V1097" t="s">
        <v>124</v>
      </c>
      <c r="W1097" t="s">
        <v>125</v>
      </c>
      <c r="X1097" t="s">
        <v>126</v>
      </c>
      <c r="Y1097">
        <v>85</v>
      </c>
      <c r="Z1097" t="s">
        <v>93</v>
      </c>
      <c r="AA1097" t="s">
        <v>94</v>
      </c>
      <c r="AB1097" s="1">
        <v>45790</v>
      </c>
      <c r="AC1097" t="s">
        <v>40</v>
      </c>
      <c r="AD1097" t="s">
        <v>40</v>
      </c>
      <c r="AE1097" t="s">
        <v>69</v>
      </c>
      <c r="AF1097" t="s">
        <v>40</v>
      </c>
      <c r="AG1097">
        <v>0</v>
      </c>
      <c r="AH1097" t="s">
        <v>100</v>
      </c>
    </row>
    <row r="1098" spans="1:34" x14ac:dyDescent="0.3">
      <c r="A1098" t="s">
        <v>1736</v>
      </c>
      <c r="B1098" t="s">
        <v>395</v>
      </c>
      <c r="C1098" t="s">
        <v>73</v>
      </c>
      <c r="D1098" t="s">
        <v>130</v>
      </c>
      <c r="E1098" s="1">
        <v>46098</v>
      </c>
      <c r="F1098" s="1">
        <v>46105</v>
      </c>
      <c r="G1098" t="s">
        <v>41</v>
      </c>
      <c r="H1098">
        <v>6410</v>
      </c>
      <c r="I1098" t="s">
        <v>39</v>
      </c>
      <c r="J1098" t="b">
        <v>0</v>
      </c>
      <c r="K1098">
        <v>7</v>
      </c>
      <c r="L1098">
        <v>3</v>
      </c>
      <c r="M1098">
        <v>2026</v>
      </c>
      <c r="N1098">
        <v>1</v>
      </c>
      <c r="O1098">
        <v>3</v>
      </c>
      <c r="P1098">
        <v>2026</v>
      </c>
      <c r="Q1098">
        <v>1</v>
      </c>
      <c r="R1098" t="s">
        <v>40</v>
      </c>
      <c r="S1098" t="s">
        <v>45</v>
      </c>
      <c r="T1098" t="s">
        <v>123</v>
      </c>
      <c r="U1098" t="s">
        <v>40</v>
      </c>
      <c r="V1098" t="s">
        <v>74</v>
      </c>
      <c r="W1098" t="s">
        <v>75</v>
      </c>
      <c r="X1098" t="s">
        <v>76</v>
      </c>
      <c r="Y1098">
        <v>75</v>
      </c>
      <c r="Z1098" t="s">
        <v>133</v>
      </c>
      <c r="AA1098" t="s">
        <v>134</v>
      </c>
      <c r="AB1098" s="1">
        <v>46105</v>
      </c>
      <c r="AC1098" t="s">
        <v>40</v>
      </c>
      <c r="AD1098" t="s">
        <v>40</v>
      </c>
      <c r="AE1098" t="s">
        <v>60</v>
      </c>
      <c r="AF1098" t="s">
        <v>40</v>
      </c>
      <c r="AG1098">
        <v>0</v>
      </c>
      <c r="AH1098" t="s">
        <v>100</v>
      </c>
    </row>
    <row r="1099" spans="1:34" x14ac:dyDescent="0.3">
      <c r="A1099" t="s">
        <v>1737</v>
      </c>
      <c r="B1099" t="s">
        <v>401</v>
      </c>
      <c r="C1099" t="s">
        <v>169</v>
      </c>
      <c r="D1099" t="s">
        <v>53</v>
      </c>
      <c r="E1099" s="1">
        <v>45913</v>
      </c>
      <c r="F1099" s="1">
        <v>45943</v>
      </c>
      <c r="G1099" t="s">
        <v>64</v>
      </c>
      <c r="H1099">
        <v>2722</v>
      </c>
      <c r="I1099" t="s">
        <v>39</v>
      </c>
      <c r="J1099" t="b">
        <v>0</v>
      </c>
      <c r="K1099">
        <v>30</v>
      </c>
      <c r="L1099">
        <v>10</v>
      </c>
      <c r="M1099">
        <v>2025</v>
      </c>
      <c r="N1099">
        <v>0</v>
      </c>
      <c r="O1099">
        <v>9</v>
      </c>
      <c r="P1099">
        <v>2025</v>
      </c>
      <c r="Q1099">
        <v>5</v>
      </c>
      <c r="R1099" t="s">
        <v>40</v>
      </c>
      <c r="S1099" t="s">
        <v>55</v>
      </c>
      <c r="T1099" t="s">
        <v>42</v>
      </c>
      <c r="U1099" t="s">
        <v>40</v>
      </c>
      <c r="V1099" t="s">
        <v>170</v>
      </c>
      <c r="W1099" t="s">
        <v>171</v>
      </c>
      <c r="X1099" t="s">
        <v>126</v>
      </c>
      <c r="Y1099">
        <v>90</v>
      </c>
      <c r="Z1099" t="s">
        <v>58</v>
      </c>
      <c r="AA1099" t="s">
        <v>59</v>
      </c>
      <c r="AB1099" s="1">
        <v>45943</v>
      </c>
      <c r="AC1099" t="s">
        <v>40</v>
      </c>
      <c r="AD1099" t="s">
        <v>40</v>
      </c>
      <c r="AE1099" t="s">
        <v>60</v>
      </c>
      <c r="AF1099" t="s">
        <v>40</v>
      </c>
      <c r="AG1099">
        <v>0</v>
      </c>
      <c r="AH1099" t="s">
        <v>70</v>
      </c>
    </row>
    <row r="1100" spans="1:34" x14ac:dyDescent="0.3">
      <c r="A1100" t="s">
        <v>1738</v>
      </c>
      <c r="B1100" t="s">
        <v>1739</v>
      </c>
      <c r="C1100" t="s">
        <v>89</v>
      </c>
      <c r="D1100" t="s">
        <v>90</v>
      </c>
      <c r="E1100" s="1">
        <v>46248</v>
      </c>
      <c r="F1100" s="1">
        <v>46255</v>
      </c>
      <c r="G1100" t="s">
        <v>64</v>
      </c>
      <c r="H1100">
        <v>2471</v>
      </c>
      <c r="I1100" t="s">
        <v>65</v>
      </c>
      <c r="J1100" t="b">
        <v>0</v>
      </c>
      <c r="K1100">
        <v>7</v>
      </c>
      <c r="L1100">
        <v>8</v>
      </c>
      <c r="M1100">
        <v>2026</v>
      </c>
      <c r="N1100">
        <v>4</v>
      </c>
      <c r="O1100">
        <v>8</v>
      </c>
      <c r="P1100">
        <v>2026</v>
      </c>
      <c r="Q1100">
        <v>4</v>
      </c>
      <c r="R1100" t="s">
        <v>40</v>
      </c>
      <c r="S1100" t="s">
        <v>67</v>
      </c>
      <c r="T1100" t="s">
        <v>42</v>
      </c>
      <c r="U1100" t="s">
        <v>66</v>
      </c>
      <c r="V1100" t="s">
        <v>91</v>
      </c>
      <c r="W1100" t="s">
        <v>92</v>
      </c>
      <c r="X1100" t="s">
        <v>76</v>
      </c>
      <c r="Y1100">
        <v>65</v>
      </c>
      <c r="Z1100" t="s">
        <v>93</v>
      </c>
      <c r="AA1100" t="s">
        <v>94</v>
      </c>
      <c r="AB1100" s="1">
        <v>46255</v>
      </c>
      <c r="AC1100" t="s">
        <v>40</v>
      </c>
      <c r="AD1100" t="s">
        <v>40</v>
      </c>
      <c r="AE1100" t="s">
        <v>86</v>
      </c>
      <c r="AF1100" t="s">
        <v>40</v>
      </c>
      <c r="AG1100">
        <v>0</v>
      </c>
      <c r="AH1100" t="s">
        <v>100</v>
      </c>
    </row>
    <row r="1101" spans="1:34" x14ac:dyDescent="0.3">
      <c r="A1101" t="s">
        <v>1740</v>
      </c>
      <c r="B1101" t="s">
        <v>232</v>
      </c>
      <c r="C1101" t="s">
        <v>73</v>
      </c>
      <c r="D1101" t="s">
        <v>53</v>
      </c>
      <c r="E1101" s="1">
        <v>45773</v>
      </c>
      <c r="F1101" s="1">
        <v>45803</v>
      </c>
      <c r="G1101" t="s">
        <v>38</v>
      </c>
      <c r="H1101">
        <v>3556</v>
      </c>
      <c r="I1101" t="s">
        <v>39</v>
      </c>
      <c r="J1101" t="b">
        <v>0</v>
      </c>
      <c r="K1101">
        <v>30</v>
      </c>
      <c r="L1101">
        <v>5</v>
      </c>
      <c r="M1101">
        <v>2025</v>
      </c>
      <c r="N1101">
        <v>0</v>
      </c>
      <c r="O1101">
        <v>4</v>
      </c>
      <c r="P1101">
        <v>2025</v>
      </c>
      <c r="Q1101">
        <v>5</v>
      </c>
      <c r="R1101" t="s">
        <v>40</v>
      </c>
      <c r="S1101" t="s">
        <v>41</v>
      </c>
      <c r="T1101" t="s">
        <v>42</v>
      </c>
      <c r="U1101" t="s">
        <v>40</v>
      </c>
      <c r="V1101" t="s">
        <v>74</v>
      </c>
      <c r="W1101" t="s">
        <v>75</v>
      </c>
      <c r="X1101" t="s">
        <v>76</v>
      </c>
      <c r="Y1101">
        <v>75</v>
      </c>
      <c r="Z1101" t="s">
        <v>58</v>
      </c>
      <c r="AA1101" t="s">
        <v>59</v>
      </c>
      <c r="AB1101" s="1">
        <v>45803</v>
      </c>
      <c r="AC1101" t="s">
        <v>40</v>
      </c>
      <c r="AD1101" t="s">
        <v>40</v>
      </c>
      <c r="AE1101" t="s">
        <v>69</v>
      </c>
      <c r="AF1101" t="s">
        <v>40</v>
      </c>
      <c r="AG1101">
        <v>0</v>
      </c>
      <c r="AH1101" t="s">
        <v>70</v>
      </c>
    </row>
    <row r="1102" spans="1:34" x14ac:dyDescent="0.3">
      <c r="A1102" t="s">
        <v>1741</v>
      </c>
      <c r="B1102" t="s">
        <v>1026</v>
      </c>
      <c r="C1102" t="s">
        <v>79</v>
      </c>
      <c r="D1102" t="s">
        <v>53</v>
      </c>
      <c r="E1102" s="1">
        <v>46078</v>
      </c>
      <c r="F1102" s="1">
        <v>46092</v>
      </c>
      <c r="G1102" t="s">
        <v>81</v>
      </c>
      <c r="H1102">
        <v>11702</v>
      </c>
      <c r="I1102" t="s">
        <v>65</v>
      </c>
      <c r="J1102" t="b">
        <v>0</v>
      </c>
      <c r="K1102">
        <v>14</v>
      </c>
      <c r="L1102">
        <v>3</v>
      </c>
      <c r="M1102">
        <v>2026</v>
      </c>
      <c r="N1102">
        <v>2</v>
      </c>
      <c r="O1102">
        <v>2</v>
      </c>
      <c r="P1102">
        <v>2026</v>
      </c>
      <c r="Q1102">
        <v>2</v>
      </c>
      <c r="R1102" t="s">
        <v>40</v>
      </c>
      <c r="S1102" t="s">
        <v>55</v>
      </c>
      <c r="T1102" t="s">
        <v>286</v>
      </c>
      <c r="U1102" t="s">
        <v>40</v>
      </c>
      <c r="V1102" t="s">
        <v>82</v>
      </c>
      <c r="W1102" t="s">
        <v>83</v>
      </c>
      <c r="X1102" t="s">
        <v>76</v>
      </c>
      <c r="Y1102">
        <v>100</v>
      </c>
      <c r="Z1102" t="s">
        <v>58</v>
      </c>
      <c r="AA1102" t="s">
        <v>59</v>
      </c>
      <c r="AB1102" s="1">
        <v>46092</v>
      </c>
      <c r="AC1102" t="s">
        <v>40</v>
      </c>
      <c r="AD1102" t="s">
        <v>40</v>
      </c>
      <c r="AE1102" t="s">
        <v>60</v>
      </c>
      <c r="AF1102" t="s">
        <v>40</v>
      </c>
      <c r="AG1102">
        <v>0</v>
      </c>
      <c r="AH1102" t="s">
        <v>70</v>
      </c>
    </row>
    <row r="1103" spans="1:34" x14ac:dyDescent="0.3">
      <c r="A1103" t="s">
        <v>1742</v>
      </c>
      <c r="B1103" t="s">
        <v>177</v>
      </c>
      <c r="C1103" t="s">
        <v>122</v>
      </c>
      <c r="D1103" t="s">
        <v>104</v>
      </c>
      <c r="E1103" s="1">
        <v>45938</v>
      </c>
      <c r="F1103" s="1">
        <v>45952</v>
      </c>
      <c r="G1103" t="s">
        <v>81</v>
      </c>
      <c r="H1103">
        <v>7799</v>
      </c>
      <c r="I1103" t="s">
        <v>65</v>
      </c>
      <c r="J1103" t="b">
        <v>0</v>
      </c>
      <c r="K1103">
        <v>14</v>
      </c>
      <c r="L1103">
        <v>10</v>
      </c>
      <c r="M1103">
        <v>2025</v>
      </c>
      <c r="N1103">
        <v>2</v>
      </c>
      <c r="O1103">
        <v>10</v>
      </c>
      <c r="P1103">
        <v>2025</v>
      </c>
      <c r="Q1103">
        <v>2</v>
      </c>
      <c r="R1103" t="s">
        <v>40</v>
      </c>
      <c r="S1103" t="s">
        <v>55</v>
      </c>
      <c r="T1103" t="s">
        <v>68</v>
      </c>
      <c r="U1103" t="s">
        <v>40</v>
      </c>
      <c r="V1103" t="s">
        <v>124</v>
      </c>
      <c r="W1103" t="s">
        <v>125</v>
      </c>
      <c r="X1103" t="s">
        <v>126</v>
      </c>
      <c r="Y1103">
        <v>85</v>
      </c>
      <c r="Z1103" t="s">
        <v>107</v>
      </c>
      <c r="AA1103" t="s">
        <v>108</v>
      </c>
      <c r="AB1103" s="1">
        <v>45952</v>
      </c>
      <c r="AC1103" t="s">
        <v>40</v>
      </c>
      <c r="AD1103" t="s">
        <v>40</v>
      </c>
      <c r="AE1103" t="s">
        <v>60</v>
      </c>
      <c r="AF1103" t="s">
        <v>40</v>
      </c>
      <c r="AG1103">
        <v>0</v>
      </c>
      <c r="AH1103" t="s">
        <v>70</v>
      </c>
    </row>
    <row r="1104" spans="1:34" x14ac:dyDescent="0.3">
      <c r="A1104" t="s">
        <v>1743</v>
      </c>
      <c r="B1104" t="s">
        <v>336</v>
      </c>
      <c r="C1104" t="s">
        <v>169</v>
      </c>
      <c r="D1104" t="s">
        <v>90</v>
      </c>
      <c r="E1104" s="1">
        <v>46081</v>
      </c>
      <c r="F1104" s="1">
        <v>46084</v>
      </c>
      <c r="G1104" t="s">
        <v>81</v>
      </c>
      <c r="H1104">
        <v>7950</v>
      </c>
      <c r="I1104" t="s">
        <v>65</v>
      </c>
      <c r="J1104" t="b">
        <v>0</v>
      </c>
      <c r="K1104">
        <v>3</v>
      </c>
      <c r="L1104">
        <v>3</v>
      </c>
      <c r="M1104">
        <v>2026</v>
      </c>
      <c r="N1104">
        <v>1</v>
      </c>
      <c r="O1104">
        <v>2</v>
      </c>
      <c r="P1104">
        <v>2026</v>
      </c>
      <c r="Q1104">
        <v>5</v>
      </c>
      <c r="R1104" t="s">
        <v>40</v>
      </c>
      <c r="S1104" t="s">
        <v>55</v>
      </c>
      <c r="T1104" t="s">
        <v>42</v>
      </c>
      <c r="U1104" t="s">
        <v>40</v>
      </c>
      <c r="V1104" t="s">
        <v>170</v>
      </c>
      <c r="W1104" t="s">
        <v>171</v>
      </c>
      <c r="X1104" t="s">
        <v>126</v>
      </c>
      <c r="Y1104">
        <v>90</v>
      </c>
      <c r="Z1104" t="s">
        <v>93</v>
      </c>
      <c r="AA1104" t="s">
        <v>94</v>
      </c>
      <c r="AB1104" s="1">
        <v>46084</v>
      </c>
      <c r="AC1104" t="s">
        <v>40</v>
      </c>
      <c r="AD1104" t="s">
        <v>40</v>
      </c>
      <c r="AE1104" t="s">
        <v>60</v>
      </c>
      <c r="AF1104" t="s">
        <v>40</v>
      </c>
      <c r="AG1104">
        <v>0</v>
      </c>
      <c r="AH1104" t="s">
        <v>100</v>
      </c>
    </row>
    <row r="1105" spans="1:34" x14ac:dyDescent="0.3">
      <c r="A1105" t="s">
        <v>1744</v>
      </c>
      <c r="B1105" t="s">
        <v>1424</v>
      </c>
      <c r="C1105" t="s">
        <v>155</v>
      </c>
      <c r="D1105" t="s">
        <v>104</v>
      </c>
      <c r="E1105" s="1">
        <v>46014</v>
      </c>
      <c r="F1105" s="1">
        <v>46021</v>
      </c>
      <c r="G1105" t="s">
        <v>38</v>
      </c>
      <c r="H1105">
        <v>4628</v>
      </c>
      <c r="I1105" t="s">
        <v>39</v>
      </c>
      <c r="J1105" t="b">
        <v>0</v>
      </c>
      <c r="K1105">
        <v>7</v>
      </c>
      <c r="L1105">
        <v>12</v>
      </c>
      <c r="M1105">
        <v>2025</v>
      </c>
      <c r="N1105">
        <v>1</v>
      </c>
      <c r="O1105">
        <v>12</v>
      </c>
      <c r="P1105">
        <v>2025</v>
      </c>
      <c r="Q1105">
        <v>1</v>
      </c>
      <c r="R1105" t="s">
        <v>40</v>
      </c>
      <c r="S1105" t="s">
        <v>67</v>
      </c>
      <c r="T1105" t="s">
        <v>286</v>
      </c>
      <c r="U1105" t="s">
        <v>40</v>
      </c>
      <c r="V1105" t="s">
        <v>156</v>
      </c>
      <c r="W1105" t="s">
        <v>157</v>
      </c>
      <c r="X1105" t="s">
        <v>158</v>
      </c>
      <c r="Y1105">
        <v>70</v>
      </c>
      <c r="Z1105" t="s">
        <v>107</v>
      </c>
      <c r="AA1105" t="s">
        <v>108</v>
      </c>
      <c r="AB1105" s="1">
        <v>46021</v>
      </c>
      <c r="AC1105" t="s">
        <v>40</v>
      </c>
      <c r="AD1105" t="s">
        <v>40</v>
      </c>
      <c r="AE1105" t="s">
        <v>69</v>
      </c>
      <c r="AF1105" t="s">
        <v>40</v>
      </c>
      <c r="AG1105">
        <v>0</v>
      </c>
      <c r="AH1105" t="s">
        <v>100</v>
      </c>
    </row>
    <row r="1106" spans="1:34" x14ac:dyDescent="0.3">
      <c r="A1106" t="s">
        <v>1745</v>
      </c>
      <c r="B1106" t="s">
        <v>232</v>
      </c>
      <c r="C1106" t="s">
        <v>52</v>
      </c>
      <c r="D1106" t="s">
        <v>90</v>
      </c>
      <c r="E1106" s="1">
        <v>46318</v>
      </c>
      <c r="F1106" s="1">
        <v>46332</v>
      </c>
      <c r="G1106" t="s">
        <v>38</v>
      </c>
      <c r="H1106">
        <v>4092</v>
      </c>
      <c r="I1106" t="s">
        <v>65</v>
      </c>
      <c r="J1106" t="b">
        <v>0</v>
      </c>
      <c r="K1106">
        <v>14</v>
      </c>
      <c r="L1106">
        <v>11</v>
      </c>
      <c r="M1106">
        <v>2026</v>
      </c>
      <c r="N1106">
        <v>4</v>
      </c>
      <c r="O1106">
        <v>10</v>
      </c>
      <c r="P1106">
        <v>2026</v>
      </c>
      <c r="Q1106">
        <v>4</v>
      </c>
      <c r="R1106" t="s">
        <v>40</v>
      </c>
      <c r="S1106" t="s">
        <v>41</v>
      </c>
      <c r="T1106" t="s">
        <v>42</v>
      </c>
      <c r="U1106" t="s">
        <v>40</v>
      </c>
      <c r="V1106" t="s">
        <v>56</v>
      </c>
      <c r="W1106" t="s">
        <v>57</v>
      </c>
      <c r="X1106" t="s">
        <v>45</v>
      </c>
      <c r="Y1106">
        <v>120</v>
      </c>
      <c r="Z1106" t="s">
        <v>93</v>
      </c>
      <c r="AA1106" t="s">
        <v>94</v>
      </c>
      <c r="AB1106" s="1">
        <v>46332</v>
      </c>
      <c r="AC1106" t="s">
        <v>40</v>
      </c>
      <c r="AD1106" t="s">
        <v>40</v>
      </c>
      <c r="AE1106" t="s">
        <v>86</v>
      </c>
      <c r="AF1106" t="s">
        <v>40</v>
      </c>
      <c r="AG1106">
        <v>0</v>
      </c>
      <c r="AH1106" t="s">
        <v>70</v>
      </c>
    </row>
    <row r="1107" spans="1:34" x14ac:dyDescent="0.3">
      <c r="A1107" t="s">
        <v>1746</v>
      </c>
      <c r="B1107" t="s">
        <v>519</v>
      </c>
      <c r="C1107" t="s">
        <v>129</v>
      </c>
      <c r="D1107" t="s">
        <v>80</v>
      </c>
      <c r="E1107" s="1">
        <v>45975</v>
      </c>
      <c r="F1107" s="1">
        <v>46035</v>
      </c>
      <c r="G1107" t="s">
        <v>64</v>
      </c>
      <c r="H1107">
        <v>3361</v>
      </c>
      <c r="I1107" t="s">
        <v>65</v>
      </c>
      <c r="J1107" t="b">
        <v>0</v>
      </c>
      <c r="K1107">
        <v>60</v>
      </c>
      <c r="L1107">
        <v>1</v>
      </c>
      <c r="M1107">
        <v>2026</v>
      </c>
      <c r="N1107">
        <v>1</v>
      </c>
      <c r="O1107">
        <v>11</v>
      </c>
      <c r="P1107">
        <v>2025</v>
      </c>
      <c r="Q1107">
        <v>4</v>
      </c>
      <c r="R1107" t="s">
        <v>40</v>
      </c>
      <c r="S1107" t="s">
        <v>41</v>
      </c>
      <c r="T1107" t="s">
        <v>42</v>
      </c>
      <c r="U1107" t="s">
        <v>40</v>
      </c>
      <c r="V1107" t="s">
        <v>131</v>
      </c>
      <c r="W1107" t="s">
        <v>132</v>
      </c>
      <c r="X1107" t="s">
        <v>45</v>
      </c>
      <c r="Y1107">
        <v>110</v>
      </c>
      <c r="Z1107" t="s">
        <v>84</v>
      </c>
      <c r="AA1107" t="s">
        <v>85</v>
      </c>
      <c r="AB1107" s="1">
        <v>46035</v>
      </c>
      <c r="AC1107" t="s">
        <v>40</v>
      </c>
      <c r="AD1107" t="s">
        <v>40</v>
      </c>
      <c r="AE1107" t="s">
        <v>86</v>
      </c>
      <c r="AF1107" t="s">
        <v>40</v>
      </c>
      <c r="AG1107">
        <v>0</v>
      </c>
      <c r="AH1107" t="s">
        <v>61</v>
      </c>
    </row>
    <row r="1108" spans="1:34" x14ac:dyDescent="0.3">
      <c r="A1108" t="s">
        <v>1747</v>
      </c>
      <c r="B1108" t="s">
        <v>1748</v>
      </c>
      <c r="C1108" t="s">
        <v>155</v>
      </c>
      <c r="D1108" t="s">
        <v>80</v>
      </c>
      <c r="E1108" s="1">
        <v>46200</v>
      </c>
      <c r="F1108" s="1">
        <v>46350</v>
      </c>
      <c r="G1108" t="s">
        <v>41</v>
      </c>
      <c r="H1108">
        <v>6340</v>
      </c>
      <c r="I1108" t="s">
        <v>39</v>
      </c>
      <c r="J1108" t="b">
        <v>0</v>
      </c>
      <c r="K1108">
        <v>150</v>
      </c>
      <c r="L1108">
        <v>11</v>
      </c>
      <c r="M1108">
        <v>2026</v>
      </c>
      <c r="N1108">
        <v>1</v>
      </c>
      <c r="O1108">
        <v>6</v>
      </c>
      <c r="P1108">
        <v>2026</v>
      </c>
      <c r="Q1108">
        <v>5</v>
      </c>
      <c r="R1108" t="s">
        <v>40</v>
      </c>
      <c r="S1108" t="s">
        <v>55</v>
      </c>
      <c r="T1108" t="s">
        <v>42</v>
      </c>
      <c r="U1108" t="s">
        <v>40</v>
      </c>
      <c r="V1108" t="s">
        <v>156</v>
      </c>
      <c r="W1108" t="s">
        <v>157</v>
      </c>
      <c r="X1108" t="s">
        <v>158</v>
      </c>
      <c r="Y1108">
        <v>70</v>
      </c>
      <c r="Z1108" t="s">
        <v>84</v>
      </c>
      <c r="AA1108" t="s">
        <v>85</v>
      </c>
      <c r="AB1108" s="1">
        <v>46350</v>
      </c>
      <c r="AC1108" t="s">
        <v>40</v>
      </c>
      <c r="AD1108" t="s">
        <v>40</v>
      </c>
      <c r="AE1108" t="s">
        <v>86</v>
      </c>
      <c r="AF1108" t="s">
        <v>40</v>
      </c>
      <c r="AG1108">
        <v>0</v>
      </c>
      <c r="AH1108" t="s">
        <v>49</v>
      </c>
    </row>
    <row r="1109" spans="1:34" x14ac:dyDescent="0.3">
      <c r="A1109" t="s">
        <v>1749</v>
      </c>
      <c r="B1109" t="s">
        <v>843</v>
      </c>
      <c r="C1109" t="s">
        <v>52</v>
      </c>
      <c r="D1109" t="s">
        <v>104</v>
      </c>
      <c r="E1109" s="1">
        <v>45856</v>
      </c>
      <c r="F1109" s="1">
        <v>45863</v>
      </c>
      <c r="G1109" t="s">
        <v>81</v>
      </c>
      <c r="H1109">
        <v>11302</v>
      </c>
      <c r="I1109" t="s">
        <v>212</v>
      </c>
      <c r="J1109" t="b">
        <v>0</v>
      </c>
      <c r="K1109">
        <v>7</v>
      </c>
      <c r="L1109">
        <v>7</v>
      </c>
      <c r="M1109">
        <v>2025</v>
      </c>
      <c r="N1109">
        <v>4</v>
      </c>
      <c r="O1109">
        <v>7</v>
      </c>
      <c r="P1109">
        <v>2025</v>
      </c>
      <c r="Q1109">
        <v>4</v>
      </c>
      <c r="R1109" t="s">
        <v>40</v>
      </c>
      <c r="S1109" t="s">
        <v>45</v>
      </c>
      <c r="T1109" t="s">
        <v>68</v>
      </c>
      <c r="U1109" t="s">
        <v>66</v>
      </c>
      <c r="V1109" t="s">
        <v>56</v>
      </c>
      <c r="W1109" t="s">
        <v>57</v>
      </c>
      <c r="X1109" t="s">
        <v>45</v>
      </c>
      <c r="Y1109">
        <v>120</v>
      </c>
      <c r="Z1109" t="s">
        <v>107</v>
      </c>
      <c r="AA1109" t="s">
        <v>108</v>
      </c>
      <c r="AB1109" s="1">
        <v>45863</v>
      </c>
      <c r="AC1109" t="s">
        <v>40</v>
      </c>
      <c r="AD1109" t="s">
        <v>40</v>
      </c>
      <c r="AE1109" t="s">
        <v>86</v>
      </c>
      <c r="AF1109" t="s">
        <v>40</v>
      </c>
      <c r="AG1109">
        <v>0</v>
      </c>
      <c r="AH1109" t="s">
        <v>100</v>
      </c>
    </row>
    <row r="1110" spans="1:34" x14ac:dyDescent="0.3">
      <c r="A1110" t="s">
        <v>1750</v>
      </c>
      <c r="B1110" t="s">
        <v>1751</v>
      </c>
      <c r="C1110" t="s">
        <v>155</v>
      </c>
      <c r="D1110" t="s">
        <v>53</v>
      </c>
      <c r="E1110" s="1">
        <v>45756</v>
      </c>
      <c r="F1110" s="1">
        <v>45770</v>
      </c>
      <c r="G1110" t="s">
        <v>38</v>
      </c>
      <c r="H1110">
        <v>3687</v>
      </c>
      <c r="I1110" t="s">
        <v>54</v>
      </c>
      <c r="J1110" t="b">
        <v>0</v>
      </c>
      <c r="K1110">
        <v>14</v>
      </c>
      <c r="L1110">
        <v>4</v>
      </c>
      <c r="M1110">
        <v>2025</v>
      </c>
      <c r="N1110">
        <v>2</v>
      </c>
      <c r="O1110">
        <v>4</v>
      </c>
      <c r="P1110">
        <v>2025</v>
      </c>
      <c r="Q1110">
        <v>2</v>
      </c>
      <c r="R1110" t="s">
        <v>40</v>
      </c>
      <c r="S1110" t="s">
        <v>41</v>
      </c>
      <c r="T1110" t="s">
        <v>42</v>
      </c>
      <c r="U1110" t="s">
        <v>40</v>
      </c>
      <c r="V1110" t="s">
        <v>156</v>
      </c>
      <c r="W1110" t="s">
        <v>157</v>
      </c>
      <c r="X1110" t="s">
        <v>158</v>
      </c>
      <c r="Y1110">
        <v>70</v>
      </c>
      <c r="Z1110" t="s">
        <v>58</v>
      </c>
      <c r="AA1110" t="s">
        <v>59</v>
      </c>
      <c r="AB1110" s="1">
        <v>45770</v>
      </c>
      <c r="AC1110" t="s">
        <v>40</v>
      </c>
      <c r="AD1110" t="s">
        <v>40</v>
      </c>
      <c r="AE1110" t="s">
        <v>69</v>
      </c>
      <c r="AF1110" t="s">
        <v>40</v>
      </c>
      <c r="AG1110">
        <v>1</v>
      </c>
      <c r="AH1110" t="s">
        <v>70</v>
      </c>
    </row>
    <row r="1111" spans="1:34" x14ac:dyDescent="0.3">
      <c r="A1111" t="s">
        <v>1752</v>
      </c>
      <c r="B1111" t="s">
        <v>1218</v>
      </c>
      <c r="C1111" t="s">
        <v>122</v>
      </c>
      <c r="D1111" t="s">
        <v>90</v>
      </c>
      <c r="E1111" s="1">
        <v>46099</v>
      </c>
      <c r="F1111" s="1">
        <v>46249</v>
      </c>
      <c r="G1111" t="s">
        <v>64</v>
      </c>
      <c r="H1111">
        <v>2411</v>
      </c>
      <c r="I1111" t="s">
        <v>54</v>
      </c>
      <c r="J1111" t="b">
        <v>0</v>
      </c>
      <c r="K1111">
        <v>150</v>
      </c>
      <c r="L1111">
        <v>8</v>
      </c>
      <c r="M1111">
        <v>2026</v>
      </c>
      <c r="N1111">
        <v>5</v>
      </c>
      <c r="O1111">
        <v>3</v>
      </c>
      <c r="P1111">
        <v>2026</v>
      </c>
      <c r="Q1111">
        <v>2</v>
      </c>
      <c r="R1111" t="s">
        <v>66</v>
      </c>
      <c r="S1111" t="s">
        <v>55</v>
      </c>
      <c r="T1111" t="s">
        <v>42</v>
      </c>
      <c r="U1111" t="s">
        <v>40</v>
      </c>
      <c r="V1111" t="s">
        <v>124</v>
      </c>
      <c r="W1111" t="s">
        <v>125</v>
      </c>
      <c r="X1111" t="s">
        <v>126</v>
      </c>
      <c r="Y1111">
        <v>85</v>
      </c>
      <c r="Z1111" t="s">
        <v>93</v>
      </c>
      <c r="AA1111" t="s">
        <v>94</v>
      </c>
      <c r="AB1111" s="1">
        <v>46249</v>
      </c>
      <c r="AC1111" t="s">
        <v>66</v>
      </c>
      <c r="AD1111" t="s">
        <v>66</v>
      </c>
      <c r="AE1111" t="s">
        <v>86</v>
      </c>
      <c r="AF1111" t="s">
        <v>66</v>
      </c>
      <c r="AG1111">
        <v>1</v>
      </c>
      <c r="AH1111" t="s">
        <v>49</v>
      </c>
    </row>
    <row r="1112" spans="1:34" x14ac:dyDescent="0.3">
      <c r="A1112" t="s">
        <v>1753</v>
      </c>
      <c r="B1112" t="s">
        <v>831</v>
      </c>
      <c r="C1112" t="s">
        <v>103</v>
      </c>
      <c r="D1112" t="s">
        <v>80</v>
      </c>
      <c r="E1112" s="1">
        <v>45732</v>
      </c>
      <c r="F1112" s="1">
        <v>45735</v>
      </c>
      <c r="G1112" t="s">
        <v>41</v>
      </c>
      <c r="H1112">
        <v>6519</v>
      </c>
      <c r="I1112" t="s">
        <v>65</v>
      </c>
      <c r="J1112" t="b">
        <v>0</v>
      </c>
      <c r="K1112">
        <v>3</v>
      </c>
      <c r="L1112">
        <v>3</v>
      </c>
      <c r="M1112">
        <v>2025</v>
      </c>
      <c r="N1112">
        <v>2</v>
      </c>
      <c r="O1112">
        <v>3</v>
      </c>
      <c r="P1112">
        <v>2025</v>
      </c>
      <c r="Q1112">
        <v>6</v>
      </c>
      <c r="R1112" t="s">
        <v>40</v>
      </c>
      <c r="S1112" t="s">
        <v>41</v>
      </c>
      <c r="T1112" t="s">
        <v>48</v>
      </c>
      <c r="U1112" t="s">
        <v>40</v>
      </c>
      <c r="V1112" t="s">
        <v>105</v>
      </c>
      <c r="W1112" t="s">
        <v>106</v>
      </c>
      <c r="X1112" t="s">
        <v>45</v>
      </c>
      <c r="Y1112">
        <v>140</v>
      </c>
      <c r="Z1112" t="s">
        <v>84</v>
      </c>
      <c r="AA1112" t="s">
        <v>85</v>
      </c>
      <c r="AB1112" s="1">
        <v>45735</v>
      </c>
      <c r="AC1112" t="s">
        <v>40</v>
      </c>
      <c r="AD1112" t="s">
        <v>40</v>
      </c>
      <c r="AE1112" t="s">
        <v>60</v>
      </c>
      <c r="AF1112" t="s">
        <v>40</v>
      </c>
      <c r="AG1112">
        <v>0</v>
      </c>
      <c r="AH1112" t="s">
        <v>100</v>
      </c>
    </row>
    <row r="1113" spans="1:34" x14ac:dyDescent="0.3">
      <c r="A1113" t="s">
        <v>1754</v>
      </c>
      <c r="B1113" t="s">
        <v>96</v>
      </c>
      <c r="C1113" t="s">
        <v>36</v>
      </c>
      <c r="D1113" t="s">
        <v>53</v>
      </c>
      <c r="E1113" s="1">
        <v>46316</v>
      </c>
      <c r="F1113" s="1">
        <v>46346</v>
      </c>
      <c r="G1113" t="s">
        <v>41</v>
      </c>
      <c r="H1113">
        <v>7505</v>
      </c>
      <c r="I1113" t="s">
        <v>65</v>
      </c>
      <c r="J1113" t="b">
        <v>0</v>
      </c>
      <c r="K1113">
        <v>30</v>
      </c>
      <c r="L1113">
        <v>11</v>
      </c>
      <c r="M1113">
        <v>2026</v>
      </c>
      <c r="N1113">
        <v>4</v>
      </c>
      <c r="O1113">
        <v>10</v>
      </c>
      <c r="P1113">
        <v>2026</v>
      </c>
      <c r="Q1113">
        <v>2</v>
      </c>
      <c r="R1113" t="s">
        <v>40</v>
      </c>
      <c r="S1113" t="s">
        <v>67</v>
      </c>
      <c r="T1113" t="s">
        <v>42</v>
      </c>
      <c r="U1113" t="s">
        <v>40</v>
      </c>
      <c r="V1113" t="s">
        <v>43</v>
      </c>
      <c r="W1113" t="s">
        <v>44</v>
      </c>
      <c r="X1113" t="s">
        <v>45</v>
      </c>
      <c r="Y1113">
        <v>150</v>
      </c>
      <c r="Z1113" t="s">
        <v>58</v>
      </c>
      <c r="AA1113" t="s">
        <v>59</v>
      </c>
      <c r="AB1113" s="1">
        <v>46346</v>
      </c>
      <c r="AC1113" t="s">
        <v>40</v>
      </c>
      <c r="AD1113" t="s">
        <v>40</v>
      </c>
      <c r="AE1113" t="s">
        <v>86</v>
      </c>
      <c r="AF1113" t="s">
        <v>40</v>
      </c>
      <c r="AG1113">
        <v>0</v>
      </c>
      <c r="AH1113" t="s">
        <v>70</v>
      </c>
    </row>
    <row r="1114" spans="1:34" x14ac:dyDescent="0.3">
      <c r="A1114" t="s">
        <v>1755</v>
      </c>
      <c r="B1114" t="s">
        <v>614</v>
      </c>
      <c r="C1114" t="s">
        <v>89</v>
      </c>
      <c r="D1114" t="s">
        <v>37</v>
      </c>
      <c r="E1114" s="1">
        <v>45904</v>
      </c>
      <c r="F1114" s="1">
        <v>45905</v>
      </c>
      <c r="G1114" t="s">
        <v>81</v>
      </c>
      <c r="H1114">
        <v>10510</v>
      </c>
      <c r="I1114" t="s">
        <v>65</v>
      </c>
      <c r="J1114" t="b">
        <v>0</v>
      </c>
      <c r="K1114">
        <v>1</v>
      </c>
      <c r="L1114">
        <v>9</v>
      </c>
      <c r="M1114">
        <v>2025</v>
      </c>
      <c r="N1114">
        <v>4</v>
      </c>
      <c r="O1114">
        <v>9</v>
      </c>
      <c r="P1114">
        <v>2025</v>
      </c>
      <c r="Q1114">
        <v>3</v>
      </c>
      <c r="R1114" t="s">
        <v>40</v>
      </c>
      <c r="S1114" t="s">
        <v>67</v>
      </c>
      <c r="T1114" t="s">
        <v>42</v>
      </c>
      <c r="U1114" t="s">
        <v>40</v>
      </c>
      <c r="V1114" t="s">
        <v>91</v>
      </c>
      <c r="W1114" t="s">
        <v>92</v>
      </c>
      <c r="X1114" t="s">
        <v>76</v>
      </c>
      <c r="Y1114">
        <v>65</v>
      </c>
      <c r="Z1114" t="s">
        <v>46</v>
      </c>
      <c r="AA1114" t="s">
        <v>47</v>
      </c>
      <c r="AB1114" s="1">
        <v>45905</v>
      </c>
      <c r="AC1114" t="s">
        <v>40</v>
      </c>
      <c r="AD1114" t="s">
        <v>40</v>
      </c>
      <c r="AE1114" t="s">
        <v>60</v>
      </c>
      <c r="AF1114" t="s">
        <v>40</v>
      </c>
      <c r="AG1114">
        <v>0</v>
      </c>
      <c r="AH1114" t="s">
        <v>100</v>
      </c>
    </row>
    <row r="1115" spans="1:34" x14ac:dyDescent="0.3">
      <c r="A1115" t="s">
        <v>1756</v>
      </c>
      <c r="B1115" t="s">
        <v>811</v>
      </c>
      <c r="C1115" t="s">
        <v>36</v>
      </c>
      <c r="D1115" t="s">
        <v>80</v>
      </c>
      <c r="E1115" s="1">
        <v>46254</v>
      </c>
      <c r="F1115" s="1">
        <v>46261</v>
      </c>
      <c r="G1115" t="s">
        <v>81</v>
      </c>
      <c r="H1115">
        <v>9423</v>
      </c>
      <c r="I1115" t="s">
        <v>39</v>
      </c>
      <c r="J1115" t="b">
        <v>0</v>
      </c>
      <c r="K1115">
        <v>7</v>
      </c>
      <c r="L1115">
        <v>8</v>
      </c>
      <c r="M1115">
        <v>2026</v>
      </c>
      <c r="N1115">
        <v>3</v>
      </c>
      <c r="O1115">
        <v>8</v>
      </c>
      <c r="P1115">
        <v>2026</v>
      </c>
      <c r="Q1115">
        <v>3</v>
      </c>
      <c r="R1115" t="s">
        <v>40</v>
      </c>
      <c r="S1115" t="s">
        <v>55</v>
      </c>
      <c r="T1115" t="s">
        <v>139</v>
      </c>
      <c r="U1115" t="s">
        <v>40</v>
      </c>
      <c r="V1115" t="s">
        <v>43</v>
      </c>
      <c r="W1115" t="s">
        <v>44</v>
      </c>
      <c r="X1115" t="s">
        <v>45</v>
      </c>
      <c r="Y1115">
        <v>150</v>
      </c>
      <c r="Z1115" t="s">
        <v>84</v>
      </c>
      <c r="AA1115" t="s">
        <v>85</v>
      </c>
      <c r="AB1115" s="1">
        <v>46261</v>
      </c>
      <c r="AC1115" t="s">
        <v>40</v>
      </c>
      <c r="AD1115" t="s">
        <v>40</v>
      </c>
      <c r="AE1115" t="s">
        <v>86</v>
      </c>
      <c r="AF1115" t="s">
        <v>40</v>
      </c>
      <c r="AG1115">
        <v>0</v>
      </c>
      <c r="AH1115" t="s">
        <v>100</v>
      </c>
    </row>
    <row r="1116" spans="1:34" x14ac:dyDescent="0.3">
      <c r="A1116" t="s">
        <v>1757</v>
      </c>
      <c r="B1116" t="s">
        <v>1758</v>
      </c>
      <c r="C1116" t="s">
        <v>129</v>
      </c>
      <c r="D1116" t="s">
        <v>80</v>
      </c>
      <c r="E1116" s="1">
        <v>45679</v>
      </c>
      <c r="F1116" s="1">
        <v>45709</v>
      </c>
      <c r="G1116" t="s">
        <v>38</v>
      </c>
      <c r="H1116">
        <v>4142</v>
      </c>
      <c r="I1116" t="s">
        <v>65</v>
      </c>
      <c r="J1116" t="b">
        <v>0</v>
      </c>
      <c r="K1116">
        <v>30</v>
      </c>
      <c r="L1116">
        <v>2</v>
      </c>
      <c r="M1116">
        <v>2025</v>
      </c>
      <c r="N1116">
        <v>4</v>
      </c>
      <c r="O1116">
        <v>1</v>
      </c>
      <c r="P1116">
        <v>2025</v>
      </c>
      <c r="Q1116">
        <v>2</v>
      </c>
      <c r="R1116" t="s">
        <v>40</v>
      </c>
      <c r="S1116" t="s">
        <v>55</v>
      </c>
      <c r="T1116" t="s">
        <v>42</v>
      </c>
      <c r="U1116" t="s">
        <v>40</v>
      </c>
      <c r="V1116" t="s">
        <v>131</v>
      </c>
      <c r="W1116" t="s">
        <v>132</v>
      </c>
      <c r="X1116" t="s">
        <v>45</v>
      </c>
      <c r="Y1116">
        <v>110</v>
      </c>
      <c r="Z1116" t="s">
        <v>84</v>
      </c>
      <c r="AA1116" t="s">
        <v>85</v>
      </c>
      <c r="AB1116" s="1">
        <v>45709</v>
      </c>
      <c r="AC1116" t="s">
        <v>40</v>
      </c>
      <c r="AD1116" t="s">
        <v>40</v>
      </c>
      <c r="AE1116" t="s">
        <v>60</v>
      </c>
      <c r="AF1116" t="s">
        <v>40</v>
      </c>
      <c r="AG1116">
        <v>0</v>
      </c>
      <c r="AH1116" t="s">
        <v>70</v>
      </c>
    </row>
    <row r="1117" spans="1:34" x14ac:dyDescent="0.3">
      <c r="A1117" t="s">
        <v>1759</v>
      </c>
      <c r="B1117" t="s">
        <v>277</v>
      </c>
      <c r="C1117" t="s">
        <v>97</v>
      </c>
      <c r="D1117" t="s">
        <v>53</v>
      </c>
      <c r="E1117" s="1">
        <v>46129</v>
      </c>
      <c r="F1117" s="1">
        <v>46130</v>
      </c>
      <c r="G1117" t="s">
        <v>41</v>
      </c>
      <c r="H1117">
        <v>5482</v>
      </c>
      <c r="I1117" t="s">
        <v>39</v>
      </c>
      <c r="J1117" t="b">
        <v>0</v>
      </c>
      <c r="K1117">
        <v>1</v>
      </c>
      <c r="L1117">
        <v>4</v>
      </c>
      <c r="M1117">
        <v>2026</v>
      </c>
      <c r="N1117">
        <v>5</v>
      </c>
      <c r="O1117">
        <v>4</v>
      </c>
      <c r="P1117">
        <v>2026</v>
      </c>
      <c r="Q1117">
        <v>4</v>
      </c>
      <c r="R1117" t="s">
        <v>66</v>
      </c>
      <c r="S1117" t="s">
        <v>45</v>
      </c>
      <c r="T1117" t="s">
        <v>123</v>
      </c>
      <c r="U1117" t="s">
        <v>66</v>
      </c>
      <c r="V1117" t="s">
        <v>98</v>
      </c>
      <c r="W1117" t="s">
        <v>99</v>
      </c>
      <c r="X1117" t="s">
        <v>76</v>
      </c>
      <c r="Y1117">
        <v>80</v>
      </c>
      <c r="Z1117" t="s">
        <v>58</v>
      </c>
      <c r="AA1117" t="s">
        <v>59</v>
      </c>
      <c r="AB1117" s="1">
        <v>46130</v>
      </c>
      <c r="AC1117" t="s">
        <v>66</v>
      </c>
      <c r="AD1117" t="s">
        <v>40</v>
      </c>
      <c r="AE1117" t="s">
        <v>69</v>
      </c>
      <c r="AF1117" t="s">
        <v>40</v>
      </c>
      <c r="AG1117">
        <v>0</v>
      </c>
      <c r="AH1117" t="s">
        <v>100</v>
      </c>
    </row>
    <row r="1118" spans="1:34" x14ac:dyDescent="0.3">
      <c r="A1118" t="s">
        <v>1760</v>
      </c>
      <c r="B1118" t="s">
        <v>1761</v>
      </c>
      <c r="C1118" t="s">
        <v>129</v>
      </c>
      <c r="D1118" t="s">
        <v>104</v>
      </c>
      <c r="E1118" s="1">
        <v>45815</v>
      </c>
      <c r="F1118" s="1">
        <v>45875</v>
      </c>
      <c r="G1118" t="s">
        <v>38</v>
      </c>
      <c r="H1118">
        <v>3531</v>
      </c>
      <c r="I1118" t="s">
        <v>65</v>
      </c>
      <c r="J1118" t="b">
        <v>0</v>
      </c>
      <c r="K1118">
        <v>60</v>
      </c>
      <c r="L1118">
        <v>8</v>
      </c>
      <c r="M1118">
        <v>2025</v>
      </c>
      <c r="N1118">
        <v>2</v>
      </c>
      <c r="O1118">
        <v>6</v>
      </c>
      <c r="P1118">
        <v>2025</v>
      </c>
      <c r="Q1118">
        <v>5</v>
      </c>
      <c r="R1118" t="s">
        <v>40</v>
      </c>
      <c r="S1118" t="s">
        <v>41</v>
      </c>
      <c r="T1118" t="s">
        <v>48</v>
      </c>
      <c r="U1118" t="s">
        <v>40</v>
      </c>
      <c r="V1118" t="s">
        <v>131</v>
      </c>
      <c r="W1118" t="s">
        <v>132</v>
      </c>
      <c r="X1118" t="s">
        <v>45</v>
      </c>
      <c r="Y1118">
        <v>110</v>
      </c>
      <c r="Z1118" t="s">
        <v>107</v>
      </c>
      <c r="AA1118" t="s">
        <v>108</v>
      </c>
      <c r="AB1118" s="1">
        <v>45875</v>
      </c>
      <c r="AC1118" t="s">
        <v>40</v>
      </c>
      <c r="AD1118" t="s">
        <v>40</v>
      </c>
      <c r="AE1118" t="s">
        <v>86</v>
      </c>
      <c r="AF1118" t="s">
        <v>40</v>
      </c>
      <c r="AG1118">
        <v>0</v>
      </c>
      <c r="AH1118" t="s">
        <v>61</v>
      </c>
    </row>
    <row r="1119" spans="1:34" x14ac:dyDescent="0.3">
      <c r="A1119" t="s">
        <v>1762</v>
      </c>
      <c r="B1119" t="s">
        <v>1732</v>
      </c>
      <c r="C1119" t="s">
        <v>36</v>
      </c>
      <c r="D1119" t="s">
        <v>130</v>
      </c>
      <c r="E1119" s="1">
        <v>45819</v>
      </c>
      <c r="F1119" s="1">
        <v>45826</v>
      </c>
      <c r="G1119" t="s">
        <v>38</v>
      </c>
      <c r="H1119">
        <v>5280</v>
      </c>
      <c r="I1119" t="s">
        <v>39</v>
      </c>
      <c r="J1119" t="b">
        <v>0</v>
      </c>
      <c r="K1119">
        <v>7</v>
      </c>
      <c r="L1119">
        <v>6</v>
      </c>
      <c r="M1119">
        <v>2025</v>
      </c>
      <c r="N1119">
        <v>2</v>
      </c>
      <c r="O1119">
        <v>6</v>
      </c>
      <c r="P1119">
        <v>2025</v>
      </c>
      <c r="Q1119">
        <v>2</v>
      </c>
      <c r="R1119" t="s">
        <v>40</v>
      </c>
      <c r="S1119" t="s">
        <v>55</v>
      </c>
      <c r="T1119" t="s">
        <v>42</v>
      </c>
      <c r="U1119" t="s">
        <v>40</v>
      </c>
      <c r="V1119" t="s">
        <v>43</v>
      </c>
      <c r="W1119" t="s">
        <v>44</v>
      </c>
      <c r="X1119" t="s">
        <v>45</v>
      </c>
      <c r="Y1119">
        <v>150</v>
      </c>
      <c r="Z1119" t="s">
        <v>133</v>
      </c>
      <c r="AA1119" t="s">
        <v>134</v>
      </c>
      <c r="AB1119" s="1">
        <v>45826</v>
      </c>
      <c r="AC1119" t="s">
        <v>40</v>
      </c>
      <c r="AD1119" t="s">
        <v>40</v>
      </c>
      <c r="AE1119" t="s">
        <v>60</v>
      </c>
      <c r="AF1119" t="s">
        <v>40</v>
      </c>
      <c r="AG1119">
        <v>0</v>
      </c>
      <c r="AH1119" t="s">
        <v>100</v>
      </c>
    </row>
    <row r="1120" spans="1:34" x14ac:dyDescent="0.3">
      <c r="A1120" t="s">
        <v>1763</v>
      </c>
      <c r="B1120" t="s">
        <v>911</v>
      </c>
      <c r="C1120" t="s">
        <v>129</v>
      </c>
      <c r="D1120" t="s">
        <v>80</v>
      </c>
      <c r="E1120" s="1">
        <v>46263</v>
      </c>
      <c r="F1120" s="1">
        <v>46363</v>
      </c>
      <c r="G1120" t="s">
        <v>81</v>
      </c>
      <c r="H1120">
        <v>10865</v>
      </c>
      <c r="I1120" t="s">
        <v>39</v>
      </c>
      <c r="J1120" t="b">
        <v>0</v>
      </c>
      <c r="K1120">
        <v>100</v>
      </c>
      <c r="L1120">
        <v>12</v>
      </c>
      <c r="M1120">
        <v>2026</v>
      </c>
      <c r="N1120">
        <v>0</v>
      </c>
      <c r="O1120">
        <v>8</v>
      </c>
      <c r="P1120">
        <v>2026</v>
      </c>
      <c r="Q1120">
        <v>5</v>
      </c>
      <c r="R1120" t="s">
        <v>40</v>
      </c>
      <c r="S1120" t="s">
        <v>55</v>
      </c>
      <c r="T1120" t="s">
        <v>48</v>
      </c>
      <c r="U1120" t="s">
        <v>40</v>
      </c>
      <c r="V1120" t="s">
        <v>131</v>
      </c>
      <c r="W1120" t="s">
        <v>132</v>
      </c>
      <c r="X1120" t="s">
        <v>45</v>
      </c>
      <c r="Y1120">
        <v>110</v>
      </c>
      <c r="Z1120" t="s">
        <v>84</v>
      </c>
      <c r="AA1120" t="s">
        <v>85</v>
      </c>
      <c r="AB1120" s="1">
        <v>46363</v>
      </c>
      <c r="AC1120" t="s">
        <v>40</v>
      </c>
      <c r="AD1120" t="s">
        <v>40</v>
      </c>
      <c r="AE1120" t="s">
        <v>69</v>
      </c>
      <c r="AF1120" t="s">
        <v>40</v>
      </c>
      <c r="AG1120">
        <v>0</v>
      </c>
      <c r="AH1120" t="s">
        <v>49</v>
      </c>
    </row>
    <row r="1121" spans="1:34" x14ac:dyDescent="0.3">
      <c r="A1121" t="s">
        <v>1764</v>
      </c>
      <c r="B1121" t="s">
        <v>1765</v>
      </c>
      <c r="C1121" t="s">
        <v>122</v>
      </c>
      <c r="D1121" t="s">
        <v>53</v>
      </c>
      <c r="E1121" s="1">
        <v>45981</v>
      </c>
      <c r="F1121" s="1">
        <v>45988</v>
      </c>
      <c r="G1121" t="s">
        <v>38</v>
      </c>
      <c r="H1121">
        <v>5162</v>
      </c>
      <c r="I1121" t="s">
        <v>39</v>
      </c>
      <c r="J1121" t="b">
        <v>0</v>
      </c>
      <c r="K1121">
        <v>7</v>
      </c>
      <c r="L1121">
        <v>11</v>
      </c>
      <c r="M1121">
        <v>2025</v>
      </c>
      <c r="N1121">
        <v>3</v>
      </c>
      <c r="O1121">
        <v>11</v>
      </c>
      <c r="P1121">
        <v>2025</v>
      </c>
      <c r="Q1121">
        <v>3</v>
      </c>
      <c r="R1121" t="s">
        <v>40</v>
      </c>
      <c r="S1121" t="s">
        <v>41</v>
      </c>
      <c r="T1121" t="s">
        <v>113</v>
      </c>
      <c r="U1121" t="s">
        <v>66</v>
      </c>
      <c r="V1121" t="s">
        <v>124</v>
      </c>
      <c r="W1121" t="s">
        <v>125</v>
      </c>
      <c r="X1121" t="s">
        <v>126</v>
      </c>
      <c r="Y1121">
        <v>85</v>
      </c>
      <c r="Z1121" t="s">
        <v>58</v>
      </c>
      <c r="AA1121" t="s">
        <v>59</v>
      </c>
      <c r="AB1121" s="1">
        <v>45988</v>
      </c>
      <c r="AC1121" t="s">
        <v>40</v>
      </c>
      <c r="AD1121" t="s">
        <v>40</v>
      </c>
      <c r="AE1121" t="s">
        <v>86</v>
      </c>
      <c r="AF1121" t="s">
        <v>40</v>
      </c>
      <c r="AG1121">
        <v>0</v>
      </c>
      <c r="AH1121" t="s">
        <v>100</v>
      </c>
    </row>
    <row r="1122" spans="1:34" x14ac:dyDescent="0.3">
      <c r="A1122" t="s">
        <v>1766</v>
      </c>
      <c r="B1122" t="s">
        <v>1111</v>
      </c>
      <c r="C1122" t="s">
        <v>36</v>
      </c>
      <c r="D1122" t="s">
        <v>37</v>
      </c>
      <c r="E1122" s="1">
        <v>45787</v>
      </c>
      <c r="F1122" s="1">
        <v>45887</v>
      </c>
      <c r="G1122" t="s">
        <v>38</v>
      </c>
      <c r="H1122">
        <v>3963</v>
      </c>
      <c r="I1122" t="s">
        <v>65</v>
      </c>
      <c r="J1122" t="b">
        <v>0</v>
      </c>
      <c r="K1122">
        <v>100</v>
      </c>
      <c r="L1122">
        <v>8</v>
      </c>
      <c r="M1122">
        <v>2025</v>
      </c>
      <c r="N1122">
        <v>0</v>
      </c>
      <c r="O1122">
        <v>5</v>
      </c>
      <c r="P1122">
        <v>2025</v>
      </c>
      <c r="Q1122">
        <v>5</v>
      </c>
      <c r="R1122" t="s">
        <v>40</v>
      </c>
      <c r="S1122" t="s">
        <v>55</v>
      </c>
      <c r="T1122" t="s">
        <v>113</v>
      </c>
      <c r="U1122" t="s">
        <v>40</v>
      </c>
      <c r="V1122" t="s">
        <v>43</v>
      </c>
      <c r="W1122" t="s">
        <v>44</v>
      </c>
      <c r="X1122" t="s">
        <v>45</v>
      </c>
      <c r="Y1122">
        <v>150</v>
      </c>
      <c r="Z1122" t="s">
        <v>46</v>
      </c>
      <c r="AA1122" t="s">
        <v>47</v>
      </c>
      <c r="AB1122" s="1">
        <v>45887</v>
      </c>
      <c r="AC1122" t="s">
        <v>40</v>
      </c>
      <c r="AD1122" t="s">
        <v>40</v>
      </c>
      <c r="AE1122" t="s">
        <v>86</v>
      </c>
      <c r="AF1122" t="s">
        <v>40</v>
      </c>
      <c r="AG1122">
        <v>0</v>
      </c>
      <c r="AH1122" t="s">
        <v>49</v>
      </c>
    </row>
    <row r="1123" spans="1:34" x14ac:dyDescent="0.3">
      <c r="A1123" t="s">
        <v>1767</v>
      </c>
      <c r="B1123" t="s">
        <v>1768</v>
      </c>
      <c r="C1123" t="s">
        <v>52</v>
      </c>
      <c r="D1123" t="s">
        <v>80</v>
      </c>
      <c r="E1123" s="1">
        <v>45842</v>
      </c>
      <c r="F1123" s="1">
        <v>45872</v>
      </c>
      <c r="G1123" t="s">
        <v>38</v>
      </c>
      <c r="H1123">
        <v>3707</v>
      </c>
      <c r="I1123" t="s">
        <v>39</v>
      </c>
      <c r="J1123" t="b">
        <v>0</v>
      </c>
      <c r="K1123">
        <v>30</v>
      </c>
      <c r="L1123">
        <v>8</v>
      </c>
      <c r="M1123">
        <v>2025</v>
      </c>
      <c r="N1123">
        <v>6</v>
      </c>
      <c r="O1123">
        <v>7</v>
      </c>
      <c r="P1123">
        <v>2025</v>
      </c>
      <c r="Q1123">
        <v>4</v>
      </c>
      <c r="R1123" t="s">
        <v>66</v>
      </c>
      <c r="S1123" t="s">
        <v>55</v>
      </c>
      <c r="T1123" t="s">
        <v>42</v>
      </c>
      <c r="U1123" t="s">
        <v>66</v>
      </c>
      <c r="V1123" t="s">
        <v>56</v>
      </c>
      <c r="W1123" t="s">
        <v>57</v>
      </c>
      <c r="X1123" t="s">
        <v>45</v>
      </c>
      <c r="Y1123">
        <v>120</v>
      </c>
      <c r="Z1123" t="s">
        <v>84</v>
      </c>
      <c r="AA1123" t="s">
        <v>85</v>
      </c>
      <c r="AB1123" s="1">
        <v>45872</v>
      </c>
      <c r="AC1123" t="s">
        <v>66</v>
      </c>
      <c r="AD1123" t="s">
        <v>40</v>
      </c>
      <c r="AE1123" t="s">
        <v>86</v>
      </c>
      <c r="AF1123" t="s">
        <v>40</v>
      </c>
      <c r="AG1123">
        <v>0</v>
      </c>
      <c r="AH1123" t="s">
        <v>70</v>
      </c>
    </row>
    <row r="1124" spans="1:34" x14ac:dyDescent="0.3">
      <c r="A1124" t="s">
        <v>1769</v>
      </c>
      <c r="B1124" t="s">
        <v>884</v>
      </c>
      <c r="C1124" t="s">
        <v>36</v>
      </c>
      <c r="D1124" t="s">
        <v>53</v>
      </c>
      <c r="E1124" s="1">
        <v>46195</v>
      </c>
      <c r="F1124" s="1">
        <v>46225</v>
      </c>
      <c r="G1124" t="s">
        <v>81</v>
      </c>
      <c r="H1124">
        <v>7615</v>
      </c>
      <c r="I1124" t="s">
        <v>65</v>
      </c>
      <c r="J1124" t="b">
        <v>0</v>
      </c>
      <c r="K1124">
        <v>30</v>
      </c>
      <c r="L1124">
        <v>7</v>
      </c>
      <c r="M1124">
        <v>2026</v>
      </c>
      <c r="N1124">
        <v>2</v>
      </c>
      <c r="O1124">
        <v>6</v>
      </c>
      <c r="P1124">
        <v>2026</v>
      </c>
      <c r="Q1124">
        <v>0</v>
      </c>
      <c r="R1124" t="s">
        <v>40</v>
      </c>
      <c r="S1124" t="s">
        <v>55</v>
      </c>
      <c r="T1124" t="s">
        <v>42</v>
      </c>
      <c r="U1124" t="s">
        <v>40</v>
      </c>
      <c r="V1124" t="s">
        <v>43</v>
      </c>
      <c r="W1124" t="s">
        <v>44</v>
      </c>
      <c r="X1124" t="s">
        <v>45</v>
      </c>
      <c r="Y1124">
        <v>150</v>
      </c>
      <c r="Z1124" t="s">
        <v>58</v>
      </c>
      <c r="AA1124" t="s">
        <v>59</v>
      </c>
      <c r="AB1124" s="1">
        <v>46225</v>
      </c>
      <c r="AC1124" t="s">
        <v>40</v>
      </c>
      <c r="AD1124" t="s">
        <v>40</v>
      </c>
      <c r="AE1124" t="s">
        <v>86</v>
      </c>
      <c r="AF1124" t="s">
        <v>40</v>
      </c>
      <c r="AG1124">
        <v>0</v>
      </c>
      <c r="AH1124" t="s">
        <v>70</v>
      </c>
    </row>
    <row r="1125" spans="1:34" x14ac:dyDescent="0.3">
      <c r="A1125" t="s">
        <v>1770</v>
      </c>
      <c r="B1125" t="s">
        <v>1771</v>
      </c>
      <c r="C1125" t="s">
        <v>97</v>
      </c>
      <c r="D1125" t="s">
        <v>90</v>
      </c>
      <c r="E1125" s="1">
        <v>46309</v>
      </c>
      <c r="F1125" s="1">
        <v>46312</v>
      </c>
      <c r="G1125" t="s">
        <v>38</v>
      </c>
      <c r="H1125">
        <v>3792</v>
      </c>
      <c r="I1125" t="s">
        <v>54</v>
      </c>
      <c r="J1125" t="b">
        <v>0</v>
      </c>
      <c r="K1125">
        <v>3</v>
      </c>
      <c r="L1125">
        <v>10</v>
      </c>
      <c r="M1125">
        <v>2026</v>
      </c>
      <c r="N1125">
        <v>5</v>
      </c>
      <c r="O1125">
        <v>10</v>
      </c>
      <c r="P1125">
        <v>2026</v>
      </c>
      <c r="Q1125">
        <v>2</v>
      </c>
      <c r="R1125" t="s">
        <v>66</v>
      </c>
      <c r="S1125" t="s">
        <v>67</v>
      </c>
      <c r="T1125" t="s">
        <v>42</v>
      </c>
      <c r="U1125" t="s">
        <v>40</v>
      </c>
      <c r="V1125" t="s">
        <v>98</v>
      </c>
      <c r="W1125" t="s">
        <v>99</v>
      </c>
      <c r="X1125" t="s">
        <v>76</v>
      </c>
      <c r="Y1125">
        <v>80</v>
      </c>
      <c r="Z1125" t="s">
        <v>93</v>
      </c>
      <c r="AA1125" t="s">
        <v>94</v>
      </c>
      <c r="AB1125" s="1">
        <v>46312</v>
      </c>
      <c r="AC1125" t="s">
        <v>66</v>
      </c>
      <c r="AD1125" t="s">
        <v>40</v>
      </c>
      <c r="AE1125" t="s">
        <v>60</v>
      </c>
      <c r="AF1125" t="s">
        <v>40</v>
      </c>
      <c r="AG1125">
        <v>1</v>
      </c>
      <c r="AH1125" t="s">
        <v>100</v>
      </c>
    </row>
    <row r="1126" spans="1:34" x14ac:dyDescent="0.3">
      <c r="A1126" t="s">
        <v>1772</v>
      </c>
      <c r="B1126" t="s">
        <v>1525</v>
      </c>
      <c r="C1126" t="s">
        <v>122</v>
      </c>
      <c r="D1126" t="s">
        <v>90</v>
      </c>
      <c r="E1126" s="1">
        <v>46355</v>
      </c>
      <c r="F1126" s="1">
        <v>46362</v>
      </c>
      <c r="G1126" t="s">
        <v>81</v>
      </c>
      <c r="H1126">
        <v>6723</v>
      </c>
      <c r="I1126" t="s">
        <v>54</v>
      </c>
      <c r="J1126" t="b">
        <v>0</v>
      </c>
      <c r="K1126">
        <v>7</v>
      </c>
      <c r="L1126">
        <v>12</v>
      </c>
      <c r="M1126">
        <v>2026</v>
      </c>
      <c r="N1126">
        <v>6</v>
      </c>
      <c r="O1126">
        <v>11</v>
      </c>
      <c r="P1126">
        <v>2026</v>
      </c>
      <c r="Q1126">
        <v>6</v>
      </c>
      <c r="R1126" t="s">
        <v>66</v>
      </c>
      <c r="S1126" t="s">
        <v>45</v>
      </c>
      <c r="T1126" t="s">
        <v>113</v>
      </c>
      <c r="U1126" t="s">
        <v>66</v>
      </c>
      <c r="V1126" t="s">
        <v>124</v>
      </c>
      <c r="W1126" t="s">
        <v>125</v>
      </c>
      <c r="X1126" t="s">
        <v>126</v>
      </c>
      <c r="Y1126">
        <v>85</v>
      </c>
      <c r="Z1126" t="s">
        <v>93</v>
      </c>
      <c r="AA1126" t="s">
        <v>94</v>
      </c>
      <c r="AB1126" s="1">
        <v>46362</v>
      </c>
      <c r="AC1126" t="s">
        <v>66</v>
      </c>
      <c r="AD1126" t="s">
        <v>40</v>
      </c>
      <c r="AE1126" t="s">
        <v>69</v>
      </c>
      <c r="AF1126" t="s">
        <v>40</v>
      </c>
      <c r="AG1126">
        <v>1</v>
      </c>
      <c r="AH1126" t="s">
        <v>100</v>
      </c>
    </row>
    <row r="1127" spans="1:34" x14ac:dyDescent="0.3">
      <c r="A1127" t="s">
        <v>1773</v>
      </c>
      <c r="B1127" t="s">
        <v>1624</v>
      </c>
      <c r="C1127" t="s">
        <v>36</v>
      </c>
      <c r="D1127" t="s">
        <v>53</v>
      </c>
      <c r="E1127" s="1">
        <v>45826</v>
      </c>
      <c r="F1127" s="1">
        <v>45886</v>
      </c>
      <c r="G1127" t="s">
        <v>64</v>
      </c>
      <c r="H1127">
        <v>3608</v>
      </c>
      <c r="I1127" t="s">
        <v>65</v>
      </c>
      <c r="J1127" t="b">
        <v>0</v>
      </c>
      <c r="K1127">
        <v>60</v>
      </c>
      <c r="L1127">
        <v>8</v>
      </c>
      <c r="M1127">
        <v>2025</v>
      </c>
      <c r="N1127">
        <v>6</v>
      </c>
      <c r="O1127">
        <v>6</v>
      </c>
      <c r="P1127">
        <v>2025</v>
      </c>
      <c r="Q1127">
        <v>2</v>
      </c>
      <c r="R1127" t="s">
        <v>66</v>
      </c>
      <c r="S1127" t="s">
        <v>45</v>
      </c>
      <c r="T1127" t="s">
        <v>42</v>
      </c>
      <c r="U1127" t="s">
        <v>40</v>
      </c>
      <c r="V1127" t="s">
        <v>43</v>
      </c>
      <c r="W1127" t="s">
        <v>44</v>
      </c>
      <c r="X1127" t="s">
        <v>45</v>
      </c>
      <c r="Y1127">
        <v>150</v>
      </c>
      <c r="Z1127" t="s">
        <v>58</v>
      </c>
      <c r="AA1127" t="s">
        <v>59</v>
      </c>
      <c r="AB1127" s="1">
        <v>45886</v>
      </c>
      <c r="AC1127" t="s">
        <v>66</v>
      </c>
      <c r="AD1127" t="s">
        <v>40</v>
      </c>
      <c r="AE1127" t="s">
        <v>86</v>
      </c>
      <c r="AF1127" t="s">
        <v>40</v>
      </c>
      <c r="AG1127">
        <v>0</v>
      </c>
      <c r="AH1127" t="s">
        <v>61</v>
      </c>
    </row>
    <row r="1128" spans="1:34" x14ac:dyDescent="0.3">
      <c r="A1128" t="s">
        <v>1774</v>
      </c>
      <c r="B1128" t="s">
        <v>545</v>
      </c>
      <c r="C1128" t="s">
        <v>52</v>
      </c>
      <c r="D1128" t="s">
        <v>37</v>
      </c>
      <c r="E1128" s="1">
        <v>46277</v>
      </c>
      <c r="F1128" s="1">
        <v>46278</v>
      </c>
      <c r="G1128" t="s">
        <v>38</v>
      </c>
      <c r="H1128">
        <v>5052</v>
      </c>
      <c r="I1128" t="s">
        <v>65</v>
      </c>
      <c r="J1128" t="b">
        <v>0</v>
      </c>
      <c r="K1128">
        <v>1</v>
      </c>
      <c r="L1128">
        <v>9</v>
      </c>
      <c r="M1128">
        <v>2026</v>
      </c>
      <c r="N1128">
        <v>6</v>
      </c>
      <c r="O1128">
        <v>9</v>
      </c>
      <c r="P1128">
        <v>2026</v>
      </c>
      <c r="Q1128">
        <v>5</v>
      </c>
      <c r="R1128" t="s">
        <v>66</v>
      </c>
      <c r="S1128" t="s">
        <v>41</v>
      </c>
      <c r="T1128" t="s">
        <v>42</v>
      </c>
      <c r="U1128" t="s">
        <v>40</v>
      </c>
      <c r="V1128" t="s">
        <v>56</v>
      </c>
      <c r="W1128" t="s">
        <v>57</v>
      </c>
      <c r="X1128" t="s">
        <v>45</v>
      </c>
      <c r="Y1128">
        <v>120</v>
      </c>
      <c r="Z1128" t="s">
        <v>46</v>
      </c>
      <c r="AA1128" t="s">
        <v>47</v>
      </c>
      <c r="AB1128" s="1">
        <v>46278</v>
      </c>
      <c r="AC1128" t="s">
        <v>66</v>
      </c>
      <c r="AD1128" t="s">
        <v>40</v>
      </c>
      <c r="AE1128" t="s">
        <v>60</v>
      </c>
      <c r="AF1128" t="s">
        <v>40</v>
      </c>
      <c r="AG1128">
        <v>0</v>
      </c>
      <c r="AH1128" t="s">
        <v>100</v>
      </c>
    </row>
    <row r="1129" spans="1:34" x14ac:dyDescent="0.3">
      <c r="A1129" t="s">
        <v>1775</v>
      </c>
      <c r="B1129" t="s">
        <v>383</v>
      </c>
      <c r="C1129" t="s">
        <v>97</v>
      </c>
      <c r="D1129" t="s">
        <v>130</v>
      </c>
      <c r="E1129" s="1">
        <v>46216</v>
      </c>
      <c r="F1129" s="1">
        <v>46316</v>
      </c>
      <c r="G1129" t="s">
        <v>41</v>
      </c>
      <c r="H1129">
        <v>5616</v>
      </c>
      <c r="I1129" t="s">
        <v>39</v>
      </c>
      <c r="J1129" t="b">
        <v>0</v>
      </c>
      <c r="K1129">
        <v>100</v>
      </c>
      <c r="L1129">
        <v>10</v>
      </c>
      <c r="M1129">
        <v>2026</v>
      </c>
      <c r="N1129">
        <v>2</v>
      </c>
      <c r="O1129">
        <v>7</v>
      </c>
      <c r="P1129">
        <v>2026</v>
      </c>
      <c r="Q1129">
        <v>0</v>
      </c>
      <c r="R1129" t="s">
        <v>40</v>
      </c>
      <c r="S1129" t="s">
        <v>55</v>
      </c>
      <c r="T1129" t="s">
        <v>42</v>
      </c>
      <c r="U1129" t="s">
        <v>40</v>
      </c>
      <c r="V1129" t="s">
        <v>98</v>
      </c>
      <c r="W1129" t="s">
        <v>99</v>
      </c>
      <c r="X1129" t="s">
        <v>76</v>
      </c>
      <c r="Y1129">
        <v>80</v>
      </c>
      <c r="Z1129" t="s">
        <v>133</v>
      </c>
      <c r="AA1129" t="s">
        <v>134</v>
      </c>
      <c r="AB1129" s="1">
        <v>46316</v>
      </c>
      <c r="AC1129" t="s">
        <v>40</v>
      </c>
      <c r="AD1129" t="s">
        <v>40</v>
      </c>
      <c r="AE1129" t="s">
        <v>60</v>
      </c>
      <c r="AF1129" t="s">
        <v>40</v>
      </c>
      <c r="AG1129">
        <v>0</v>
      </c>
      <c r="AH1129" t="s">
        <v>49</v>
      </c>
    </row>
    <row r="1130" spans="1:34" x14ac:dyDescent="0.3">
      <c r="A1130" t="s">
        <v>1776</v>
      </c>
      <c r="B1130" t="s">
        <v>1618</v>
      </c>
      <c r="C1130" t="s">
        <v>79</v>
      </c>
      <c r="D1130" t="s">
        <v>104</v>
      </c>
      <c r="E1130" s="1">
        <v>46138</v>
      </c>
      <c r="F1130" s="1">
        <v>46139</v>
      </c>
      <c r="G1130" t="s">
        <v>41</v>
      </c>
      <c r="H1130">
        <v>39475</v>
      </c>
      <c r="I1130" t="s">
        <v>39</v>
      </c>
      <c r="J1130" t="b">
        <v>1</v>
      </c>
      <c r="K1130">
        <v>1</v>
      </c>
      <c r="L1130">
        <v>4</v>
      </c>
      <c r="M1130">
        <v>2026</v>
      </c>
      <c r="N1130">
        <v>0</v>
      </c>
      <c r="O1130">
        <v>4</v>
      </c>
      <c r="P1130">
        <v>2026</v>
      </c>
      <c r="Q1130">
        <v>6</v>
      </c>
      <c r="R1130" t="s">
        <v>40</v>
      </c>
      <c r="S1130" t="s">
        <v>41</v>
      </c>
      <c r="T1130" t="s">
        <v>42</v>
      </c>
      <c r="U1130" t="s">
        <v>66</v>
      </c>
      <c r="V1130" t="s">
        <v>82</v>
      </c>
      <c r="W1130" t="s">
        <v>83</v>
      </c>
      <c r="X1130" t="s">
        <v>76</v>
      </c>
      <c r="Y1130">
        <v>100</v>
      </c>
      <c r="Z1130" t="s">
        <v>107</v>
      </c>
      <c r="AA1130" t="s">
        <v>108</v>
      </c>
      <c r="AB1130" s="1">
        <v>46139</v>
      </c>
      <c r="AC1130" t="s">
        <v>40</v>
      </c>
      <c r="AD1130" t="s">
        <v>40</v>
      </c>
      <c r="AE1130" t="s">
        <v>69</v>
      </c>
      <c r="AF1130" t="s">
        <v>40</v>
      </c>
      <c r="AG1130">
        <v>0</v>
      </c>
      <c r="AH1130" t="s">
        <v>100</v>
      </c>
    </row>
    <row r="1131" spans="1:34" x14ac:dyDescent="0.3">
      <c r="A1131" t="s">
        <v>1777</v>
      </c>
      <c r="B1131" t="s">
        <v>843</v>
      </c>
      <c r="C1131" t="s">
        <v>36</v>
      </c>
      <c r="D1131" t="s">
        <v>53</v>
      </c>
      <c r="E1131" s="1">
        <v>46186</v>
      </c>
      <c r="F1131" s="1">
        <v>46193</v>
      </c>
      <c r="G1131" t="s">
        <v>38</v>
      </c>
      <c r="H1131">
        <v>5806</v>
      </c>
      <c r="I1131" t="s">
        <v>39</v>
      </c>
      <c r="J1131" t="b">
        <v>0</v>
      </c>
      <c r="K1131">
        <v>7</v>
      </c>
      <c r="L1131">
        <v>6</v>
      </c>
      <c r="M1131">
        <v>2026</v>
      </c>
      <c r="N1131">
        <v>5</v>
      </c>
      <c r="O1131">
        <v>6</v>
      </c>
      <c r="P1131">
        <v>2026</v>
      </c>
      <c r="Q1131">
        <v>5</v>
      </c>
      <c r="R1131" t="s">
        <v>66</v>
      </c>
      <c r="S1131" t="s">
        <v>45</v>
      </c>
      <c r="T1131" t="s">
        <v>68</v>
      </c>
      <c r="U1131" t="s">
        <v>66</v>
      </c>
      <c r="V1131" t="s">
        <v>43</v>
      </c>
      <c r="W1131" t="s">
        <v>44</v>
      </c>
      <c r="X1131" t="s">
        <v>45</v>
      </c>
      <c r="Y1131">
        <v>150</v>
      </c>
      <c r="Z1131" t="s">
        <v>58</v>
      </c>
      <c r="AA1131" t="s">
        <v>59</v>
      </c>
      <c r="AB1131" s="1">
        <v>46193</v>
      </c>
      <c r="AC1131" t="s">
        <v>66</v>
      </c>
      <c r="AD1131" t="s">
        <v>40</v>
      </c>
      <c r="AE1131" t="s">
        <v>60</v>
      </c>
      <c r="AF1131" t="s">
        <v>40</v>
      </c>
      <c r="AG1131">
        <v>0</v>
      </c>
      <c r="AH1131" t="s">
        <v>100</v>
      </c>
    </row>
    <row r="1132" spans="1:34" x14ac:dyDescent="0.3">
      <c r="A1132" t="s">
        <v>1778</v>
      </c>
      <c r="B1132" t="s">
        <v>1525</v>
      </c>
      <c r="C1132" t="s">
        <v>79</v>
      </c>
      <c r="D1132" t="s">
        <v>37</v>
      </c>
      <c r="E1132" s="1">
        <v>45708</v>
      </c>
      <c r="F1132" s="1">
        <v>45722</v>
      </c>
      <c r="G1132" t="s">
        <v>38</v>
      </c>
      <c r="H1132">
        <v>3671</v>
      </c>
      <c r="I1132" t="s">
        <v>39</v>
      </c>
      <c r="J1132" t="b">
        <v>0</v>
      </c>
      <c r="K1132">
        <v>14</v>
      </c>
      <c r="L1132">
        <v>3</v>
      </c>
      <c r="M1132">
        <v>2025</v>
      </c>
      <c r="N1132">
        <v>3</v>
      </c>
      <c r="O1132">
        <v>2</v>
      </c>
      <c r="P1132">
        <v>2025</v>
      </c>
      <c r="Q1132">
        <v>3</v>
      </c>
      <c r="R1132" t="s">
        <v>40</v>
      </c>
      <c r="S1132" t="s">
        <v>45</v>
      </c>
      <c r="T1132" t="s">
        <v>113</v>
      </c>
      <c r="U1132" t="s">
        <v>66</v>
      </c>
      <c r="V1132" t="s">
        <v>82</v>
      </c>
      <c r="W1132" t="s">
        <v>83</v>
      </c>
      <c r="X1132" t="s">
        <v>76</v>
      </c>
      <c r="Y1132">
        <v>100</v>
      </c>
      <c r="Z1132" t="s">
        <v>46</v>
      </c>
      <c r="AA1132" t="s">
        <v>47</v>
      </c>
      <c r="AB1132" s="1">
        <v>45722</v>
      </c>
      <c r="AC1132" t="s">
        <v>40</v>
      </c>
      <c r="AD1132" t="s">
        <v>40</v>
      </c>
      <c r="AE1132" t="s">
        <v>60</v>
      </c>
      <c r="AF1132" t="s">
        <v>40</v>
      </c>
      <c r="AG1132">
        <v>0</v>
      </c>
      <c r="AH1132" t="s">
        <v>70</v>
      </c>
    </row>
    <row r="1133" spans="1:34" x14ac:dyDescent="0.3">
      <c r="A1133" t="s">
        <v>1779</v>
      </c>
      <c r="B1133" t="s">
        <v>290</v>
      </c>
      <c r="C1133" t="s">
        <v>103</v>
      </c>
      <c r="D1133" t="s">
        <v>80</v>
      </c>
      <c r="E1133" s="1">
        <v>46286</v>
      </c>
      <c r="F1133" s="1">
        <v>46316</v>
      </c>
      <c r="G1133" t="s">
        <v>81</v>
      </c>
      <c r="H1133">
        <v>8013</v>
      </c>
      <c r="I1133" t="s">
        <v>39</v>
      </c>
      <c r="J1133" t="b">
        <v>0</v>
      </c>
      <c r="K1133">
        <v>30</v>
      </c>
      <c r="L1133">
        <v>10</v>
      </c>
      <c r="M1133">
        <v>2026</v>
      </c>
      <c r="N1133">
        <v>2</v>
      </c>
      <c r="O1133">
        <v>9</v>
      </c>
      <c r="P1133">
        <v>2026</v>
      </c>
      <c r="Q1133">
        <v>0</v>
      </c>
      <c r="R1133" t="s">
        <v>40</v>
      </c>
      <c r="S1133" t="s">
        <v>55</v>
      </c>
      <c r="T1133" t="s">
        <v>42</v>
      </c>
      <c r="U1133" t="s">
        <v>40</v>
      </c>
      <c r="V1133" t="s">
        <v>105</v>
      </c>
      <c r="W1133" t="s">
        <v>106</v>
      </c>
      <c r="X1133" t="s">
        <v>45</v>
      </c>
      <c r="Y1133">
        <v>140</v>
      </c>
      <c r="Z1133" t="s">
        <v>84</v>
      </c>
      <c r="AA1133" t="s">
        <v>85</v>
      </c>
      <c r="AB1133" s="1">
        <v>46316</v>
      </c>
      <c r="AC1133" t="s">
        <v>40</v>
      </c>
      <c r="AD1133" t="s">
        <v>40</v>
      </c>
      <c r="AE1133" t="s">
        <v>60</v>
      </c>
      <c r="AF1133" t="s">
        <v>40</v>
      </c>
      <c r="AG1133">
        <v>0</v>
      </c>
      <c r="AH1133" t="s">
        <v>70</v>
      </c>
    </row>
    <row r="1134" spans="1:34" x14ac:dyDescent="0.3">
      <c r="A1134" t="s">
        <v>1780</v>
      </c>
      <c r="B1134" t="s">
        <v>1781</v>
      </c>
      <c r="C1134" t="s">
        <v>103</v>
      </c>
      <c r="D1134" t="s">
        <v>53</v>
      </c>
      <c r="E1134" s="1">
        <v>46199</v>
      </c>
      <c r="F1134" s="1">
        <v>46202</v>
      </c>
      <c r="G1134" t="s">
        <v>64</v>
      </c>
      <c r="H1134">
        <v>3481</v>
      </c>
      <c r="I1134" t="s">
        <v>65</v>
      </c>
      <c r="J1134" t="b">
        <v>0</v>
      </c>
      <c r="K1134">
        <v>3</v>
      </c>
      <c r="L1134">
        <v>6</v>
      </c>
      <c r="M1134">
        <v>2026</v>
      </c>
      <c r="N1134">
        <v>0</v>
      </c>
      <c r="O1134">
        <v>6</v>
      </c>
      <c r="P1134">
        <v>2026</v>
      </c>
      <c r="Q1134">
        <v>4</v>
      </c>
      <c r="R1134" t="s">
        <v>40</v>
      </c>
      <c r="S1134" t="s">
        <v>55</v>
      </c>
      <c r="T1134" t="s">
        <v>42</v>
      </c>
      <c r="U1134" t="s">
        <v>40</v>
      </c>
      <c r="V1134" t="s">
        <v>105</v>
      </c>
      <c r="W1134" t="s">
        <v>106</v>
      </c>
      <c r="X1134" t="s">
        <v>45</v>
      </c>
      <c r="Y1134">
        <v>140</v>
      </c>
      <c r="Z1134" t="s">
        <v>58</v>
      </c>
      <c r="AA1134" t="s">
        <v>59</v>
      </c>
      <c r="AB1134" s="1">
        <v>46202</v>
      </c>
      <c r="AC1134" t="s">
        <v>40</v>
      </c>
      <c r="AD1134" t="s">
        <v>40</v>
      </c>
      <c r="AE1134" t="s">
        <v>60</v>
      </c>
      <c r="AF1134" t="s">
        <v>40</v>
      </c>
      <c r="AG1134">
        <v>0</v>
      </c>
      <c r="AH1134" t="s">
        <v>100</v>
      </c>
    </row>
    <row r="1135" spans="1:34" x14ac:dyDescent="0.3">
      <c r="A1135" t="s">
        <v>1782</v>
      </c>
      <c r="B1135" t="s">
        <v>1019</v>
      </c>
      <c r="C1135" t="s">
        <v>146</v>
      </c>
      <c r="D1135" t="s">
        <v>90</v>
      </c>
      <c r="E1135" s="1">
        <v>46045</v>
      </c>
      <c r="F1135" s="1">
        <v>46105</v>
      </c>
      <c r="G1135" t="s">
        <v>38</v>
      </c>
      <c r="H1135">
        <v>3762</v>
      </c>
      <c r="I1135" t="s">
        <v>39</v>
      </c>
      <c r="J1135" t="b">
        <v>0</v>
      </c>
      <c r="K1135">
        <v>60</v>
      </c>
      <c r="L1135">
        <v>3</v>
      </c>
      <c r="M1135">
        <v>2026</v>
      </c>
      <c r="N1135">
        <v>1</v>
      </c>
      <c r="O1135">
        <v>1</v>
      </c>
      <c r="P1135">
        <v>2026</v>
      </c>
      <c r="Q1135">
        <v>4</v>
      </c>
      <c r="R1135" t="s">
        <v>40</v>
      </c>
      <c r="S1135" t="s">
        <v>41</v>
      </c>
      <c r="T1135" t="s">
        <v>42</v>
      </c>
      <c r="U1135" t="s">
        <v>40</v>
      </c>
      <c r="V1135" t="s">
        <v>147</v>
      </c>
      <c r="W1135" t="s">
        <v>148</v>
      </c>
      <c r="X1135" t="s">
        <v>45</v>
      </c>
      <c r="Y1135">
        <v>160</v>
      </c>
      <c r="Z1135" t="s">
        <v>93</v>
      </c>
      <c r="AA1135" t="s">
        <v>94</v>
      </c>
      <c r="AB1135" s="1">
        <v>46105</v>
      </c>
      <c r="AC1135" t="s">
        <v>40</v>
      </c>
      <c r="AD1135" t="s">
        <v>40</v>
      </c>
      <c r="AE1135" t="s">
        <v>60</v>
      </c>
      <c r="AF1135" t="s">
        <v>40</v>
      </c>
      <c r="AG1135">
        <v>0</v>
      </c>
      <c r="AH1135" t="s">
        <v>61</v>
      </c>
    </row>
    <row r="1136" spans="1:34" x14ac:dyDescent="0.3">
      <c r="A1136" t="s">
        <v>1783</v>
      </c>
      <c r="B1136" t="s">
        <v>1058</v>
      </c>
      <c r="C1136" t="s">
        <v>155</v>
      </c>
      <c r="D1136" t="s">
        <v>37</v>
      </c>
      <c r="E1136" s="1">
        <v>45960</v>
      </c>
      <c r="F1136" s="1">
        <v>46020</v>
      </c>
      <c r="G1136" t="s">
        <v>81</v>
      </c>
      <c r="H1136">
        <v>6669</v>
      </c>
      <c r="I1136" t="s">
        <v>39</v>
      </c>
      <c r="J1136" t="b">
        <v>0</v>
      </c>
      <c r="K1136">
        <v>60</v>
      </c>
      <c r="L1136">
        <v>12</v>
      </c>
      <c r="M1136">
        <v>2025</v>
      </c>
      <c r="N1136">
        <v>0</v>
      </c>
      <c r="O1136">
        <v>10</v>
      </c>
      <c r="P1136">
        <v>2025</v>
      </c>
      <c r="Q1136">
        <v>3</v>
      </c>
      <c r="R1136" t="s">
        <v>40</v>
      </c>
      <c r="S1136" t="s">
        <v>41</v>
      </c>
      <c r="T1136" t="s">
        <v>42</v>
      </c>
      <c r="U1136" t="s">
        <v>40</v>
      </c>
      <c r="V1136" t="s">
        <v>156</v>
      </c>
      <c r="W1136" t="s">
        <v>157</v>
      </c>
      <c r="X1136" t="s">
        <v>158</v>
      </c>
      <c r="Y1136">
        <v>70</v>
      </c>
      <c r="Z1136" t="s">
        <v>46</v>
      </c>
      <c r="AA1136" t="s">
        <v>47</v>
      </c>
      <c r="AB1136" s="1">
        <v>46020</v>
      </c>
      <c r="AC1136" t="s">
        <v>40</v>
      </c>
      <c r="AD1136" t="s">
        <v>40</v>
      </c>
      <c r="AE1136" t="s">
        <v>69</v>
      </c>
      <c r="AF1136" t="s">
        <v>40</v>
      </c>
      <c r="AG1136">
        <v>0</v>
      </c>
      <c r="AH1136" t="s">
        <v>61</v>
      </c>
    </row>
    <row r="1137" spans="1:34" x14ac:dyDescent="0.3">
      <c r="A1137" t="s">
        <v>1784</v>
      </c>
      <c r="B1137" t="s">
        <v>1785</v>
      </c>
      <c r="C1137" t="s">
        <v>103</v>
      </c>
      <c r="D1137" t="s">
        <v>90</v>
      </c>
      <c r="E1137" s="1">
        <v>45764</v>
      </c>
      <c r="F1137" s="1">
        <v>45771</v>
      </c>
      <c r="G1137" t="s">
        <v>81</v>
      </c>
      <c r="H1137">
        <v>9696</v>
      </c>
      <c r="I1137" t="s">
        <v>39</v>
      </c>
      <c r="J1137" t="b">
        <v>0</v>
      </c>
      <c r="K1137">
        <v>7</v>
      </c>
      <c r="L1137">
        <v>4</v>
      </c>
      <c r="M1137">
        <v>2025</v>
      </c>
      <c r="N1137">
        <v>3</v>
      </c>
      <c r="O1137">
        <v>4</v>
      </c>
      <c r="P1137">
        <v>2025</v>
      </c>
      <c r="Q1137">
        <v>3</v>
      </c>
      <c r="R1137" t="s">
        <v>40</v>
      </c>
      <c r="S1137" t="s">
        <v>55</v>
      </c>
      <c r="T1137" t="s">
        <v>42</v>
      </c>
      <c r="U1137" t="s">
        <v>66</v>
      </c>
      <c r="V1137" t="s">
        <v>105</v>
      </c>
      <c r="W1137" t="s">
        <v>106</v>
      </c>
      <c r="X1137" t="s">
        <v>45</v>
      </c>
      <c r="Y1137">
        <v>140</v>
      </c>
      <c r="Z1137" t="s">
        <v>93</v>
      </c>
      <c r="AA1137" t="s">
        <v>94</v>
      </c>
      <c r="AB1137" s="1">
        <v>45771</v>
      </c>
      <c r="AC1137" t="s">
        <v>40</v>
      </c>
      <c r="AD1137" t="s">
        <v>40</v>
      </c>
      <c r="AE1137" t="s">
        <v>69</v>
      </c>
      <c r="AF1137" t="s">
        <v>40</v>
      </c>
      <c r="AG1137">
        <v>0</v>
      </c>
      <c r="AH1137" t="s">
        <v>100</v>
      </c>
    </row>
    <row r="1138" spans="1:34" x14ac:dyDescent="0.3">
      <c r="A1138" t="s">
        <v>1786</v>
      </c>
      <c r="B1138" t="s">
        <v>1003</v>
      </c>
      <c r="C1138" t="s">
        <v>169</v>
      </c>
      <c r="D1138" t="s">
        <v>130</v>
      </c>
      <c r="E1138" s="1">
        <v>45849</v>
      </c>
      <c r="F1138" s="1">
        <v>45863</v>
      </c>
      <c r="G1138" t="s">
        <v>38</v>
      </c>
      <c r="H1138">
        <v>5726</v>
      </c>
      <c r="I1138" t="s">
        <v>65</v>
      </c>
      <c r="J1138" t="b">
        <v>0</v>
      </c>
      <c r="K1138">
        <v>14</v>
      </c>
      <c r="L1138">
        <v>7</v>
      </c>
      <c r="M1138">
        <v>2025</v>
      </c>
      <c r="N1138">
        <v>4</v>
      </c>
      <c r="O1138">
        <v>7</v>
      </c>
      <c r="P1138">
        <v>2025</v>
      </c>
      <c r="Q1138">
        <v>4</v>
      </c>
      <c r="R1138" t="s">
        <v>40</v>
      </c>
      <c r="S1138" t="s">
        <v>41</v>
      </c>
      <c r="T1138" t="s">
        <v>42</v>
      </c>
      <c r="U1138" t="s">
        <v>66</v>
      </c>
      <c r="V1138" t="s">
        <v>170</v>
      </c>
      <c r="W1138" t="s">
        <v>171</v>
      </c>
      <c r="X1138" t="s">
        <v>126</v>
      </c>
      <c r="Y1138">
        <v>90</v>
      </c>
      <c r="Z1138" t="s">
        <v>133</v>
      </c>
      <c r="AA1138" t="s">
        <v>134</v>
      </c>
      <c r="AB1138" s="1">
        <v>45863</v>
      </c>
      <c r="AC1138" t="s">
        <v>40</v>
      </c>
      <c r="AD1138" t="s">
        <v>40</v>
      </c>
      <c r="AE1138" t="s">
        <v>86</v>
      </c>
      <c r="AF1138" t="s">
        <v>40</v>
      </c>
      <c r="AG1138">
        <v>0</v>
      </c>
      <c r="AH1138" t="s">
        <v>70</v>
      </c>
    </row>
    <row r="1139" spans="1:34" x14ac:dyDescent="0.3">
      <c r="A1139" t="s">
        <v>1787</v>
      </c>
      <c r="B1139" t="s">
        <v>1788</v>
      </c>
      <c r="C1139" t="s">
        <v>122</v>
      </c>
      <c r="D1139" t="s">
        <v>104</v>
      </c>
      <c r="E1139" s="1">
        <v>45973</v>
      </c>
      <c r="F1139" s="1">
        <v>45987</v>
      </c>
      <c r="G1139" t="s">
        <v>81</v>
      </c>
      <c r="H1139">
        <v>10844</v>
      </c>
      <c r="I1139" t="s">
        <v>54</v>
      </c>
      <c r="J1139" t="b">
        <v>0</v>
      </c>
      <c r="K1139">
        <v>14</v>
      </c>
      <c r="L1139">
        <v>11</v>
      </c>
      <c r="M1139">
        <v>2025</v>
      </c>
      <c r="N1139">
        <v>2</v>
      </c>
      <c r="O1139">
        <v>11</v>
      </c>
      <c r="P1139">
        <v>2025</v>
      </c>
      <c r="Q1139">
        <v>2</v>
      </c>
      <c r="R1139" t="s">
        <v>40</v>
      </c>
      <c r="S1139" t="s">
        <v>55</v>
      </c>
      <c r="T1139" t="s">
        <v>68</v>
      </c>
      <c r="U1139" t="s">
        <v>40</v>
      </c>
      <c r="V1139" t="s">
        <v>124</v>
      </c>
      <c r="W1139" t="s">
        <v>125</v>
      </c>
      <c r="X1139" t="s">
        <v>126</v>
      </c>
      <c r="Y1139">
        <v>85</v>
      </c>
      <c r="Z1139" t="s">
        <v>107</v>
      </c>
      <c r="AA1139" t="s">
        <v>108</v>
      </c>
      <c r="AB1139" s="1">
        <v>45987</v>
      </c>
      <c r="AC1139" t="s">
        <v>40</v>
      </c>
      <c r="AD1139" t="s">
        <v>40</v>
      </c>
      <c r="AE1139" t="s">
        <v>86</v>
      </c>
      <c r="AF1139" t="s">
        <v>40</v>
      </c>
      <c r="AG1139">
        <v>1</v>
      </c>
      <c r="AH1139" t="s">
        <v>70</v>
      </c>
    </row>
    <row r="1140" spans="1:34" x14ac:dyDescent="0.3">
      <c r="A1140" t="s">
        <v>1789</v>
      </c>
      <c r="B1140" t="s">
        <v>1790</v>
      </c>
      <c r="C1140" t="s">
        <v>89</v>
      </c>
      <c r="D1140" t="s">
        <v>130</v>
      </c>
      <c r="E1140" s="1">
        <v>46035</v>
      </c>
      <c r="F1140" s="1">
        <v>46042</v>
      </c>
      <c r="G1140" t="s">
        <v>38</v>
      </c>
      <c r="H1140">
        <v>4049</v>
      </c>
      <c r="I1140" t="s">
        <v>54</v>
      </c>
      <c r="J1140" t="b">
        <v>0</v>
      </c>
      <c r="K1140">
        <v>7</v>
      </c>
      <c r="L1140">
        <v>1</v>
      </c>
      <c r="M1140">
        <v>2026</v>
      </c>
      <c r="N1140">
        <v>1</v>
      </c>
      <c r="O1140">
        <v>1</v>
      </c>
      <c r="P1140">
        <v>2026</v>
      </c>
      <c r="Q1140">
        <v>1</v>
      </c>
      <c r="R1140" t="s">
        <v>40</v>
      </c>
      <c r="S1140" t="s">
        <v>67</v>
      </c>
      <c r="T1140" t="s">
        <v>123</v>
      </c>
      <c r="U1140" t="s">
        <v>40</v>
      </c>
      <c r="V1140" t="s">
        <v>91</v>
      </c>
      <c r="W1140" t="s">
        <v>92</v>
      </c>
      <c r="X1140" t="s">
        <v>76</v>
      </c>
      <c r="Y1140">
        <v>65</v>
      </c>
      <c r="Z1140" t="s">
        <v>133</v>
      </c>
      <c r="AA1140" t="s">
        <v>134</v>
      </c>
      <c r="AB1140" s="1">
        <v>46042</v>
      </c>
      <c r="AC1140" t="s">
        <v>40</v>
      </c>
      <c r="AD1140" t="s">
        <v>40</v>
      </c>
      <c r="AE1140" t="s">
        <v>86</v>
      </c>
      <c r="AF1140" t="s">
        <v>40</v>
      </c>
      <c r="AG1140">
        <v>1</v>
      </c>
      <c r="AH1140" t="s">
        <v>100</v>
      </c>
    </row>
    <row r="1141" spans="1:34" x14ac:dyDescent="0.3">
      <c r="A1141" t="s">
        <v>1791</v>
      </c>
      <c r="B1141" t="s">
        <v>1498</v>
      </c>
      <c r="C1141" t="s">
        <v>52</v>
      </c>
      <c r="D1141" t="s">
        <v>53</v>
      </c>
      <c r="E1141" s="1">
        <v>46312</v>
      </c>
      <c r="F1141" s="1">
        <v>46313</v>
      </c>
      <c r="G1141" t="s">
        <v>81</v>
      </c>
      <c r="H1141">
        <v>8211</v>
      </c>
      <c r="I1141" t="s">
        <v>65</v>
      </c>
      <c r="J1141" t="b">
        <v>0</v>
      </c>
      <c r="K1141">
        <v>1</v>
      </c>
      <c r="L1141">
        <v>10</v>
      </c>
      <c r="M1141">
        <v>2026</v>
      </c>
      <c r="N1141">
        <v>6</v>
      </c>
      <c r="O1141">
        <v>10</v>
      </c>
      <c r="P1141">
        <v>2026</v>
      </c>
      <c r="Q1141">
        <v>5</v>
      </c>
      <c r="R1141" t="s">
        <v>66</v>
      </c>
      <c r="S1141" t="s">
        <v>41</v>
      </c>
      <c r="T1141" t="s">
        <v>42</v>
      </c>
      <c r="U1141" t="s">
        <v>66</v>
      </c>
      <c r="V1141" t="s">
        <v>56</v>
      </c>
      <c r="W1141" t="s">
        <v>57</v>
      </c>
      <c r="X1141" t="s">
        <v>45</v>
      </c>
      <c r="Y1141">
        <v>120</v>
      </c>
      <c r="Z1141" t="s">
        <v>58</v>
      </c>
      <c r="AA1141" t="s">
        <v>59</v>
      </c>
      <c r="AB1141" s="1">
        <v>46313</v>
      </c>
      <c r="AC1141" t="s">
        <v>66</v>
      </c>
      <c r="AD1141" t="s">
        <v>40</v>
      </c>
      <c r="AE1141" t="s">
        <v>60</v>
      </c>
      <c r="AF1141" t="s">
        <v>40</v>
      </c>
      <c r="AG1141">
        <v>0</v>
      </c>
      <c r="AH1141" t="s">
        <v>100</v>
      </c>
    </row>
    <row r="1142" spans="1:34" x14ac:dyDescent="0.3">
      <c r="A1142" t="s">
        <v>1792</v>
      </c>
      <c r="B1142" t="s">
        <v>1288</v>
      </c>
      <c r="C1142" t="s">
        <v>155</v>
      </c>
      <c r="D1142" t="s">
        <v>53</v>
      </c>
      <c r="E1142" s="1">
        <v>45783</v>
      </c>
      <c r="F1142" s="1">
        <v>45797</v>
      </c>
      <c r="G1142" t="s">
        <v>38</v>
      </c>
      <c r="H1142">
        <v>3918</v>
      </c>
      <c r="I1142" t="s">
        <v>39</v>
      </c>
      <c r="J1142" t="b">
        <v>0</v>
      </c>
      <c r="K1142">
        <v>14</v>
      </c>
      <c r="L1142">
        <v>5</v>
      </c>
      <c r="M1142">
        <v>2025</v>
      </c>
      <c r="N1142">
        <v>1</v>
      </c>
      <c r="O1142">
        <v>5</v>
      </c>
      <c r="P1142">
        <v>2025</v>
      </c>
      <c r="Q1142">
        <v>1</v>
      </c>
      <c r="R1142" t="s">
        <v>40</v>
      </c>
      <c r="S1142" t="s">
        <v>45</v>
      </c>
      <c r="T1142" t="s">
        <v>139</v>
      </c>
      <c r="U1142" t="s">
        <v>40</v>
      </c>
      <c r="V1142" t="s">
        <v>156</v>
      </c>
      <c r="W1142" t="s">
        <v>157</v>
      </c>
      <c r="X1142" t="s">
        <v>158</v>
      </c>
      <c r="Y1142">
        <v>70</v>
      </c>
      <c r="Z1142" t="s">
        <v>58</v>
      </c>
      <c r="AA1142" t="s">
        <v>59</v>
      </c>
      <c r="AB1142" s="1">
        <v>45797</v>
      </c>
      <c r="AC1142" t="s">
        <v>40</v>
      </c>
      <c r="AD1142" t="s">
        <v>40</v>
      </c>
      <c r="AE1142" t="s">
        <v>69</v>
      </c>
      <c r="AF1142" t="s">
        <v>40</v>
      </c>
      <c r="AG1142">
        <v>0</v>
      </c>
      <c r="AH1142" t="s">
        <v>70</v>
      </c>
    </row>
    <row r="1143" spans="1:34" x14ac:dyDescent="0.3">
      <c r="A1143" t="s">
        <v>1793</v>
      </c>
      <c r="B1143" t="s">
        <v>1026</v>
      </c>
      <c r="C1143" t="s">
        <v>146</v>
      </c>
      <c r="D1143" t="s">
        <v>130</v>
      </c>
      <c r="E1143" s="1">
        <v>46279</v>
      </c>
      <c r="F1143" s="1">
        <v>46499</v>
      </c>
      <c r="G1143" t="s">
        <v>38</v>
      </c>
      <c r="H1143">
        <v>4310</v>
      </c>
      <c r="I1143" t="s">
        <v>212</v>
      </c>
      <c r="J1143" t="b">
        <v>0</v>
      </c>
      <c r="K1143">
        <v>220</v>
      </c>
      <c r="L1143">
        <v>4</v>
      </c>
      <c r="M1143">
        <v>2027</v>
      </c>
      <c r="N1143">
        <v>3</v>
      </c>
      <c r="O1143">
        <v>9</v>
      </c>
      <c r="P1143">
        <v>2026</v>
      </c>
      <c r="Q1143">
        <v>0</v>
      </c>
      <c r="R1143" t="s">
        <v>40</v>
      </c>
      <c r="S1143" t="s">
        <v>55</v>
      </c>
      <c r="T1143" t="s">
        <v>286</v>
      </c>
      <c r="U1143" t="s">
        <v>40</v>
      </c>
      <c r="V1143" t="s">
        <v>147</v>
      </c>
      <c r="W1143" t="s">
        <v>148</v>
      </c>
      <c r="X1143" t="s">
        <v>45</v>
      </c>
      <c r="Y1143">
        <v>160</v>
      </c>
      <c r="Z1143" t="s">
        <v>133</v>
      </c>
      <c r="AA1143" t="s">
        <v>134</v>
      </c>
      <c r="AB1143" s="1"/>
      <c r="AC1143" t="s">
        <v>48</v>
      </c>
      <c r="AD1143" t="s">
        <v>48</v>
      </c>
      <c r="AE1143" t="s">
        <v>48</v>
      </c>
      <c r="AF1143" t="s">
        <v>48</v>
      </c>
      <c r="AG1143">
        <v>0</v>
      </c>
      <c r="AH1143" t="s">
        <v>142</v>
      </c>
    </row>
    <row r="1144" spans="1:34" x14ac:dyDescent="0.3">
      <c r="A1144" t="s">
        <v>1794</v>
      </c>
      <c r="B1144" t="s">
        <v>420</v>
      </c>
      <c r="C1144" t="s">
        <v>103</v>
      </c>
      <c r="D1144" t="s">
        <v>130</v>
      </c>
      <c r="E1144" s="1">
        <v>45736</v>
      </c>
      <c r="F1144" s="1">
        <v>45886</v>
      </c>
      <c r="G1144" t="s">
        <v>41</v>
      </c>
      <c r="H1144">
        <v>8935</v>
      </c>
      <c r="I1144" t="s">
        <v>39</v>
      </c>
      <c r="J1144" t="b">
        <v>0</v>
      </c>
      <c r="K1144">
        <v>150</v>
      </c>
      <c r="L1144">
        <v>8</v>
      </c>
      <c r="M1144">
        <v>2025</v>
      </c>
      <c r="N1144">
        <v>6</v>
      </c>
      <c r="O1144">
        <v>3</v>
      </c>
      <c r="P1144">
        <v>2025</v>
      </c>
      <c r="Q1144">
        <v>3</v>
      </c>
      <c r="R1144" t="s">
        <v>66</v>
      </c>
      <c r="S1144" t="s">
        <v>41</v>
      </c>
      <c r="T1144" t="s">
        <v>42</v>
      </c>
      <c r="U1144" t="s">
        <v>40</v>
      </c>
      <c r="V1144" t="s">
        <v>105</v>
      </c>
      <c r="W1144" t="s">
        <v>106</v>
      </c>
      <c r="X1144" t="s">
        <v>45</v>
      </c>
      <c r="Y1144">
        <v>140</v>
      </c>
      <c r="Z1144" t="s">
        <v>133</v>
      </c>
      <c r="AA1144" t="s">
        <v>134</v>
      </c>
      <c r="AB1144" s="1">
        <v>45886</v>
      </c>
      <c r="AC1144" t="s">
        <v>66</v>
      </c>
      <c r="AD1144" t="s">
        <v>40</v>
      </c>
      <c r="AE1144" t="s">
        <v>86</v>
      </c>
      <c r="AF1144" t="s">
        <v>40</v>
      </c>
      <c r="AG1144">
        <v>0</v>
      </c>
      <c r="AH1144" t="s">
        <v>49</v>
      </c>
    </row>
    <row r="1145" spans="1:34" x14ac:dyDescent="0.3">
      <c r="A1145" t="s">
        <v>1795</v>
      </c>
      <c r="B1145" t="s">
        <v>1796</v>
      </c>
      <c r="C1145" t="s">
        <v>52</v>
      </c>
      <c r="D1145" t="s">
        <v>130</v>
      </c>
      <c r="E1145" s="1">
        <v>45847</v>
      </c>
      <c r="F1145" s="1">
        <v>45854</v>
      </c>
      <c r="G1145" t="s">
        <v>64</v>
      </c>
      <c r="H1145">
        <v>3400</v>
      </c>
      <c r="I1145" t="s">
        <v>65</v>
      </c>
      <c r="J1145" t="b">
        <v>0</v>
      </c>
      <c r="K1145">
        <v>7</v>
      </c>
      <c r="L1145">
        <v>7</v>
      </c>
      <c r="M1145">
        <v>2025</v>
      </c>
      <c r="N1145">
        <v>2</v>
      </c>
      <c r="O1145">
        <v>7</v>
      </c>
      <c r="P1145">
        <v>2025</v>
      </c>
      <c r="Q1145">
        <v>2</v>
      </c>
      <c r="R1145" t="s">
        <v>40</v>
      </c>
      <c r="S1145" t="s">
        <v>45</v>
      </c>
      <c r="T1145" t="s">
        <v>42</v>
      </c>
      <c r="U1145" t="s">
        <v>40</v>
      </c>
      <c r="V1145" t="s">
        <v>56</v>
      </c>
      <c r="W1145" t="s">
        <v>57</v>
      </c>
      <c r="X1145" t="s">
        <v>45</v>
      </c>
      <c r="Y1145">
        <v>120</v>
      </c>
      <c r="Z1145" t="s">
        <v>133</v>
      </c>
      <c r="AA1145" t="s">
        <v>134</v>
      </c>
      <c r="AB1145" s="1">
        <v>45854</v>
      </c>
      <c r="AC1145" t="s">
        <v>40</v>
      </c>
      <c r="AD1145" t="s">
        <v>40</v>
      </c>
      <c r="AE1145" t="s">
        <v>86</v>
      </c>
      <c r="AF1145" t="s">
        <v>40</v>
      </c>
      <c r="AG1145">
        <v>0</v>
      </c>
      <c r="AH1145" t="s">
        <v>100</v>
      </c>
    </row>
    <row r="1146" spans="1:34" x14ac:dyDescent="0.3">
      <c r="A1146" t="s">
        <v>1797</v>
      </c>
      <c r="B1146" t="s">
        <v>336</v>
      </c>
      <c r="C1146" t="s">
        <v>52</v>
      </c>
      <c r="D1146" t="s">
        <v>90</v>
      </c>
      <c r="E1146" s="1">
        <v>46044</v>
      </c>
      <c r="F1146" s="1">
        <v>46058</v>
      </c>
      <c r="G1146" t="s">
        <v>41</v>
      </c>
      <c r="H1146">
        <v>5490</v>
      </c>
      <c r="I1146" t="s">
        <v>65</v>
      </c>
      <c r="J1146" t="b">
        <v>0</v>
      </c>
      <c r="K1146">
        <v>14</v>
      </c>
      <c r="L1146">
        <v>2</v>
      </c>
      <c r="M1146">
        <v>2026</v>
      </c>
      <c r="N1146">
        <v>3</v>
      </c>
      <c r="O1146">
        <v>1</v>
      </c>
      <c r="P1146">
        <v>2026</v>
      </c>
      <c r="Q1146">
        <v>3</v>
      </c>
      <c r="R1146" t="s">
        <v>40</v>
      </c>
      <c r="S1146" t="s">
        <v>55</v>
      </c>
      <c r="T1146" t="s">
        <v>42</v>
      </c>
      <c r="U1146" t="s">
        <v>40</v>
      </c>
      <c r="V1146" t="s">
        <v>56</v>
      </c>
      <c r="W1146" t="s">
        <v>57</v>
      </c>
      <c r="X1146" t="s">
        <v>45</v>
      </c>
      <c r="Y1146">
        <v>120</v>
      </c>
      <c r="Z1146" t="s">
        <v>93</v>
      </c>
      <c r="AA1146" t="s">
        <v>94</v>
      </c>
      <c r="AB1146" s="1">
        <v>46058</v>
      </c>
      <c r="AC1146" t="s">
        <v>40</v>
      </c>
      <c r="AD1146" t="s">
        <v>40</v>
      </c>
      <c r="AE1146" t="s">
        <v>60</v>
      </c>
      <c r="AF1146" t="s">
        <v>40</v>
      </c>
      <c r="AG1146">
        <v>0</v>
      </c>
      <c r="AH1146" t="s">
        <v>70</v>
      </c>
    </row>
    <row r="1147" spans="1:34" x14ac:dyDescent="0.3">
      <c r="A1147" t="s">
        <v>1798</v>
      </c>
      <c r="B1147" t="s">
        <v>1150</v>
      </c>
      <c r="C1147" t="s">
        <v>129</v>
      </c>
      <c r="D1147" t="s">
        <v>90</v>
      </c>
      <c r="E1147" s="1">
        <v>46059</v>
      </c>
      <c r="F1147" s="1">
        <v>46073</v>
      </c>
      <c r="G1147" t="s">
        <v>81</v>
      </c>
      <c r="H1147">
        <v>7124</v>
      </c>
      <c r="I1147" t="s">
        <v>65</v>
      </c>
      <c r="J1147" t="b">
        <v>0</v>
      </c>
      <c r="K1147">
        <v>14</v>
      </c>
      <c r="L1147">
        <v>2</v>
      </c>
      <c r="M1147">
        <v>2026</v>
      </c>
      <c r="N1147">
        <v>4</v>
      </c>
      <c r="O1147">
        <v>2</v>
      </c>
      <c r="P1147">
        <v>2026</v>
      </c>
      <c r="Q1147">
        <v>4</v>
      </c>
      <c r="R1147" t="s">
        <v>40</v>
      </c>
      <c r="S1147" t="s">
        <v>41</v>
      </c>
      <c r="T1147" t="s">
        <v>42</v>
      </c>
      <c r="U1147" t="s">
        <v>40</v>
      </c>
      <c r="V1147" t="s">
        <v>131</v>
      </c>
      <c r="W1147" t="s">
        <v>132</v>
      </c>
      <c r="X1147" t="s">
        <v>45</v>
      </c>
      <c r="Y1147">
        <v>110</v>
      </c>
      <c r="Z1147" t="s">
        <v>93</v>
      </c>
      <c r="AA1147" t="s">
        <v>94</v>
      </c>
      <c r="AB1147" s="1">
        <v>46073</v>
      </c>
      <c r="AC1147" t="s">
        <v>40</v>
      </c>
      <c r="AD1147" t="s">
        <v>40</v>
      </c>
      <c r="AE1147" t="s">
        <v>60</v>
      </c>
      <c r="AF1147" t="s">
        <v>40</v>
      </c>
      <c r="AG1147">
        <v>0</v>
      </c>
      <c r="AH1147" t="s">
        <v>70</v>
      </c>
    </row>
    <row r="1148" spans="1:34" x14ac:dyDescent="0.3">
      <c r="A1148" t="s">
        <v>1799</v>
      </c>
      <c r="B1148" t="s">
        <v>479</v>
      </c>
      <c r="C1148" t="s">
        <v>169</v>
      </c>
      <c r="D1148" t="s">
        <v>130</v>
      </c>
      <c r="E1148" s="1">
        <v>46210</v>
      </c>
      <c r="F1148" s="1">
        <v>46217</v>
      </c>
      <c r="G1148" t="s">
        <v>38</v>
      </c>
      <c r="H1148">
        <v>5455</v>
      </c>
      <c r="I1148" t="s">
        <v>212</v>
      </c>
      <c r="J1148" t="b">
        <v>0</v>
      </c>
      <c r="K1148">
        <v>7</v>
      </c>
      <c r="L1148">
        <v>7</v>
      </c>
      <c r="M1148">
        <v>2026</v>
      </c>
      <c r="N1148">
        <v>1</v>
      </c>
      <c r="O1148">
        <v>7</v>
      </c>
      <c r="P1148">
        <v>2026</v>
      </c>
      <c r="Q1148">
        <v>1</v>
      </c>
      <c r="R1148" t="s">
        <v>40</v>
      </c>
      <c r="S1148" t="s">
        <v>55</v>
      </c>
      <c r="T1148" t="s">
        <v>42</v>
      </c>
      <c r="U1148" t="s">
        <v>66</v>
      </c>
      <c r="V1148" t="s">
        <v>170</v>
      </c>
      <c r="W1148" t="s">
        <v>171</v>
      </c>
      <c r="X1148" t="s">
        <v>126</v>
      </c>
      <c r="Y1148">
        <v>90</v>
      </c>
      <c r="Z1148" t="s">
        <v>133</v>
      </c>
      <c r="AA1148" t="s">
        <v>134</v>
      </c>
      <c r="AB1148" s="1">
        <v>46217</v>
      </c>
      <c r="AC1148" t="s">
        <v>40</v>
      </c>
      <c r="AD1148" t="s">
        <v>40</v>
      </c>
      <c r="AE1148" t="s">
        <v>86</v>
      </c>
      <c r="AF1148" t="s">
        <v>40</v>
      </c>
      <c r="AG1148">
        <v>0</v>
      </c>
      <c r="AH1148" t="s">
        <v>100</v>
      </c>
    </row>
    <row r="1149" spans="1:34" x14ac:dyDescent="0.3">
      <c r="A1149" t="s">
        <v>1800</v>
      </c>
      <c r="B1149" t="s">
        <v>1039</v>
      </c>
      <c r="C1149" t="s">
        <v>97</v>
      </c>
      <c r="D1149" t="s">
        <v>37</v>
      </c>
      <c r="E1149" s="1">
        <v>45819</v>
      </c>
      <c r="F1149" s="1">
        <v>45969</v>
      </c>
      <c r="G1149" t="s">
        <v>38</v>
      </c>
      <c r="H1149">
        <v>5348</v>
      </c>
      <c r="I1149" t="s">
        <v>54</v>
      </c>
      <c r="J1149" t="b">
        <v>0</v>
      </c>
      <c r="K1149">
        <v>150</v>
      </c>
      <c r="L1149">
        <v>11</v>
      </c>
      <c r="M1149">
        <v>2025</v>
      </c>
      <c r="N1149">
        <v>5</v>
      </c>
      <c r="O1149">
        <v>6</v>
      </c>
      <c r="P1149">
        <v>2025</v>
      </c>
      <c r="Q1149">
        <v>2</v>
      </c>
      <c r="R1149" t="s">
        <v>66</v>
      </c>
      <c r="S1149" t="s">
        <v>55</v>
      </c>
      <c r="T1149" t="s">
        <v>42</v>
      </c>
      <c r="U1149" t="s">
        <v>40</v>
      </c>
      <c r="V1149" t="s">
        <v>98</v>
      </c>
      <c r="W1149" t="s">
        <v>99</v>
      </c>
      <c r="X1149" t="s">
        <v>76</v>
      </c>
      <c r="Y1149">
        <v>80</v>
      </c>
      <c r="Z1149" t="s">
        <v>46</v>
      </c>
      <c r="AA1149" t="s">
        <v>47</v>
      </c>
      <c r="AB1149" s="1">
        <v>45969</v>
      </c>
      <c r="AC1149" t="s">
        <v>66</v>
      </c>
      <c r="AD1149" t="s">
        <v>40</v>
      </c>
      <c r="AE1149" t="s">
        <v>86</v>
      </c>
      <c r="AF1149" t="s">
        <v>40</v>
      </c>
      <c r="AG1149">
        <v>1</v>
      </c>
      <c r="AH1149" t="s">
        <v>49</v>
      </c>
    </row>
    <row r="1150" spans="1:34" x14ac:dyDescent="0.3">
      <c r="A1150" t="s">
        <v>1801</v>
      </c>
      <c r="B1150" t="s">
        <v>567</v>
      </c>
      <c r="C1150" t="s">
        <v>52</v>
      </c>
      <c r="D1150" t="s">
        <v>37</v>
      </c>
      <c r="E1150" s="1">
        <v>45959</v>
      </c>
      <c r="F1150" s="1">
        <v>45962</v>
      </c>
      <c r="G1150" t="s">
        <v>41</v>
      </c>
      <c r="H1150">
        <v>5087</v>
      </c>
      <c r="I1150" t="s">
        <v>39</v>
      </c>
      <c r="J1150" t="b">
        <v>0</v>
      </c>
      <c r="K1150">
        <v>3</v>
      </c>
      <c r="L1150">
        <v>11</v>
      </c>
      <c r="M1150">
        <v>2025</v>
      </c>
      <c r="N1150">
        <v>5</v>
      </c>
      <c r="O1150">
        <v>10</v>
      </c>
      <c r="P1150">
        <v>2025</v>
      </c>
      <c r="Q1150">
        <v>2</v>
      </c>
      <c r="R1150" t="s">
        <v>66</v>
      </c>
      <c r="S1150" t="s">
        <v>45</v>
      </c>
      <c r="T1150" t="s">
        <v>42</v>
      </c>
      <c r="U1150" t="s">
        <v>40</v>
      </c>
      <c r="V1150" t="s">
        <v>56</v>
      </c>
      <c r="W1150" t="s">
        <v>57</v>
      </c>
      <c r="X1150" t="s">
        <v>45</v>
      </c>
      <c r="Y1150">
        <v>120</v>
      </c>
      <c r="Z1150" t="s">
        <v>46</v>
      </c>
      <c r="AA1150" t="s">
        <v>47</v>
      </c>
      <c r="AB1150" s="1">
        <v>45962</v>
      </c>
      <c r="AC1150" t="s">
        <v>66</v>
      </c>
      <c r="AD1150" t="s">
        <v>40</v>
      </c>
      <c r="AE1150" t="s">
        <v>86</v>
      </c>
      <c r="AF1150" t="s">
        <v>40</v>
      </c>
      <c r="AG1150">
        <v>0</v>
      </c>
      <c r="AH1150" t="s">
        <v>100</v>
      </c>
    </row>
    <row r="1151" spans="1:34" x14ac:dyDescent="0.3">
      <c r="A1151" t="s">
        <v>1802</v>
      </c>
      <c r="B1151" t="s">
        <v>320</v>
      </c>
      <c r="C1151" t="s">
        <v>103</v>
      </c>
      <c r="D1151" t="s">
        <v>104</v>
      </c>
      <c r="E1151" s="1">
        <v>45705</v>
      </c>
      <c r="F1151" s="1">
        <v>45735</v>
      </c>
      <c r="G1151" t="s">
        <v>64</v>
      </c>
      <c r="H1151">
        <v>3728</v>
      </c>
      <c r="I1151" t="s">
        <v>212</v>
      </c>
      <c r="J1151" t="b">
        <v>0</v>
      </c>
      <c r="K1151">
        <v>30</v>
      </c>
      <c r="L1151">
        <v>3</v>
      </c>
      <c r="M1151">
        <v>2025</v>
      </c>
      <c r="N1151">
        <v>2</v>
      </c>
      <c r="O1151">
        <v>2</v>
      </c>
      <c r="P1151">
        <v>2025</v>
      </c>
      <c r="Q1151">
        <v>0</v>
      </c>
      <c r="R1151" t="s">
        <v>40</v>
      </c>
      <c r="S1151" t="s">
        <v>67</v>
      </c>
      <c r="T1151" t="s">
        <v>42</v>
      </c>
      <c r="U1151" t="s">
        <v>40</v>
      </c>
      <c r="V1151" t="s">
        <v>105</v>
      </c>
      <c r="W1151" t="s">
        <v>106</v>
      </c>
      <c r="X1151" t="s">
        <v>45</v>
      </c>
      <c r="Y1151">
        <v>140</v>
      </c>
      <c r="Z1151" t="s">
        <v>107</v>
      </c>
      <c r="AA1151" t="s">
        <v>108</v>
      </c>
      <c r="AB1151" s="1">
        <v>45735</v>
      </c>
      <c r="AC1151" t="s">
        <v>40</v>
      </c>
      <c r="AD1151" t="s">
        <v>40</v>
      </c>
      <c r="AE1151" t="s">
        <v>60</v>
      </c>
      <c r="AF1151" t="s">
        <v>40</v>
      </c>
      <c r="AG1151">
        <v>0</v>
      </c>
      <c r="AH1151" t="s">
        <v>70</v>
      </c>
    </row>
    <row r="1152" spans="1:34" x14ac:dyDescent="0.3">
      <c r="A1152" t="s">
        <v>1803</v>
      </c>
      <c r="B1152" t="s">
        <v>1804</v>
      </c>
      <c r="C1152" t="s">
        <v>146</v>
      </c>
      <c r="D1152" t="s">
        <v>90</v>
      </c>
      <c r="E1152" s="1">
        <v>46027</v>
      </c>
      <c r="F1152" s="1">
        <v>46041</v>
      </c>
      <c r="G1152" t="s">
        <v>64</v>
      </c>
      <c r="H1152">
        <v>2991</v>
      </c>
      <c r="I1152" t="s">
        <v>39</v>
      </c>
      <c r="J1152" t="b">
        <v>0</v>
      </c>
      <c r="K1152">
        <v>14</v>
      </c>
      <c r="L1152">
        <v>1</v>
      </c>
      <c r="M1152">
        <v>2026</v>
      </c>
      <c r="N1152">
        <v>0</v>
      </c>
      <c r="O1152">
        <v>1</v>
      </c>
      <c r="P1152">
        <v>2026</v>
      </c>
      <c r="Q1152">
        <v>0</v>
      </c>
      <c r="R1152" t="s">
        <v>40</v>
      </c>
      <c r="S1152" t="s">
        <v>55</v>
      </c>
      <c r="T1152" t="s">
        <v>42</v>
      </c>
      <c r="U1152" t="s">
        <v>40</v>
      </c>
      <c r="V1152" t="s">
        <v>147</v>
      </c>
      <c r="W1152" t="s">
        <v>148</v>
      </c>
      <c r="X1152" t="s">
        <v>45</v>
      </c>
      <c r="Y1152">
        <v>160</v>
      </c>
      <c r="Z1152" t="s">
        <v>93</v>
      </c>
      <c r="AA1152" t="s">
        <v>94</v>
      </c>
      <c r="AB1152" s="1">
        <v>46041</v>
      </c>
      <c r="AC1152" t="s">
        <v>40</v>
      </c>
      <c r="AD1152" t="s">
        <v>40</v>
      </c>
      <c r="AE1152" t="s">
        <v>86</v>
      </c>
      <c r="AF1152" t="s">
        <v>40</v>
      </c>
      <c r="AG1152">
        <v>0</v>
      </c>
      <c r="AH1152" t="s">
        <v>70</v>
      </c>
    </row>
    <row r="1153" spans="1:34" x14ac:dyDescent="0.3">
      <c r="A1153" t="s">
        <v>1805</v>
      </c>
      <c r="B1153" t="s">
        <v>471</v>
      </c>
      <c r="C1153" t="s">
        <v>73</v>
      </c>
      <c r="D1153" t="s">
        <v>53</v>
      </c>
      <c r="E1153" s="1">
        <v>46006</v>
      </c>
      <c r="F1153" s="1">
        <v>46020</v>
      </c>
      <c r="G1153" t="s">
        <v>41</v>
      </c>
      <c r="H1153">
        <v>7343</v>
      </c>
      <c r="I1153" t="s">
        <v>39</v>
      </c>
      <c r="J1153" t="b">
        <v>0</v>
      </c>
      <c r="K1153">
        <v>14</v>
      </c>
      <c r="L1153">
        <v>12</v>
      </c>
      <c r="M1153">
        <v>2025</v>
      </c>
      <c r="N1153">
        <v>0</v>
      </c>
      <c r="O1153">
        <v>12</v>
      </c>
      <c r="P1153">
        <v>2025</v>
      </c>
      <c r="Q1153">
        <v>0</v>
      </c>
      <c r="R1153" t="s">
        <v>40</v>
      </c>
      <c r="S1153" t="s">
        <v>45</v>
      </c>
      <c r="T1153" t="s">
        <v>113</v>
      </c>
      <c r="U1153" t="s">
        <v>66</v>
      </c>
      <c r="V1153" t="s">
        <v>74</v>
      </c>
      <c r="W1153" t="s">
        <v>75</v>
      </c>
      <c r="X1153" t="s">
        <v>76</v>
      </c>
      <c r="Y1153">
        <v>75</v>
      </c>
      <c r="Z1153" t="s">
        <v>58</v>
      </c>
      <c r="AA1153" t="s">
        <v>59</v>
      </c>
      <c r="AB1153" s="1">
        <v>46020</v>
      </c>
      <c r="AC1153" t="s">
        <v>40</v>
      </c>
      <c r="AD1153" t="s">
        <v>40</v>
      </c>
      <c r="AE1153" t="s">
        <v>69</v>
      </c>
      <c r="AF1153" t="s">
        <v>40</v>
      </c>
      <c r="AG1153">
        <v>0</v>
      </c>
      <c r="AH1153" t="s">
        <v>70</v>
      </c>
    </row>
    <row r="1154" spans="1:34" x14ac:dyDescent="0.3">
      <c r="A1154" t="s">
        <v>1806</v>
      </c>
      <c r="B1154" t="s">
        <v>1161</v>
      </c>
      <c r="C1154" t="s">
        <v>129</v>
      </c>
      <c r="D1154" t="s">
        <v>90</v>
      </c>
      <c r="E1154" s="1">
        <v>46294</v>
      </c>
      <c r="F1154" s="1">
        <v>46301</v>
      </c>
      <c r="G1154" t="s">
        <v>81</v>
      </c>
      <c r="H1154">
        <v>7448</v>
      </c>
      <c r="I1154" t="s">
        <v>65</v>
      </c>
      <c r="J1154" t="b">
        <v>0</v>
      </c>
      <c r="K1154">
        <v>7</v>
      </c>
      <c r="L1154">
        <v>10</v>
      </c>
      <c r="M1154">
        <v>2026</v>
      </c>
      <c r="N1154">
        <v>1</v>
      </c>
      <c r="O1154">
        <v>9</v>
      </c>
      <c r="P1154">
        <v>2026</v>
      </c>
      <c r="Q1154">
        <v>1</v>
      </c>
      <c r="R1154" t="s">
        <v>40</v>
      </c>
      <c r="S1154" t="s">
        <v>45</v>
      </c>
      <c r="T1154" t="s">
        <v>68</v>
      </c>
      <c r="U1154" t="s">
        <v>40</v>
      </c>
      <c r="V1154" t="s">
        <v>131</v>
      </c>
      <c r="W1154" t="s">
        <v>132</v>
      </c>
      <c r="X1154" t="s">
        <v>45</v>
      </c>
      <c r="Y1154">
        <v>110</v>
      </c>
      <c r="Z1154" t="s">
        <v>93</v>
      </c>
      <c r="AA1154" t="s">
        <v>94</v>
      </c>
      <c r="AB1154" s="1">
        <v>46301</v>
      </c>
      <c r="AC1154" t="s">
        <v>40</v>
      </c>
      <c r="AD1154" t="s">
        <v>40</v>
      </c>
      <c r="AE1154" t="s">
        <v>60</v>
      </c>
      <c r="AF1154" t="s">
        <v>40</v>
      </c>
      <c r="AG1154">
        <v>0</v>
      </c>
      <c r="AH1154" t="s">
        <v>100</v>
      </c>
    </row>
    <row r="1155" spans="1:34" x14ac:dyDescent="0.3">
      <c r="A1155" t="s">
        <v>1807</v>
      </c>
      <c r="B1155" t="s">
        <v>1808</v>
      </c>
      <c r="C1155" t="s">
        <v>73</v>
      </c>
      <c r="D1155" t="s">
        <v>53</v>
      </c>
      <c r="E1155" s="1">
        <v>45963</v>
      </c>
      <c r="F1155" s="1">
        <v>45970</v>
      </c>
      <c r="G1155" t="s">
        <v>38</v>
      </c>
      <c r="H1155">
        <v>4368</v>
      </c>
      <c r="I1155" t="s">
        <v>39</v>
      </c>
      <c r="J1155" t="b">
        <v>0</v>
      </c>
      <c r="K1155">
        <v>7</v>
      </c>
      <c r="L1155">
        <v>11</v>
      </c>
      <c r="M1155">
        <v>2025</v>
      </c>
      <c r="N1155">
        <v>6</v>
      </c>
      <c r="O1155">
        <v>11</v>
      </c>
      <c r="P1155">
        <v>2025</v>
      </c>
      <c r="Q1155">
        <v>6</v>
      </c>
      <c r="R1155" t="s">
        <v>66</v>
      </c>
      <c r="S1155" t="s">
        <v>55</v>
      </c>
      <c r="T1155" t="s">
        <v>42</v>
      </c>
      <c r="U1155" t="s">
        <v>66</v>
      </c>
      <c r="V1155" t="s">
        <v>74</v>
      </c>
      <c r="W1155" t="s">
        <v>75</v>
      </c>
      <c r="X1155" t="s">
        <v>76</v>
      </c>
      <c r="Y1155">
        <v>75</v>
      </c>
      <c r="Z1155" t="s">
        <v>58</v>
      </c>
      <c r="AA1155" t="s">
        <v>59</v>
      </c>
      <c r="AB1155" s="1">
        <v>45970</v>
      </c>
      <c r="AC1155" t="s">
        <v>66</v>
      </c>
      <c r="AD1155" t="s">
        <v>40</v>
      </c>
      <c r="AE1155" t="s">
        <v>86</v>
      </c>
      <c r="AF1155" t="s">
        <v>40</v>
      </c>
      <c r="AG1155">
        <v>0</v>
      </c>
      <c r="AH1155" t="s">
        <v>100</v>
      </c>
    </row>
    <row r="1156" spans="1:34" x14ac:dyDescent="0.3">
      <c r="A1156" t="s">
        <v>1809</v>
      </c>
      <c r="B1156" t="s">
        <v>1810</v>
      </c>
      <c r="C1156" t="s">
        <v>122</v>
      </c>
      <c r="D1156" t="s">
        <v>37</v>
      </c>
      <c r="E1156" s="1">
        <v>45676</v>
      </c>
      <c r="F1156" s="1">
        <v>45706</v>
      </c>
      <c r="G1156" t="s">
        <v>64</v>
      </c>
      <c r="H1156">
        <v>2954</v>
      </c>
      <c r="I1156" t="s">
        <v>39</v>
      </c>
      <c r="J1156" t="b">
        <v>0</v>
      </c>
      <c r="K1156">
        <v>30</v>
      </c>
      <c r="L1156">
        <v>2</v>
      </c>
      <c r="M1156">
        <v>2025</v>
      </c>
      <c r="N1156">
        <v>1</v>
      </c>
      <c r="O1156">
        <v>1</v>
      </c>
      <c r="P1156">
        <v>2025</v>
      </c>
      <c r="Q1156">
        <v>6</v>
      </c>
      <c r="R1156" t="s">
        <v>40</v>
      </c>
      <c r="S1156" t="s">
        <v>55</v>
      </c>
      <c r="T1156" t="s">
        <v>42</v>
      </c>
      <c r="U1156" t="s">
        <v>66</v>
      </c>
      <c r="V1156" t="s">
        <v>124</v>
      </c>
      <c r="W1156" t="s">
        <v>125</v>
      </c>
      <c r="X1156" t="s">
        <v>126</v>
      </c>
      <c r="Y1156">
        <v>85</v>
      </c>
      <c r="Z1156" t="s">
        <v>46</v>
      </c>
      <c r="AA1156" t="s">
        <v>47</v>
      </c>
      <c r="AB1156" s="1">
        <v>45706</v>
      </c>
      <c r="AC1156" t="s">
        <v>40</v>
      </c>
      <c r="AD1156" t="s">
        <v>40</v>
      </c>
      <c r="AE1156" t="s">
        <v>60</v>
      </c>
      <c r="AF1156" t="s">
        <v>40</v>
      </c>
      <c r="AG1156">
        <v>0</v>
      </c>
      <c r="AH1156" t="s">
        <v>70</v>
      </c>
    </row>
    <row r="1157" spans="1:34" x14ac:dyDescent="0.3">
      <c r="A1157" t="s">
        <v>1811</v>
      </c>
      <c r="B1157" t="s">
        <v>1812</v>
      </c>
      <c r="C1157" t="s">
        <v>89</v>
      </c>
      <c r="D1157" t="s">
        <v>104</v>
      </c>
      <c r="E1157" s="1">
        <v>45919</v>
      </c>
      <c r="F1157" s="1">
        <v>45949</v>
      </c>
      <c r="G1157" t="s">
        <v>38</v>
      </c>
      <c r="H1157">
        <v>5948</v>
      </c>
      <c r="I1157" t="s">
        <v>39</v>
      </c>
      <c r="J1157" t="b">
        <v>0</v>
      </c>
      <c r="K1157">
        <v>30</v>
      </c>
      <c r="L1157">
        <v>10</v>
      </c>
      <c r="M1157">
        <v>2025</v>
      </c>
      <c r="N1157">
        <v>6</v>
      </c>
      <c r="O1157">
        <v>9</v>
      </c>
      <c r="P1157">
        <v>2025</v>
      </c>
      <c r="Q1157">
        <v>4</v>
      </c>
      <c r="R1157" t="s">
        <v>66</v>
      </c>
      <c r="S1157" t="s">
        <v>41</v>
      </c>
      <c r="T1157" t="s">
        <v>42</v>
      </c>
      <c r="U1157" t="s">
        <v>40</v>
      </c>
      <c r="V1157" t="s">
        <v>91</v>
      </c>
      <c r="W1157" t="s">
        <v>92</v>
      </c>
      <c r="X1157" t="s">
        <v>76</v>
      </c>
      <c r="Y1157">
        <v>65</v>
      </c>
      <c r="Z1157" t="s">
        <v>107</v>
      </c>
      <c r="AA1157" t="s">
        <v>108</v>
      </c>
      <c r="AB1157" s="1">
        <v>45949</v>
      </c>
      <c r="AC1157" t="s">
        <v>66</v>
      </c>
      <c r="AD1157" t="s">
        <v>40</v>
      </c>
      <c r="AE1157" t="s">
        <v>60</v>
      </c>
      <c r="AF1157" t="s">
        <v>40</v>
      </c>
      <c r="AG1157">
        <v>0</v>
      </c>
      <c r="AH1157" t="s">
        <v>70</v>
      </c>
    </row>
    <row r="1158" spans="1:34" x14ac:dyDescent="0.3">
      <c r="A1158" t="s">
        <v>1813</v>
      </c>
      <c r="B1158" t="s">
        <v>35</v>
      </c>
      <c r="C1158" t="s">
        <v>129</v>
      </c>
      <c r="D1158" t="s">
        <v>53</v>
      </c>
      <c r="E1158" s="1">
        <v>46223</v>
      </c>
      <c r="F1158" s="1">
        <v>46253</v>
      </c>
      <c r="G1158" t="s">
        <v>41</v>
      </c>
      <c r="H1158">
        <v>5594</v>
      </c>
      <c r="I1158" t="s">
        <v>39</v>
      </c>
      <c r="J1158" t="b">
        <v>0</v>
      </c>
      <c r="K1158">
        <v>30</v>
      </c>
      <c r="L1158">
        <v>8</v>
      </c>
      <c r="M1158">
        <v>2026</v>
      </c>
      <c r="N1158">
        <v>2</v>
      </c>
      <c r="O1158">
        <v>7</v>
      </c>
      <c r="P1158">
        <v>2026</v>
      </c>
      <c r="Q1158">
        <v>0</v>
      </c>
      <c r="R1158" t="s">
        <v>40</v>
      </c>
      <c r="S1158" t="s">
        <v>41</v>
      </c>
      <c r="T1158" t="s">
        <v>42</v>
      </c>
      <c r="U1158" t="s">
        <v>40</v>
      </c>
      <c r="V1158" t="s">
        <v>131</v>
      </c>
      <c r="W1158" t="s">
        <v>132</v>
      </c>
      <c r="X1158" t="s">
        <v>45</v>
      </c>
      <c r="Y1158">
        <v>110</v>
      </c>
      <c r="Z1158" t="s">
        <v>58</v>
      </c>
      <c r="AA1158" t="s">
        <v>59</v>
      </c>
      <c r="AB1158" s="1">
        <v>46253</v>
      </c>
      <c r="AC1158" t="s">
        <v>40</v>
      </c>
      <c r="AD1158" t="s">
        <v>40</v>
      </c>
      <c r="AE1158" t="s">
        <v>86</v>
      </c>
      <c r="AF1158" t="s">
        <v>40</v>
      </c>
      <c r="AG1158">
        <v>0</v>
      </c>
      <c r="AH1158" t="s">
        <v>70</v>
      </c>
    </row>
    <row r="1159" spans="1:34" x14ac:dyDescent="0.3">
      <c r="A1159" t="s">
        <v>1814</v>
      </c>
      <c r="B1159" t="s">
        <v>612</v>
      </c>
      <c r="C1159" t="s">
        <v>73</v>
      </c>
      <c r="D1159" t="s">
        <v>90</v>
      </c>
      <c r="E1159" s="1">
        <v>45996</v>
      </c>
      <c r="F1159" s="1">
        <v>46026</v>
      </c>
      <c r="G1159" t="s">
        <v>81</v>
      </c>
      <c r="H1159">
        <v>9036</v>
      </c>
      <c r="I1159" t="s">
        <v>39</v>
      </c>
      <c r="J1159" t="b">
        <v>0</v>
      </c>
      <c r="K1159">
        <v>30</v>
      </c>
      <c r="L1159">
        <v>1</v>
      </c>
      <c r="M1159">
        <v>2026</v>
      </c>
      <c r="N1159">
        <v>6</v>
      </c>
      <c r="O1159">
        <v>12</v>
      </c>
      <c r="P1159">
        <v>2025</v>
      </c>
      <c r="Q1159">
        <v>4</v>
      </c>
      <c r="R1159" t="s">
        <v>66</v>
      </c>
      <c r="S1159" t="s">
        <v>41</v>
      </c>
      <c r="T1159" t="s">
        <v>42</v>
      </c>
      <c r="U1159" t="s">
        <v>66</v>
      </c>
      <c r="V1159" t="s">
        <v>74</v>
      </c>
      <c r="W1159" t="s">
        <v>75</v>
      </c>
      <c r="X1159" t="s">
        <v>76</v>
      </c>
      <c r="Y1159">
        <v>75</v>
      </c>
      <c r="Z1159" t="s">
        <v>93</v>
      </c>
      <c r="AA1159" t="s">
        <v>94</v>
      </c>
      <c r="AB1159" s="1">
        <v>46026</v>
      </c>
      <c r="AC1159" t="s">
        <v>66</v>
      </c>
      <c r="AD1159" t="s">
        <v>40</v>
      </c>
      <c r="AE1159" t="s">
        <v>86</v>
      </c>
      <c r="AF1159" t="s">
        <v>40</v>
      </c>
      <c r="AG1159">
        <v>0</v>
      </c>
      <c r="AH1159" t="s">
        <v>70</v>
      </c>
    </row>
    <row r="1160" spans="1:34" x14ac:dyDescent="0.3">
      <c r="A1160" t="s">
        <v>1815</v>
      </c>
      <c r="B1160" t="s">
        <v>471</v>
      </c>
      <c r="C1160" t="s">
        <v>73</v>
      </c>
      <c r="D1160" t="s">
        <v>130</v>
      </c>
      <c r="E1160" s="1">
        <v>45847</v>
      </c>
      <c r="F1160" s="1">
        <v>45947</v>
      </c>
      <c r="G1160" t="s">
        <v>38</v>
      </c>
      <c r="H1160">
        <v>4078</v>
      </c>
      <c r="I1160" t="s">
        <v>39</v>
      </c>
      <c r="J1160" t="b">
        <v>0</v>
      </c>
      <c r="K1160">
        <v>100</v>
      </c>
      <c r="L1160">
        <v>10</v>
      </c>
      <c r="M1160">
        <v>2025</v>
      </c>
      <c r="N1160">
        <v>4</v>
      </c>
      <c r="O1160">
        <v>7</v>
      </c>
      <c r="P1160">
        <v>2025</v>
      </c>
      <c r="Q1160">
        <v>2</v>
      </c>
      <c r="R1160" t="s">
        <v>40</v>
      </c>
      <c r="S1160" t="s">
        <v>45</v>
      </c>
      <c r="T1160" t="s">
        <v>113</v>
      </c>
      <c r="U1160" t="s">
        <v>66</v>
      </c>
      <c r="V1160" t="s">
        <v>74</v>
      </c>
      <c r="W1160" t="s">
        <v>75</v>
      </c>
      <c r="X1160" t="s">
        <v>76</v>
      </c>
      <c r="Y1160">
        <v>75</v>
      </c>
      <c r="Z1160" t="s">
        <v>133</v>
      </c>
      <c r="AA1160" t="s">
        <v>134</v>
      </c>
      <c r="AB1160" s="1">
        <v>45947</v>
      </c>
      <c r="AC1160" t="s">
        <v>40</v>
      </c>
      <c r="AD1160" t="s">
        <v>40</v>
      </c>
      <c r="AE1160" t="s">
        <v>60</v>
      </c>
      <c r="AF1160" t="s">
        <v>40</v>
      </c>
      <c r="AG1160">
        <v>0</v>
      </c>
      <c r="AH1160" t="s">
        <v>49</v>
      </c>
    </row>
    <row r="1161" spans="1:34" x14ac:dyDescent="0.3">
      <c r="A1161" t="s">
        <v>1816</v>
      </c>
      <c r="B1161" t="s">
        <v>1212</v>
      </c>
      <c r="C1161" t="s">
        <v>89</v>
      </c>
      <c r="D1161" t="s">
        <v>130</v>
      </c>
      <c r="E1161" s="1">
        <v>46229</v>
      </c>
      <c r="F1161" s="1">
        <v>46243</v>
      </c>
      <c r="G1161" t="s">
        <v>41</v>
      </c>
      <c r="H1161">
        <v>7629</v>
      </c>
      <c r="I1161" t="s">
        <v>39</v>
      </c>
      <c r="J1161" t="b">
        <v>0</v>
      </c>
      <c r="K1161">
        <v>14</v>
      </c>
      <c r="L1161">
        <v>8</v>
      </c>
      <c r="M1161">
        <v>2026</v>
      </c>
      <c r="N1161">
        <v>6</v>
      </c>
      <c r="O1161">
        <v>7</v>
      </c>
      <c r="P1161">
        <v>2026</v>
      </c>
      <c r="Q1161">
        <v>6</v>
      </c>
      <c r="R1161" t="s">
        <v>66</v>
      </c>
      <c r="S1161" t="s">
        <v>45</v>
      </c>
      <c r="T1161" t="s">
        <v>42</v>
      </c>
      <c r="U1161" t="s">
        <v>40</v>
      </c>
      <c r="V1161" t="s">
        <v>91</v>
      </c>
      <c r="W1161" t="s">
        <v>92</v>
      </c>
      <c r="X1161" t="s">
        <v>76</v>
      </c>
      <c r="Y1161">
        <v>65</v>
      </c>
      <c r="Z1161" t="s">
        <v>133</v>
      </c>
      <c r="AA1161" t="s">
        <v>134</v>
      </c>
      <c r="AB1161" s="1">
        <v>46243</v>
      </c>
      <c r="AC1161" t="s">
        <v>66</v>
      </c>
      <c r="AD1161" t="s">
        <v>40</v>
      </c>
      <c r="AE1161" t="s">
        <v>86</v>
      </c>
      <c r="AF1161" t="s">
        <v>40</v>
      </c>
      <c r="AG1161">
        <v>0</v>
      </c>
      <c r="AH1161" t="s">
        <v>70</v>
      </c>
    </row>
    <row r="1162" spans="1:34" x14ac:dyDescent="0.3">
      <c r="A1162" t="s">
        <v>1817</v>
      </c>
      <c r="B1162" t="s">
        <v>427</v>
      </c>
      <c r="C1162" t="s">
        <v>146</v>
      </c>
      <c r="D1162" t="s">
        <v>80</v>
      </c>
      <c r="E1162" s="1">
        <v>45883</v>
      </c>
      <c r="F1162" s="1">
        <v>45897</v>
      </c>
      <c r="G1162" t="s">
        <v>81</v>
      </c>
      <c r="H1162">
        <v>7634</v>
      </c>
      <c r="I1162" t="s">
        <v>65</v>
      </c>
      <c r="J1162" t="b">
        <v>0</v>
      </c>
      <c r="K1162">
        <v>14</v>
      </c>
      <c r="L1162">
        <v>8</v>
      </c>
      <c r="M1162">
        <v>2025</v>
      </c>
      <c r="N1162">
        <v>3</v>
      </c>
      <c r="O1162">
        <v>8</v>
      </c>
      <c r="P1162">
        <v>2025</v>
      </c>
      <c r="Q1162">
        <v>3</v>
      </c>
      <c r="R1162" t="s">
        <v>40</v>
      </c>
      <c r="S1162" t="s">
        <v>45</v>
      </c>
      <c r="T1162" t="s">
        <v>42</v>
      </c>
      <c r="U1162" t="s">
        <v>40</v>
      </c>
      <c r="V1162" t="s">
        <v>147</v>
      </c>
      <c r="W1162" t="s">
        <v>148</v>
      </c>
      <c r="X1162" t="s">
        <v>45</v>
      </c>
      <c r="Y1162">
        <v>160</v>
      </c>
      <c r="Z1162" t="s">
        <v>84</v>
      </c>
      <c r="AA1162" t="s">
        <v>85</v>
      </c>
      <c r="AB1162" s="1">
        <v>45897</v>
      </c>
      <c r="AC1162" t="s">
        <v>40</v>
      </c>
      <c r="AD1162" t="s">
        <v>40</v>
      </c>
      <c r="AE1162" t="s">
        <v>86</v>
      </c>
      <c r="AF1162" t="s">
        <v>40</v>
      </c>
      <c r="AG1162">
        <v>0</v>
      </c>
      <c r="AH1162" t="s">
        <v>70</v>
      </c>
    </row>
    <row r="1163" spans="1:34" x14ac:dyDescent="0.3">
      <c r="A1163" t="s">
        <v>1818</v>
      </c>
      <c r="B1163" t="s">
        <v>1396</v>
      </c>
      <c r="C1163" t="s">
        <v>52</v>
      </c>
      <c r="D1163" t="s">
        <v>53</v>
      </c>
      <c r="E1163" s="1">
        <v>46075</v>
      </c>
      <c r="F1163" s="1">
        <v>46175</v>
      </c>
      <c r="G1163" t="s">
        <v>64</v>
      </c>
      <c r="H1163">
        <v>4047</v>
      </c>
      <c r="I1163" t="s">
        <v>65</v>
      </c>
      <c r="J1163" t="b">
        <v>0</v>
      </c>
      <c r="K1163">
        <v>100</v>
      </c>
      <c r="L1163">
        <v>6</v>
      </c>
      <c r="M1163">
        <v>2026</v>
      </c>
      <c r="N1163">
        <v>1</v>
      </c>
      <c r="O1163">
        <v>2</v>
      </c>
      <c r="P1163">
        <v>2026</v>
      </c>
      <c r="Q1163">
        <v>6</v>
      </c>
      <c r="R1163" t="s">
        <v>40</v>
      </c>
      <c r="S1163" t="s">
        <v>55</v>
      </c>
      <c r="T1163" t="s">
        <v>286</v>
      </c>
      <c r="U1163" t="s">
        <v>40</v>
      </c>
      <c r="V1163" t="s">
        <v>56</v>
      </c>
      <c r="W1163" t="s">
        <v>57</v>
      </c>
      <c r="X1163" t="s">
        <v>45</v>
      </c>
      <c r="Y1163">
        <v>120</v>
      </c>
      <c r="Z1163" t="s">
        <v>58</v>
      </c>
      <c r="AA1163" t="s">
        <v>59</v>
      </c>
      <c r="AB1163" s="1">
        <v>46175</v>
      </c>
      <c r="AC1163" t="s">
        <v>40</v>
      </c>
      <c r="AD1163" t="s">
        <v>40</v>
      </c>
      <c r="AE1163" t="s">
        <v>60</v>
      </c>
      <c r="AF1163" t="s">
        <v>40</v>
      </c>
      <c r="AG1163">
        <v>0</v>
      </c>
      <c r="AH1163" t="s">
        <v>49</v>
      </c>
    </row>
    <row r="1164" spans="1:34" x14ac:dyDescent="0.3">
      <c r="A1164" t="s">
        <v>1819</v>
      </c>
      <c r="B1164" t="s">
        <v>775</v>
      </c>
      <c r="C1164" t="s">
        <v>103</v>
      </c>
      <c r="D1164" t="s">
        <v>80</v>
      </c>
      <c r="E1164" s="1">
        <v>46025</v>
      </c>
      <c r="F1164" s="1">
        <v>46055</v>
      </c>
      <c r="G1164" t="s">
        <v>38</v>
      </c>
      <c r="H1164">
        <v>4589</v>
      </c>
      <c r="I1164" t="s">
        <v>39</v>
      </c>
      <c r="J1164" t="b">
        <v>0</v>
      </c>
      <c r="K1164">
        <v>30</v>
      </c>
      <c r="L1164">
        <v>2</v>
      </c>
      <c r="M1164">
        <v>2026</v>
      </c>
      <c r="N1164">
        <v>0</v>
      </c>
      <c r="O1164">
        <v>1</v>
      </c>
      <c r="P1164">
        <v>2026</v>
      </c>
      <c r="Q1164">
        <v>5</v>
      </c>
      <c r="R1164" t="s">
        <v>40</v>
      </c>
      <c r="S1164" t="s">
        <v>67</v>
      </c>
      <c r="T1164" t="s">
        <v>113</v>
      </c>
      <c r="U1164" t="s">
        <v>40</v>
      </c>
      <c r="V1164" t="s">
        <v>105</v>
      </c>
      <c r="W1164" t="s">
        <v>106</v>
      </c>
      <c r="X1164" t="s">
        <v>45</v>
      </c>
      <c r="Y1164">
        <v>140</v>
      </c>
      <c r="Z1164" t="s">
        <v>84</v>
      </c>
      <c r="AA1164" t="s">
        <v>85</v>
      </c>
      <c r="AB1164" s="1">
        <v>46055</v>
      </c>
      <c r="AC1164" t="s">
        <v>40</v>
      </c>
      <c r="AD1164" t="s">
        <v>40</v>
      </c>
      <c r="AE1164" t="s">
        <v>60</v>
      </c>
      <c r="AF1164" t="s">
        <v>40</v>
      </c>
      <c r="AG1164">
        <v>0</v>
      </c>
      <c r="AH1164" t="s">
        <v>70</v>
      </c>
    </row>
    <row r="1165" spans="1:34" x14ac:dyDescent="0.3">
      <c r="A1165" t="s">
        <v>1820</v>
      </c>
      <c r="B1165" t="s">
        <v>496</v>
      </c>
      <c r="C1165" t="s">
        <v>36</v>
      </c>
      <c r="D1165" t="s">
        <v>90</v>
      </c>
      <c r="E1165" s="1">
        <v>45673</v>
      </c>
      <c r="F1165" s="1">
        <v>45703</v>
      </c>
      <c r="G1165" t="s">
        <v>41</v>
      </c>
      <c r="H1165">
        <v>8306</v>
      </c>
      <c r="I1165" t="s">
        <v>212</v>
      </c>
      <c r="J1165" t="b">
        <v>0</v>
      </c>
      <c r="K1165">
        <v>30</v>
      </c>
      <c r="L1165">
        <v>2</v>
      </c>
      <c r="M1165">
        <v>2025</v>
      </c>
      <c r="N1165">
        <v>5</v>
      </c>
      <c r="O1165">
        <v>1</v>
      </c>
      <c r="P1165">
        <v>2025</v>
      </c>
      <c r="Q1165">
        <v>3</v>
      </c>
      <c r="R1165" t="s">
        <v>66</v>
      </c>
      <c r="S1165" t="s">
        <v>67</v>
      </c>
      <c r="T1165" t="s">
        <v>68</v>
      </c>
      <c r="U1165" t="s">
        <v>66</v>
      </c>
      <c r="V1165" t="s">
        <v>43</v>
      </c>
      <c r="W1165" t="s">
        <v>44</v>
      </c>
      <c r="X1165" t="s">
        <v>45</v>
      </c>
      <c r="Y1165">
        <v>150</v>
      </c>
      <c r="Z1165" t="s">
        <v>93</v>
      </c>
      <c r="AA1165" t="s">
        <v>94</v>
      </c>
      <c r="AB1165" s="1">
        <v>45703</v>
      </c>
      <c r="AC1165" t="s">
        <v>66</v>
      </c>
      <c r="AD1165" t="s">
        <v>40</v>
      </c>
      <c r="AE1165" t="s">
        <v>60</v>
      </c>
      <c r="AF1165" t="s">
        <v>40</v>
      </c>
      <c r="AG1165">
        <v>0</v>
      </c>
      <c r="AH1165" t="s">
        <v>70</v>
      </c>
    </row>
    <row r="1166" spans="1:34" x14ac:dyDescent="0.3">
      <c r="A1166" t="s">
        <v>1821</v>
      </c>
      <c r="B1166" t="s">
        <v>271</v>
      </c>
      <c r="C1166" t="s">
        <v>169</v>
      </c>
      <c r="D1166" t="s">
        <v>90</v>
      </c>
      <c r="E1166" s="1">
        <v>45931</v>
      </c>
      <c r="F1166" s="1">
        <v>45945</v>
      </c>
      <c r="G1166" t="s">
        <v>38</v>
      </c>
      <c r="H1166">
        <v>4772</v>
      </c>
      <c r="I1166" t="s">
        <v>54</v>
      </c>
      <c r="J1166" t="b">
        <v>0</v>
      </c>
      <c r="K1166">
        <v>14</v>
      </c>
      <c r="L1166">
        <v>10</v>
      </c>
      <c r="M1166">
        <v>2025</v>
      </c>
      <c r="N1166">
        <v>2</v>
      </c>
      <c r="O1166">
        <v>10</v>
      </c>
      <c r="P1166">
        <v>2025</v>
      </c>
      <c r="Q1166">
        <v>2</v>
      </c>
      <c r="R1166" t="s">
        <v>40</v>
      </c>
      <c r="S1166" t="s">
        <v>67</v>
      </c>
      <c r="T1166" t="s">
        <v>42</v>
      </c>
      <c r="U1166" t="s">
        <v>40</v>
      </c>
      <c r="V1166" t="s">
        <v>170</v>
      </c>
      <c r="W1166" t="s">
        <v>171</v>
      </c>
      <c r="X1166" t="s">
        <v>126</v>
      </c>
      <c r="Y1166">
        <v>90</v>
      </c>
      <c r="Z1166" t="s">
        <v>93</v>
      </c>
      <c r="AA1166" t="s">
        <v>94</v>
      </c>
      <c r="AB1166" s="1">
        <v>45945</v>
      </c>
      <c r="AC1166" t="s">
        <v>40</v>
      </c>
      <c r="AD1166" t="s">
        <v>40</v>
      </c>
      <c r="AE1166" t="s">
        <v>60</v>
      </c>
      <c r="AF1166" t="s">
        <v>40</v>
      </c>
      <c r="AG1166">
        <v>1</v>
      </c>
      <c r="AH1166" t="s">
        <v>70</v>
      </c>
    </row>
    <row r="1167" spans="1:34" x14ac:dyDescent="0.3">
      <c r="A1167" t="s">
        <v>1822</v>
      </c>
      <c r="B1167" t="s">
        <v>1261</v>
      </c>
      <c r="C1167" t="s">
        <v>97</v>
      </c>
      <c r="D1167" t="s">
        <v>104</v>
      </c>
      <c r="E1167" s="1">
        <v>45887</v>
      </c>
      <c r="F1167" s="1">
        <v>45888</v>
      </c>
      <c r="G1167" t="s">
        <v>41</v>
      </c>
      <c r="H1167">
        <v>5225</v>
      </c>
      <c r="I1167" t="s">
        <v>39</v>
      </c>
      <c r="J1167" t="b">
        <v>0</v>
      </c>
      <c r="K1167">
        <v>1</v>
      </c>
      <c r="L1167">
        <v>8</v>
      </c>
      <c r="M1167">
        <v>2025</v>
      </c>
      <c r="N1167">
        <v>1</v>
      </c>
      <c r="O1167">
        <v>8</v>
      </c>
      <c r="P1167">
        <v>2025</v>
      </c>
      <c r="Q1167">
        <v>0</v>
      </c>
      <c r="R1167" t="s">
        <v>40</v>
      </c>
      <c r="S1167" t="s">
        <v>55</v>
      </c>
      <c r="T1167" t="s">
        <v>42</v>
      </c>
      <c r="U1167" t="s">
        <v>40</v>
      </c>
      <c r="V1167" t="s">
        <v>98</v>
      </c>
      <c r="W1167" t="s">
        <v>99</v>
      </c>
      <c r="X1167" t="s">
        <v>76</v>
      </c>
      <c r="Y1167">
        <v>80</v>
      </c>
      <c r="Z1167" t="s">
        <v>107</v>
      </c>
      <c r="AA1167" t="s">
        <v>108</v>
      </c>
      <c r="AB1167" s="1">
        <v>45888</v>
      </c>
      <c r="AC1167" t="s">
        <v>40</v>
      </c>
      <c r="AD1167" t="s">
        <v>40</v>
      </c>
      <c r="AE1167" t="s">
        <v>86</v>
      </c>
      <c r="AF1167" t="s">
        <v>40</v>
      </c>
      <c r="AG1167">
        <v>0</v>
      </c>
      <c r="AH1167" t="s">
        <v>100</v>
      </c>
    </row>
    <row r="1168" spans="1:34" x14ac:dyDescent="0.3">
      <c r="A1168" t="s">
        <v>1823</v>
      </c>
      <c r="B1168" t="s">
        <v>610</v>
      </c>
      <c r="C1168" t="s">
        <v>36</v>
      </c>
      <c r="D1168" t="s">
        <v>130</v>
      </c>
      <c r="E1168" s="1">
        <v>46342</v>
      </c>
      <c r="F1168" s="1">
        <v>46349</v>
      </c>
      <c r="G1168" t="s">
        <v>81</v>
      </c>
      <c r="H1168">
        <v>9573</v>
      </c>
      <c r="I1168" t="s">
        <v>39</v>
      </c>
      <c r="J1168" t="b">
        <v>0</v>
      </c>
      <c r="K1168">
        <v>7</v>
      </c>
      <c r="L1168">
        <v>11</v>
      </c>
      <c r="M1168">
        <v>2026</v>
      </c>
      <c r="N1168">
        <v>0</v>
      </c>
      <c r="O1168">
        <v>11</v>
      </c>
      <c r="P1168">
        <v>2026</v>
      </c>
      <c r="Q1168">
        <v>0</v>
      </c>
      <c r="R1168" t="s">
        <v>40</v>
      </c>
      <c r="S1168" t="s">
        <v>41</v>
      </c>
      <c r="T1168" t="s">
        <v>42</v>
      </c>
      <c r="U1168" t="s">
        <v>66</v>
      </c>
      <c r="V1168" t="s">
        <v>43</v>
      </c>
      <c r="W1168" t="s">
        <v>44</v>
      </c>
      <c r="X1168" t="s">
        <v>45</v>
      </c>
      <c r="Y1168">
        <v>150</v>
      </c>
      <c r="Z1168" t="s">
        <v>133</v>
      </c>
      <c r="AA1168" t="s">
        <v>134</v>
      </c>
      <c r="AB1168" s="1">
        <v>46349</v>
      </c>
      <c r="AC1168" t="s">
        <v>40</v>
      </c>
      <c r="AD1168" t="s">
        <v>40</v>
      </c>
      <c r="AE1168" t="s">
        <v>86</v>
      </c>
      <c r="AF1168" t="s">
        <v>40</v>
      </c>
      <c r="AG1168">
        <v>0</v>
      </c>
      <c r="AH1168" t="s">
        <v>100</v>
      </c>
    </row>
    <row r="1169" spans="1:34" x14ac:dyDescent="0.3">
      <c r="A1169" t="s">
        <v>1824</v>
      </c>
      <c r="B1169" t="s">
        <v>1825</v>
      </c>
      <c r="C1169" t="s">
        <v>155</v>
      </c>
      <c r="D1169" t="s">
        <v>130</v>
      </c>
      <c r="E1169" s="1">
        <v>45987</v>
      </c>
      <c r="F1169" s="1">
        <v>45988</v>
      </c>
      <c r="G1169" t="s">
        <v>41</v>
      </c>
      <c r="H1169">
        <v>8571</v>
      </c>
      <c r="I1169" t="s">
        <v>39</v>
      </c>
      <c r="J1169" t="b">
        <v>0</v>
      </c>
      <c r="K1169">
        <v>1</v>
      </c>
      <c r="L1169">
        <v>11</v>
      </c>
      <c r="M1169">
        <v>2025</v>
      </c>
      <c r="N1169">
        <v>3</v>
      </c>
      <c r="O1169">
        <v>11</v>
      </c>
      <c r="P1169">
        <v>2025</v>
      </c>
      <c r="Q1169">
        <v>2</v>
      </c>
      <c r="R1169" t="s">
        <v>40</v>
      </c>
      <c r="S1169" t="s">
        <v>55</v>
      </c>
      <c r="T1169" t="s">
        <v>42</v>
      </c>
      <c r="U1169" t="s">
        <v>66</v>
      </c>
      <c r="V1169" t="s">
        <v>156</v>
      </c>
      <c r="W1169" t="s">
        <v>157</v>
      </c>
      <c r="X1169" t="s">
        <v>158</v>
      </c>
      <c r="Y1169">
        <v>70</v>
      </c>
      <c r="Z1169" t="s">
        <v>133</v>
      </c>
      <c r="AA1169" t="s">
        <v>134</v>
      </c>
      <c r="AB1169" s="1">
        <v>45988</v>
      </c>
      <c r="AC1169" t="s">
        <v>40</v>
      </c>
      <c r="AD1169" t="s">
        <v>40</v>
      </c>
      <c r="AE1169" t="s">
        <v>86</v>
      </c>
      <c r="AF1169" t="s">
        <v>40</v>
      </c>
      <c r="AG1169">
        <v>0</v>
      </c>
      <c r="AH1169" t="s">
        <v>100</v>
      </c>
    </row>
    <row r="1170" spans="1:34" x14ac:dyDescent="0.3">
      <c r="A1170" t="s">
        <v>1826</v>
      </c>
      <c r="B1170" t="s">
        <v>431</v>
      </c>
      <c r="C1170" t="s">
        <v>52</v>
      </c>
      <c r="D1170" t="s">
        <v>37</v>
      </c>
      <c r="E1170" s="1">
        <v>46035</v>
      </c>
      <c r="F1170" s="1">
        <v>46042</v>
      </c>
      <c r="G1170" t="s">
        <v>81</v>
      </c>
      <c r="H1170">
        <v>10109</v>
      </c>
      <c r="I1170" t="s">
        <v>39</v>
      </c>
      <c r="J1170" t="b">
        <v>0</v>
      </c>
      <c r="K1170">
        <v>7</v>
      </c>
      <c r="L1170">
        <v>1</v>
      </c>
      <c r="M1170">
        <v>2026</v>
      </c>
      <c r="N1170">
        <v>1</v>
      </c>
      <c r="O1170">
        <v>1</v>
      </c>
      <c r="P1170">
        <v>2026</v>
      </c>
      <c r="Q1170">
        <v>1</v>
      </c>
      <c r="R1170" t="s">
        <v>40</v>
      </c>
      <c r="S1170" t="s">
        <v>67</v>
      </c>
      <c r="T1170" t="s">
        <v>42</v>
      </c>
      <c r="U1170" t="s">
        <v>40</v>
      </c>
      <c r="V1170" t="s">
        <v>56</v>
      </c>
      <c r="W1170" t="s">
        <v>57</v>
      </c>
      <c r="X1170" t="s">
        <v>45</v>
      </c>
      <c r="Y1170">
        <v>120</v>
      </c>
      <c r="Z1170" t="s">
        <v>46</v>
      </c>
      <c r="AA1170" t="s">
        <v>47</v>
      </c>
      <c r="AB1170" s="1">
        <v>46042</v>
      </c>
      <c r="AC1170" t="s">
        <v>40</v>
      </c>
      <c r="AD1170" t="s">
        <v>40</v>
      </c>
      <c r="AE1170" t="s">
        <v>86</v>
      </c>
      <c r="AF1170" t="s">
        <v>40</v>
      </c>
      <c r="AG1170">
        <v>0</v>
      </c>
      <c r="AH1170" t="s">
        <v>100</v>
      </c>
    </row>
    <row r="1171" spans="1:34" x14ac:dyDescent="0.3">
      <c r="A1171" t="s">
        <v>1827</v>
      </c>
      <c r="B1171" t="s">
        <v>668</v>
      </c>
      <c r="C1171" t="s">
        <v>97</v>
      </c>
      <c r="D1171" t="s">
        <v>37</v>
      </c>
      <c r="E1171" s="1">
        <v>46070</v>
      </c>
      <c r="F1171" s="1">
        <v>46130</v>
      </c>
      <c r="G1171" t="s">
        <v>41</v>
      </c>
      <c r="H1171">
        <v>5079</v>
      </c>
      <c r="I1171" t="s">
        <v>65</v>
      </c>
      <c r="J1171" t="b">
        <v>0</v>
      </c>
      <c r="K1171">
        <v>60</v>
      </c>
      <c r="L1171">
        <v>4</v>
      </c>
      <c r="M1171">
        <v>2026</v>
      </c>
      <c r="N1171">
        <v>5</v>
      </c>
      <c r="O1171">
        <v>2</v>
      </c>
      <c r="P1171">
        <v>2026</v>
      </c>
      <c r="Q1171">
        <v>1</v>
      </c>
      <c r="R1171" t="s">
        <v>66</v>
      </c>
      <c r="S1171" t="s">
        <v>67</v>
      </c>
      <c r="T1171" t="s">
        <v>42</v>
      </c>
      <c r="U1171" t="s">
        <v>66</v>
      </c>
      <c r="V1171" t="s">
        <v>98</v>
      </c>
      <c r="W1171" t="s">
        <v>99</v>
      </c>
      <c r="X1171" t="s">
        <v>76</v>
      </c>
      <c r="Y1171">
        <v>80</v>
      </c>
      <c r="Z1171" t="s">
        <v>46</v>
      </c>
      <c r="AA1171" t="s">
        <v>47</v>
      </c>
      <c r="AB1171" s="1">
        <v>46130</v>
      </c>
      <c r="AC1171" t="s">
        <v>66</v>
      </c>
      <c r="AD1171" t="s">
        <v>40</v>
      </c>
      <c r="AE1171" t="s">
        <v>69</v>
      </c>
      <c r="AF1171" t="s">
        <v>40</v>
      </c>
      <c r="AG1171">
        <v>0</v>
      </c>
      <c r="AH1171" t="s">
        <v>61</v>
      </c>
    </row>
    <row r="1172" spans="1:34" x14ac:dyDescent="0.3">
      <c r="A1172" t="s">
        <v>1828</v>
      </c>
      <c r="B1172" t="s">
        <v>1592</v>
      </c>
      <c r="C1172" t="s">
        <v>122</v>
      </c>
      <c r="D1172" t="s">
        <v>104</v>
      </c>
      <c r="E1172" s="1">
        <v>45706</v>
      </c>
      <c r="F1172" s="1">
        <v>45926</v>
      </c>
      <c r="G1172" t="s">
        <v>64</v>
      </c>
      <c r="H1172">
        <v>2246</v>
      </c>
      <c r="I1172" t="s">
        <v>54</v>
      </c>
      <c r="J1172" t="b">
        <v>0</v>
      </c>
      <c r="K1172">
        <v>220</v>
      </c>
      <c r="L1172">
        <v>9</v>
      </c>
      <c r="M1172">
        <v>2025</v>
      </c>
      <c r="N1172">
        <v>4</v>
      </c>
      <c r="O1172">
        <v>2</v>
      </c>
      <c r="P1172">
        <v>2025</v>
      </c>
      <c r="Q1172">
        <v>1</v>
      </c>
      <c r="R1172" t="s">
        <v>40</v>
      </c>
      <c r="S1172" t="s">
        <v>41</v>
      </c>
      <c r="T1172" t="s">
        <v>42</v>
      </c>
      <c r="U1172" t="s">
        <v>40</v>
      </c>
      <c r="V1172" t="s">
        <v>124</v>
      </c>
      <c r="W1172" t="s">
        <v>125</v>
      </c>
      <c r="X1172" t="s">
        <v>126</v>
      </c>
      <c r="Y1172">
        <v>85</v>
      </c>
      <c r="Z1172" t="s">
        <v>107</v>
      </c>
      <c r="AA1172" t="s">
        <v>108</v>
      </c>
      <c r="AB1172" s="1">
        <v>45926</v>
      </c>
      <c r="AC1172" t="s">
        <v>40</v>
      </c>
      <c r="AD1172" t="s">
        <v>40</v>
      </c>
      <c r="AE1172" t="s">
        <v>60</v>
      </c>
      <c r="AF1172" t="s">
        <v>40</v>
      </c>
      <c r="AG1172">
        <v>1</v>
      </c>
      <c r="AH1172" t="s">
        <v>142</v>
      </c>
    </row>
    <row r="1173" spans="1:34" x14ac:dyDescent="0.3">
      <c r="A1173" t="s">
        <v>1829</v>
      </c>
      <c r="B1173" t="s">
        <v>1039</v>
      </c>
      <c r="C1173" t="s">
        <v>73</v>
      </c>
      <c r="D1173" t="s">
        <v>90</v>
      </c>
      <c r="E1173" s="1">
        <v>46122</v>
      </c>
      <c r="F1173" s="1">
        <v>46129</v>
      </c>
      <c r="G1173" t="s">
        <v>38</v>
      </c>
      <c r="H1173">
        <v>4201</v>
      </c>
      <c r="I1173" t="s">
        <v>39</v>
      </c>
      <c r="J1173" t="b">
        <v>0</v>
      </c>
      <c r="K1173">
        <v>7</v>
      </c>
      <c r="L1173">
        <v>4</v>
      </c>
      <c r="M1173">
        <v>2026</v>
      </c>
      <c r="N1173">
        <v>4</v>
      </c>
      <c r="O1173">
        <v>4</v>
      </c>
      <c r="P1173">
        <v>2026</v>
      </c>
      <c r="Q1173">
        <v>4</v>
      </c>
      <c r="R1173" t="s">
        <v>40</v>
      </c>
      <c r="S1173" t="s">
        <v>55</v>
      </c>
      <c r="T1173" t="s">
        <v>42</v>
      </c>
      <c r="U1173" t="s">
        <v>40</v>
      </c>
      <c r="V1173" t="s">
        <v>74</v>
      </c>
      <c r="W1173" t="s">
        <v>75</v>
      </c>
      <c r="X1173" t="s">
        <v>76</v>
      </c>
      <c r="Y1173">
        <v>75</v>
      </c>
      <c r="Z1173" t="s">
        <v>93</v>
      </c>
      <c r="AA1173" t="s">
        <v>94</v>
      </c>
      <c r="AB1173" s="1">
        <v>46129</v>
      </c>
      <c r="AC1173" t="s">
        <v>40</v>
      </c>
      <c r="AD1173" t="s">
        <v>40</v>
      </c>
      <c r="AE1173" t="s">
        <v>69</v>
      </c>
      <c r="AF1173" t="s">
        <v>40</v>
      </c>
      <c r="AG1173">
        <v>0</v>
      </c>
      <c r="AH1173" t="s">
        <v>100</v>
      </c>
    </row>
    <row r="1174" spans="1:34" x14ac:dyDescent="0.3">
      <c r="A1174" t="s">
        <v>1830</v>
      </c>
      <c r="B1174" t="s">
        <v>1730</v>
      </c>
      <c r="C1174" t="s">
        <v>122</v>
      </c>
      <c r="D1174" t="s">
        <v>130</v>
      </c>
      <c r="E1174" s="1">
        <v>45867</v>
      </c>
      <c r="F1174" s="1">
        <v>45967</v>
      </c>
      <c r="G1174" t="s">
        <v>38</v>
      </c>
      <c r="H1174">
        <v>5969</v>
      </c>
      <c r="I1174" t="s">
        <v>54</v>
      </c>
      <c r="J1174" t="b">
        <v>0</v>
      </c>
      <c r="K1174">
        <v>100</v>
      </c>
      <c r="L1174">
        <v>11</v>
      </c>
      <c r="M1174">
        <v>2025</v>
      </c>
      <c r="N1174">
        <v>3</v>
      </c>
      <c r="O1174">
        <v>7</v>
      </c>
      <c r="P1174">
        <v>2025</v>
      </c>
      <c r="Q1174">
        <v>1</v>
      </c>
      <c r="R1174" t="s">
        <v>40</v>
      </c>
      <c r="S1174" t="s">
        <v>67</v>
      </c>
      <c r="T1174" t="s">
        <v>48</v>
      </c>
      <c r="U1174" t="s">
        <v>40</v>
      </c>
      <c r="V1174" t="s">
        <v>124</v>
      </c>
      <c r="W1174" t="s">
        <v>125</v>
      </c>
      <c r="X1174" t="s">
        <v>126</v>
      </c>
      <c r="Y1174">
        <v>85</v>
      </c>
      <c r="Z1174" t="s">
        <v>133</v>
      </c>
      <c r="AA1174" t="s">
        <v>134</v>
      </c>
      <c r="AB1174" s="1">
        <v>45967</v>
      </c>
      <c r="AC1174" t="s">
        <v>40</v>
      </c>
      <c r="AD1174" t="s">
        <v>40</v>
      </c>
      <c r="AE1174" t="s">
        <v>86</v>
      </c>
      <c r="AF1174" t="s">
        <v>40</v>
      </c>
      <c r="AG1174">
        <v>1</v>
      </c>
      <c r="AH1174" t="s">
        <v>49</v>
      </c>
    </row>
    <row r="1175" spans="1:34" x14ac:dyDescent="0.3">
      <c r="A1175" t="s">
        <v>1831</v>
      </c>
      <c r="B1175" t="s">
        <v>1832</v>
      </c>
      <c r="C1175" t="s">
        <v>73</v>
      </c>
      <c r="D1175" t="s">
        <v>80</v>
      </c>
      <c r="E1175" s="1">
        <v>46343</v>
      </c>
      <c r="F1175" s="1">
        <v>46350</v>
      </c>
      <c r="G1175" t="s">
        <v>41</v>
      </c>
      <c r="H1175">
        <v>6540</v>
      </c>
      <c r="I1175" t="s">
        <v>39</v>
      </c>
      <c r="J1175" t="b">
        <v>0</v>
      </c>
      <c r="K1175">
        <v>7</v>
      </c>
      <c r="L1175">
        <v>11</v>
      </c>
      <c r="M1175">
        <v>2026</v>
      </c>
      <c r="N1175">
        <v>1</v>
      </c>
      <c r="O1175">
        <v>11</v>
      </c>
      <c r="P1175">
        <v>2026</v>
      </c>
      <c r="Q1175">
        <v>1</v>
      </c>
      <c r="R1175" t="s">
        <v>40</v>
      </c>
      <c r="S1175" t="s">
        <v>67</v>
      </c>
      <c r="T1175" t="s">
        <v>42</v>
      </c>
      <c r="U1175" t="s">
        <v>40</v>
      </c>
      <c r="V1175" t="s">
        <v>74</v>
      </c>
      <c r="W1175" t="s">
        <v>75</v>
      </c>
      <c r="X1175" t="s">
        <v>76</v>
      </c>
      <c r="Y1175">
        <v>75</v>
      </c>
      <c r="Z1175" t="s">
        <v>84</v>
      </c>
      <c r="AA1175" t="s">
        <v>85</v>
      </c>
      <c r="AB1175" s="1">
        <v>46350</v>
      </c>
      <c r="AC1175" t="s">
        <v>40</v>
      </c>
      <c r="AD1175" t="s">
        <v>40</v>
      </c>
      <c r="AE1175" t="s">
        <v>86</v>
      </c>
      <c r="AF1175" t="s">
        <v>40</v>
      </c>
      <c r="AG1175">
        <v>0</v>
      </c>
      <c r="AH1175" t="s">
        <v>100</v>
      </c>
    </row>
    <row r="1176" spans="1:34" x14ac:dyDescent="0.3">
      <c r="A1176" t="s">
        <v>1833</v>
      </c>
      <c r="B1176" t="s">
        <v>1834</v>
      </c>
      <c r="C1176" t="s">
        <v>169</v>
      </c>
      <c r="D1176" t="s">
        <v>53</v>
      </c>
      <c r="E1176" s="1">
        <v>45928</v>
      </c>
      <c r="F1176" s="1">
        <v>45958</v>
      </c>
      <c r="G1176" t="s">
        <v>38</v>
      </c>
      <c r="H1176">
        <v>3695</v>
      </c>
      <c r="I1176" t="s">
        <v>212</v>
      </c>
      <c r="J1176" t="b">
        <v>0</v>
      </c>
      <c r="K1176">
        <v>30</v>
      </c>
      <c r="L1176">
        <v>10</v>
      </c>
      <c r="M1176">
        <v>2025</v>
      </c>
      <c r="N1176">
        <v>1</v>
      </c>
      <c r="O1176">
        <v>9</v>
      </c>
      <c r="P1176">
        <v>2025</v>
      </c>
      <c r="Q1176">
        <v>6</v>
      </c>
      <c r="R1176" t="s">
        <v>40</v>
      </c>
      <c r="S1176" t="s">
        <v>55</v>
      </c>
      <c r="T1176" t="s">
        <v>42</v>
      </c>
      <c r="U1176" t="s">
        <v>40</v>
      </c>
      <c r="V1176" t="s">
        <v>170</v>
      </c>
      <c r="W1176" t="s">
        <v>171</v>
      </c>
      <c r="X1176" t="s">
        <v>126</v>
      </c>
      <c r="Y1176">
        <v>90</v>
      </c>
      <c r="Z1176" t="s">
        <v>58</v>
      </c>
      <c r="AA1176" t="s">
        <v>59</v>
      </c>
      <c r="AB1176" s="1">
        <v>45958</v>
      </c>
      <c r="AC1176" t="s">
        <v>40</v>
      </c>
      <c r="AD1176" t="s">
        <v>40</v>
      </c>
      <c r="AE1176" t="s">
        <v>60</v>
      </c>
      <c r="AF1176" t="s">
        <v>40</v>
      </c>
      <c r="AG1176">
        <v>0</v>
      </c>
      <c r="AH1176" t="s">
        <v>70</v>
      </c>
    </row>
    <row r="1177" spans="1:34" x14ac:dyDescent="0.3">
      <c r="A1177" t="s">
        <v>1835</v>
      </c>
      <c r="B1177" t="s">
        <v>1629</v>
      </c>
      <c r="C1177" t="s">
        <v>103</v>
      </c>
      <c r="D1177" t="s">
        <v>53</v>
      </c>
      <c r="E1177" s="1">
        <v>45949</v>
      </c>
      <c r="F1177" s="1">
        <v>46169</v>
      </c>
      <c r="G1177" t="s">
        <v>38</v>
      </c>
      <c r="H1177">
        <v>4524</v>
      </c>
      <c r="I1177" t="s">
        <v>54</v>
      </c>
      <c r="J1177" t="b">
        <v>0</v>
      </c>
      <c r="K1177">
        <v>220</v>
      </c>
      <c r="L1177">
        <v>5</v>
      </c>
      <c r="M1177">
        <v>2026</v>
      </c>
      <c r="N1177">
        <v>2</v>
      </c>
      <c r="O1177">
        <v>10</v>
      </c>
      <c r="P1177">
        <v>2025</v>
      </c>
      <c r="Q1177">
        <v>6</v>
      </c>
      <c r="R1177" t="s">
        <v>40</v>
      </c>
      <c r="S1177" t="s">
        <v>45</v>
      </c>
      <c r="T1177" t="s">
        <v>42</v>
      </c>
      <c r="U1177" t="s">
        <v>66</v>
      </c>
      <c r="V1177" t="s">
        <v>105</v>
      </c>
      <c r="W1177" t="s">
        <v>106</v>
      </c>
      <c r="X1177" t="s">
        <v>45</v>
      </c>
      <c r="Y1177">
        <v>140</v>
      </c>
      <c r="Z1177" t="s">
        <v>58</v>
      </c>
      <c r="AA1177" t="s">
        <v>59</v>
      </c>
      <c r="AB1177" s="1">
        <v>46169</v>
      </c>
      <c r="AC1177" t="s">
        <v>40</v>
      </c>
      <c r="AD1177" t="s">
        <v>40</v>
      </c>
      <c r="AE1177" t="s">
        <v>69</v>
      </c>
      <c r="AF1177" t="s">
        <v>40</v>
      </c>
      <c r="AG1177">
        <v>1</v>
      </c>
      <c r="AH1177" t="s">
        <v>142</v>
      </c>
    </row>
    <row r="1178" spans="1:34" x14ac:dyDescent="0.3">
      <c r="A1178" t="s">
        <v>1836</v>
      </c>
      <c r="B1178" t="s">
        <v>265</v>
      </c>
      <c r="C1178" t="s">
        <v>122</v>
      </c>
      <c r="D1178" t="s">
        <v>37</v>
      </c>
      <c r="E1178" s="1">
        <v>46169</v>
      </c>
      <c r="F1178" s="1">
        <v>46199</v>
      </c>
      <c r="G1178" t="s">
        <v>38</v>
      </c>
      <c r="H1178">
        <v>3557</v>
      </c>
      <c r="I1178" t="s">
        <v>65</v>
      </c>
      <c r="J1178" t="b">
        <v>0</v>
      </c>
      <c r="K1178">
        <v>30</v>
      </c>
      <c r="L1178">
        <v>6</v>
      </c>
      <c r="M1178">
        <v>2026</v>
      </c>
      <c r="N1178">
        <v>4</v>
      </c>
      <c r="O1178">
        <v>5</v>
      </c>
      <c r="P1178">
        <v>2026</v>
      </c>
      <c r="Q1178">
        <v>2</v>
      </c>
      <c r="R1178" t="s">
        <v>40</v>
      </c>
      <c r="S1178" t="s">
        <v>55</v>
      </c>
      <c r="T1178" t="s">
        <v>42</v>
      </c>
      <c r="U1178" t="s">
        <v>40</v>
      </c>
      <c r="V1178" t="s">
        <v>124</v>
      </c>
      <c r="W1178" t="s">
        <v>125</v>
      </c>
      <c r="X1178" t="s">
        <v>126</v>
      </c>
      <c r="Y1178">
        <v>85</v>
      </c>
      <c r="Z1178" t="s">
        <v>46</v>
      </c>
      <c r="AA1178" t="s">
        <v>47</v>
      </c>
      <c r="AB1178" s="1">
        <v>46199</v>
      </c>
      <c r="AC1178" t="s">
        <v>40</v>
      </c>
      <c r="AD1178" t="s">
        <v>40</v>
      </c>
      <c r="AE1178" t="s">
        <v>60</v>
      </c>
      <c r="AF1178" t="s">
        <v>40</v>
      </c>
      <c r="AG1178">
        <v>0</v>
      </c>
      <c r="AH1178" t="s">
        <v>70</v>
      </c>
    </row>
    <row r="1179" spans="1:34" x14ac:dyDescent="0.3">
      <c r="A1179" t="s">
        <v>1837</v>
      </c>
      <c r="B1179" t="s">
        <v>614</v>
      </c>
      <c r="C1179" t="s">
        <v>97</v>
      </c>
      <c r="D1179" t="s">
        <v>130</v>
      </c>
      <c r="E1179" s="1">
        <v>46301</v>
      </c>
      <c r="F1179" s="1">
        <v>46308</v>
      </c>
      <c r="G1179" t="s">
        <v>41</v>
      </c>
      <c r="H1179">
        <v>8008</v>
      </c>
      <c r="I1179" t="s">
        <v>65</v>
      </c>
      <c r="J1179" t="b">
        <v>0</v>
      </c>
      <c r="K1179">
        <v>7</v>
      </c>
      <c r="L1179">
        <v>10</v>
      </c>
      <c r="M1179">
        <v>2026</v>
      </c>
      <c r="N1179">
        <v>1</v>
      </c>
      <c r="O1179">
        <v>10</v>
      </c>
      <c r="P1179">
        <v>2026</v>
      </c>
      <c r="Q1179">
        <v>1</v>
      </c>
      <c r="R1179" t="s">
        <v>40</v>
      </c>
      <c r="S1179" t="s">
        <v>67</v>
      </c>
      <c r="T1179" t="s">
        <v>42</v>
      </c>
      <c r="U1179" t="s">
        <v>40</v>
      </c>
      <c r="V1179" t="s">
        <v>98</v>
      </c>
      <c r="W1179" t="s">
        <v>99</v>
      </c>
      <c r="X1179" t="s">
        <v>76</v>
      </c>
      <c r="Y1179">
        <v>80</v>
      </c>
      <c r="Z1179" t="s">
        <v>133</v>
      </c>
      <c r="AA1179" t="s">
        <v>134</v>
      </c>
      <c r="AB1179" s="1">
        <v>46308</v>
      </c>
      <c r="AC1179" t="s">
        <v>40</v>
      </c>
      <c r="AD1179" t="s">
        <v>40</v>
      </c>
      <c r="AE1179" t="s">
        <v>60</v>
      </c>
      <c r="AF1179" t="s">
        <v>40</v>
      </c>
      <c r="AG1179">
        <v>0</v>
      </c>
      <c r="AH1179" t="s">
        <v>100</v>
      </c>
    </row>
    <row r="1180" spans="1:34" x14ac:dyDescent="0.3">
      <c r="A1180" t="s">
        <v>1838</v>
      </c>
      <c r="B1180" t="s">
        <v>191</v>
      </c>
      <c r="C1180" t="s">
        <v>73</v>
      </c>
      <c r="D1180" t="s">
        <v>104</v>
      </c>
      <c r="E1180" s="1">
        <v>45895</v>
      </c>
      <c r="F1180" s="1">
        <v>45995</v>
      </c>
      <c r="G1180" t="s">
        <v>38</v>
      </c>
      <c r="H1180">
        <v>5610</v>
      </c>
      <c r="I1180" t="s">
        <v>39</v>
      </c>
      <c r="J1180" t="b">
        <v>0</v>
      </c>
      <c r="K1180">
        <v>100</v>
      </c>
      <c r="L1180">
        <v>12</v>
      </c>
      <c r="M1180">
        <v>2025</v>
      </c>
      <c r="N1180">
        <v>3</v>
      </c>
      <c r="O1180">
        <v>8</v>
      </c>
      <c r="P1180">
        <v>2025</v>
      </c>
      <c r="Q1180">
        <v>1</v>
      </c>
      <c r="R1180" t="s">
        <v>40</v>
      </c>
      <c r="S1180" t="s">
        <v>41</v>
      </c>
      <c r="T1180" t="s">
        <v>42</v>
      </c>
      <c r="U1180" t="s">
        <v>40</v>
      </c>
      <c r="V1180" t="s">
        <v>74</v>
      </c>
      <c r="W1180" t="s">
        <v>75</v>
      </c>
      <c r="X1180" t="s">
        <v>76</v>
      </c>
      <c r="Y1180">
        <v>75</v>
      </c>
      <c r="Z1180" t="s">
        <v>107</v>
      </c>
      <c r="AA1180" t="s">
        <v>108</v>
      </c>
      <c r="AB1180" s="1">
        <v>45995</v>
      </c>
      <c r="AC1180" t="s">
        <v>40</v>
      </c>
      <c r="AD1180" t="s">
        <v>40</v>
      </c>
      <c r="AE1180" t="s">
        <v>69</v>
      </c>
      <c r="AF1180" t="s">
        <v>40</v>
      </c>
      <c r="AG1180">
        <v>0</v>
      </c>
      <c r="AH1180" t="s">
        <v>49</v>
      </c>
    </row>
    <row r="1181" spans="1:34" x14ac:dyDescent="0.3">
      <c r="A1181" t="s">
        <v>1839</v>
      </c>
      <c r="B1181" t="s">
        <v>494</v>
      </c>
      <c r="C1181" t="s">
        <v>155</v>
      </c>
      <c r="D1181" t="s">
        <v>104</v>
      </c>
      <c r="E1181" s="1">
        <v>45681</v>
      </c>
      <c r="F1181" s="1">
        <v>45711</v>
      </c>
      <c r="G1181" t="s">
        <v>41</v>
      </c>
      <c r="H1181">
        <v>6959</v>
      </c>
      <c r="I1181" t="s">
        <v>65</v>
      </c>
      <c r="J1181" t="b">
        <v>0</v>
      </c>
      <c r="K1181">
        <v>30</v>
      </c>
      <c r="L1181">
        <v>2</v>
      </c>
      <c r="M1181">
        <v>2025</v>
      </c>
      <c r="N1181">
        <v>6</v>
      </c>
      <c r="O1181">
        <v>1</v>
      </c>
      <c r="P1181">
        <v>2025</v>
      </c>
      <c r="Q1181">
        <v>4</v>
      </c>
      <c r="R1181" t="s">
        <v>66</v>
      </c>
      <c r="S1181" t="s">
        <v>41</v>
      </c>
      <c r="T1181" t="s">
        <v>42</v>
      </c>
      <c r="U1181" t="s">
        <v>66</v>
      </c>
      <c r="V1181" t="s">
        <v>156</v>
      </c>
      <c r="W1181" t="s">
        <v>157</v>
      </c>
      <c r="X1181" t="s">
        <v>158</v>
      </c>
      <c r="Y1181">
        <v>70</v>
      </c>
      <c r="Z1181" t="s">
        <v>107</v>
      </c>
      <c r="AA1181" t="s">
        <v>108</v>
      </c>
      <c r="AB1181" s="1">
        <v>45711</v>
      </c>
      <c r="AC1181" t="s">
        <v>66</v>
      </c>
      <c r="AD1181" t="s">
        <v>40</v>
      </c>
      <c r="AE1181" t="s">
        <v>60</v>
      </c>
      <c r="AF1181" t="s">
        <v>40</v>
      </c>
      <c r="AG1181">
        <v>0</v>
      </c>
      <c r="AH1181" t="s">
        <v>70</v>
      </c>
    </row>
    <row r="1182" spans="1:34" x14ac:dyDescent="0.3">
      <c r="A1182" t="s">
        <v>1840</v>
      </c>
      <c r="B1182" t="s">
        <v>803</v>
      </c>
      <c r="C1182" t="s">
        <v>103</v>
      </c>
      <c r="D1182" t="s">
        <v>80</v>
      </c>
      <c r="E1182" s="1">
        <v>45808</v>
      </c>
      <c r="F1182" s="1">
        <v>45908</v>
      </c>
      <c r="G1182" t="s">
        <v>64</v>
      </c>
      <c r="H1182">
        <v>3765</v>
      </c>
      <c r="I1182" t="s">
        <v>39</v>
      </c>
      <c r="J1182" t="b">
        <v>0</v>
      </c>
      <c r="K1182">
        <v>100</v>
      </c>
      <c r="L1182">
        <v>9</v>
      </c>
      <c r="M1182">
        <v>2025</v>
      </c>
      <c r="N1182">
        <v>0</v>
      </c>
      <c r="O1182">
        <v>5</v>
      </c>
      <c r="P1182">
        <v>2025</v>
      </c>
      <c r="Q1182">
        <v>5</v>
      </c>
      <c r="R1182" t="s">
        <v>40</v>
      </c>
      <c r="S1182" t="s">
        <v>45</v>
      </c>
      <c r="T1182" t="s">
        <v>68</v>
      </c>
      <c r="U1182" t="s">
        <v>40</v>
      </c>
      <c r="V1182" t="s">
        <v>105</v>
      </c>
      <c r="W1182" t="s">
        <v>106</v>
      </c>
      <c r="X1182" t="s">
        <v>45</v>
      </c>
      <c r="Y1182">
        <v>140</v>
      </c>
      <c r="Z1182" t="s">
        <v>84</v>
      </c>
      <c r="AA1182" t="s">
        <v>85</v>
      </c>
      <c r="AB1182" s="1">
        <v>45908</v>
      </c>
      <c r="AC1182" t="s">
        <v>40</v>
      </c>
      <c r="AD1182" t="s">
        <v>40</v>
      </c>
      <c r="AE1182" t="s">
        <v>60</v>
      </c>
      <c r="AF1182" t="s">
        <v>40</v>
      </c>
      <c r="AG1182">
        <v>0</v>
      </c>
      <c r="AH1182" t="s">
        <v>49</v>
      </c>
    </row>
    <row r="1183" spans="1:34" x14ac:dyDescent="0.3">
      <c r="A1183" t="s">
        <v>1841</v>
      </c>
      <c r="B1183" t="s">
        <v>344</v>
      </c>
      <c r="C1183" t="s">
        <v>129</v>
      </c>
      <c r="D1183" t="s">
        <v>53</v>
      </c>
      <c r="E1183" s="1">
        <v>45993</v>
      </c>
      <c r="F1183" s="1">
        <v>46053</v>
      </c>
      <c r="G1183" t="s">
        <v>64</v>
      </c>
      <c r="H1183">
        <v>3590</v>
      </c>
      <c r="I1183" t="s">
        <v>65</v>
      </c>
      <c r="J1183" t="b">
        <v>0</v>
      </c>
      <c r="K1183">
        <v>60</v>
      </c>
      <c r="L1183">
        <v>1</v>
      </c>
      <c r="M1183">
        <v>2026</v>
      </c>
      <c r="N1183">
        <v>5</v>
      </c>
      <c r="O1183">
        <v>12</v>
      </c>
      <c r="P1183">
        <v>2025</v>
      </c>
      <c r="Q1183">
        <v>1</v>
      </c>
      <c r="R1183" t="s">
        <v>66</v>
      </c>
      <c r="S1183" t="s">
        <v>55</v>
      </c>
      <c r="T1183" t="s">
        <v>42</v>
      </c>
      <c r="U1183" t="s">
        <v>40</v>
      </c>
      <c r="V1183" t="s">
        <v>131</v>
      </c>
      <c r="W1183" t="s">
        <v>132</v>
      </c>
      <c r="X1183" t="s">
        <v>45</v>
      </c>
      <c r="Y1183">
        <v>110</v>
      </c>
      <c r="Z1183" t="s">
        <v>58</v>
      </c>
      <c r="AA1183" t="s">
        <v>59</v>
      </c>
      <c r="AB1183" s="1">
        <v>46053</v>
      </c>
      <c r="AC1183" t="s">
        <v>66</v>
      </c>
      <c r="AD1183" t="s">
        <v>40</v>
      </c>
      <c r="AE1183" t="s">
        <v>86</v>
      </c>
      <c r="AF1183" t="s">
        <v>40</v>
      </c>
      <c r="AG1183">
        <v>0</v>
      </c>
      <c r="AH1183" t="s">
        <v>61</v>
      </c>
    </row>
    <row r="1184" spans="1:34" x14ac:dyDescent="0.3">
      <c r="A1184" t="s">
        <v>1842</v>
      </c>
      <c r="B1184" t="s">
        <v>1466</v>
      </c>
      <c r="C1184" t="s">
        <v>103</v>
      </c>
      <c r="D1184" t="s">
        <v>80</v>
      </c>
      <c r="E1184" s="1">
        <v>45811</v>
      </c>
      <c r="F1184" s="1">
        <v>45871</v>
      </c>
      <c r="G1184" t="s">
        <v>38</v>
      </c>
      <c r="H1184">
        <v>4068</v>
      </c>
      <c r="I1184" t="s">
        <v>39</v>
      </c>
      <c r="J1184" t="b">
        <v>0</v>
      </c>
      <c r="K1184">
        <v>60</v>
      </c>
      <c r="L1184">
        <v>8</v>
      </c>
      <c r="M1184">
        <v>2025</v>
      </c>
      <c r="N1184">
        <v>5</v>
      </c>
      <c r="O1184">
        <v>6</v>
      </c>
      <c r="P1184">
        <v>2025</v>
      </c>
      <c r="Q1184">
        <v>1</v>
      </c>
      <c r="R1184" t="s">
        <v>66</v>
      </c>
      <c r="S1184" t="s">
        <v>41</v>
      </c>
      <c r="T1184" t="s">
        <v>42</v>
      </c>
      <c r="U1184" t="s">
        <v>66</v>
      </c>
      <c r="V1184" t="s">
        <v>105</v>
      </c>
      <c r="W1184" t="s">
        <v>106</v>
      </c>
      <c r="X1184" t="s">
        <v>45</v>
      </c>
      <c r="Y1184">
        <v>140</v>
      </c>
      <c r="Z1184" t="s">
        <v>84</v>
      </c>
      <c r="AA1184" t="s">
        <v>85</v>
      </c>
      <c r="AB1184" s="1">
        <v>45871</v>
      </c>
      <c r="AC1184" t="s">
        <v>66</v>
      </c>
      <c r="AD1184" t="s">
        <v>40</v>
      </c>
      <c r="AE1184" t="s">
        <v>86</v>
      </c>
      <c r="AF1184" t="s">
        <v>40</v>
      </c>
      <c r="AG1184">
        <v>0</v>
      </c>
      <c r="AH1184" t="s">
        <v>61</v>
      </c>
    </row>
    <row r="1185" spans="1:34" x14ac:dyDescent="0.3">
      <c r="A1185" t="s">
        <v>1843</v>
      </c>
      <c r="B1185" t="s">
        <v>420</v>
      </c>
      <c r="C1185" t="s">
        <v>146</v>
      </c>
      <c r="D1185" t="s">
        <v>80</v>
      </c>
      <c r="E1185" s="1">
        <v>46205</v>
      </c>
      <c r="F1185" s="1">
        <v>46265</v>
      </c>
      <c r="G1185" t="s">
        <v>81</v>
      </c>
      <c r="H1185">
        <v>10938</v>
      </c>
      <c r="I1185" t="s">
        <v>212</v>
      </c>
      <c r="J1185" t="b">
        <v>0</v>
      </c>
      <c r="K1185">
        <v>60</v>
      </c>
      <c r="L1185">
        <v>8</v>
      </c>
      <c r="M1185">
        <v>2026</v>
      </c>
      <c r="N1185">
        <v>0</v>
      </c>
      <c r="O1185">
        <v>7</v>
      </c>
      <c r="P1185">
        <v>2026</v>
      </c>
      <c r="Q1185">
        <v>3</v>
      </c>
      <c r="R1185" t="s">
        <v>40</v>
      </c>
      <c r="S1185" t="s">
        <v>41</v>
      </c>
      <c r="T1185" t="s">
        <v>42</v>
      </c>
      <c r="U1185" t="s">
        <v>40</v>
      </c>
      <c r="V1185" t="s">
        <v>147</v>
      </c>
      <c r="W1185" t="s">
        <v>148</v>
      </c>
      <c r="X1185" t="s">
        <v>45</v>
      </c>
      <c r="Y1185">
        <v>160</v>
      </c>
      <c r="Z1185" t="s">
        <v>84</v>
      </c>
      <c r="AA1185" t="s">
        <v>85</v>
      </c>
      <c r="AB1185" s="1">
        <v>46265</v>
      </c>
      <c r="AC1185" t="s">
        <v>40</v>
      </c>
      <c r="AD1185" t="s">
        <v>40</v>
      </c>
      <c r="AE1185" t="s">
        <v>86</v>
      </c>
      <c r="AF1185" t="s">
        <v>40</v>
      </c>
      <c r="AG1185">
        <v>0</v>
      </c>
      <c r="AH1185" t="s">
        <v>61</v>
      </c>
    </row>
    <row r="1186" spans="1:34" x14ac:dyDescent="0.3">
      <c r="A1186" t="s">
        <v>1844</v>
      </c>
      <c r="B1186" t="s">
        <v>322</v>
      </c>
      <c r="C1186" t="s">
        <v>52</v>
      </c>
      <c r="D1186" t="s">
        <v>53</v>
      </c>
      <c r="E1186" s="1">
        <v>45692</v>
      </c>
      <c r="F1186" s="1">
        <v>45842</v>
      </c>
      <c r="G1186" t="s">
        <v>38</v>
      </c>
      <c r="H1186">
        <v>5950</v>
      </c>
      <c r="I1186" t="s">
        <v>39</v>
      </c>
      <c r="J1186" t="b">
        <v>0</v>
      </c>
      <c r="K1186">
        <v>150</v>
      </c>
      <c r="L1186">
        <v>7</v>
      </c>
      <c r="M1186">
        <v>2025</v>
      </c>
      <c r="N1186">
        <v>4</v>
      </c>
      <c r="O1186">
        <v>2</v>
      </c>
      <c r="P1186">
        <v>2025</v>
      </c>
      <c r="Q1186">
        <v>1</v>
      </c>
      <c r="R1186" t="s">
        <v>40</v>
      </c>
      <c r="S1186" t="s">
        <v>45</v>
      </c>
      <c r="T1186" t="s">
        <v>68</v>
      </c>
      <c r="U1186" t="s">
        <v>40</v>
      </c>
      <c r="V1186" t="s">
        <v>56</v>
      </c>
      <c r="W1186" t="s">
        <v>57</v>
      </c>
      <c r="X1186" t="s">
        <v>45</v>
      </c>
      <c r="Y1186">
        <v>120</v>
      </c>
      <c r="Z1186" t="s">
        <v>58</v>
      </c>
      <c r="AA1186" t="s">
        <v>59</v>
      </c>
      <c r="AB1186" s="1">
        <v>45842</v>
      </c>
      <c r="AC1186" t="s">
        <v>40</v>
      </c>
      <c r="AD1186" t="s">
        <v>40</v>
      </c>
      <c r="AE1186" t="s">
        <v>86</v>
      </c>
      <c r="AF1186" t="s">
        <v>40</v>
      </c>
      <c r="AG1186">
        <v>0</v>
      </c>
      <c r="AH1186" t="s">
        <v>49</v>
      </c>
    </row>
    <row r="1187" spans="1:34" x14ac:dyDescent="0.3">
      <c r="A1187" t="s">
        <v>1845</v>
      </c>
      <c r="B1187" t="s">
        <v>806</v>
      </c>
      <c r="C1187" t="s">
        <v>79</v>
      </c>
      <c r="D1187" t="s">
        <v>37</v>
      </c>
      <c r="E1187" s="1">
        <v>46282</v>
      </c>
      <c r="F1187" s="1">
        <v>46312</v>
      </c>
      <c r="G1187" t="s">
        <v>64</v>
      </c>
      <c r="H1187">
        <v>2780</v>
      </c>
      <c r="I1187" t="s">
        <v>65</v>
      </c>
      <c r="J1187" t="b">
        <v>0</v>
      </c>
      <c r="K1187">
        <v>30</v>
      </c>
      <c r="L1187">
        <v>10</v>
      </c>
      <c r="M1187">
        <v>2026</v>
      </c>
      <c r="N1187">
        <v>5</v>
      </c>
      <c r="O1187">
        <v>9</v>
      </c>
      <c r="P1187">
        <v>2026</v>
      </c>
      <c r="Q1187">
        <v>3</v>
      </c>
      <c r="R1187" t="s">
        <v>66</v>
      </c>
      <c r="S1187" t="s">
        <v>41</v>
      </c>
      <c r="T1187" t="s">
        <v>42</v>
      </c>
      <c r="U1187" t="s">
        <v>66</v>
      </c>
      <c r="V1187" t="s">
        <v>82</v>
      </c>
      <c r="W1187" t="s">
        <v>83</v>
      </c>
      <c r="X1187" t="s">
        <v>76</v>
      </c>
      <c r="Y1187">
        <v>100</v>
      </c>
      <c r="Z1187" t="s">
        <v>46</v>
      </c>
      <c r="AA1187" t="s">
        <v>47</v>
      </c>
      <c r="AB1187" s="1">
        <v>46312</v>
      </c>
      <c r="AC1187" t="s">
        <v>66</v>
      </c>
      <c r="AD1187" t="s">
        <v>40</v>
      </c>
      <c r="AE1187" t="s">
        <v>60</v>
      </c>
      <c r="AF1187" t="s">
        <v>40</v>
      </c>
      <c r="AG1187">
        <v>0</v>
      </c>
      <c r="AH1187" t="s">
        <v>70</v>
      </c>
    </row>
    <row r="1188" spans="1:34" x14ac:dyDescent="0.3">
      <c r="A1188" t="s">
        <v>1846</v>
      </c>
      <c r="B1188" t="s">
        <v>255</v>
      </c>
      <c r="C1188" t="s">
        <v>89</v>
      </c>
      <c r="D1188" t="s">
        <v>37</v>
      </c>
      <c r="E1188" s="1">
        <v>46109</v>
      </c>
      <c r="F1188" s="1">
        <v>46112</v>
      </c>
      <c r="G1188" t="s">
        <v>38</v>
      </c>
      <c r="H1188">
        <v>5728</v>
      </c>
      <c r="I1188" t="s">
        <v>65</v>
      </c>
      <c r="J1188" t="b">
        <v>0</v>
      </c>
      <c r="K1188">
        <v>3</v>
      </c>
      <c r="L1188">
        <v>3</v>
      </c>
      <c r="M1188">
        <v>2026</v>
      </c>
      <c r="N1188">
        <v>1</v>
      </c>
      <c r="O1188">
        <v>3</v>
      </c>
      <c r="P1188">
        <v>2026</v>
      </c>
      <c r="Q1188">
        <v>5</v>
      </c>
      <c r="R1188" t="s">
        <v>40</v>
      </c>
      <c r="S1188" t="s">
        <v>45</v>
      </c>
      <c r="T1188" t="s">
        <v>68</v>
      </c>
      <c r="U1188" t="s">
        <v>40</v>
      </c>
      <c r="V1188" t="s">
        <v>91</v>
      </c>
      <c r="W1188" t="s">
        <v>92</v>
      </c>
      <c r="X1188" t="s">
        <v>76</v>
      </c>
      <c r="Y1188">
        <v>65</v>
      </c>
      <c r="Z1188" t="s">
        <v>46</v>
      </c>
      <c r="AA1188" t="s">
        <v>47</v>
      </c>
      <c r="AB1188" s="1">
        <v>46112</v>
      </c>
      <c r="AC1188" t="s">
        <v>40</v>
      </c>
      <c r="AD1188" t="s">
        <v>40</v>
      </c>
      <c r="AE1188" t="s">
        <v>60</v>
      </c>
      <c r="AF1188" t="s">
        <v>40</v>
      </c>
      <c r="AG1188">
        <v>0</v>
      </c>
      <c r="AH1188" t="s">
        <v>100</v>
      </c>
    </row>
    <row r="1189" spans="1:34" x14ac:dyDescent="0.3">
      <c r="A1189" t="s">
        <v>1847</v>
      </c>
      <c r="B1189" t="s">
        <v>850</v>
      </c>
      <c r="C1189" t="s">
        <v>52</v>
      </c>
      <c r="D1189" t="s">
        <v>80</v>
      </c>
      <c r="E1189" s="1">
        <v>46120</v>
      </c>
      <c r="F1189" s="1">
        <v>46127</v>
      </c>
      <c r="G1189" t="s">
        <v>64</v>
      </c>
      <c r="H1189">
        <v>2330</v>
      </c>
      <c r="I1189" t="s">
        <v>39</v>
      </c>
      <c r="J1189" t="b">
        <v>0</v>
      </c>
      <c r="K1189">
        <v>7</v>
      </c>
      <c r="L1189">
        <v>4</v>
      </c>
      <c r="M1189">
        <v>2026</v>
      </c>
      <c r="N1189">
        <v>2</v>
      </c>
      <c r="O1189">
        <v>4</v>
      </c>
      <c r="P1189">
        <v>2026</v>
      </c>
      <c r="Q1189">
        <v>2</v>
      </c>
      <c r="R1189" t="s">
        <v>40</v>
      </c>
      <c r="S1189" t="s">
        <v>67</v>
      </c>
      <c r="T1189" t="s">
        <v>42</v>
      </c>
      <c r="U1189" t="s">
        <v>40</v>
      </c>
      <c r="V1189" t="s">
        <v>56</v>
      </c>
      <c r="W1189" t="s">
        <v>57</v>
      </c>
      <c r="X1189" t="s">
        <v>45</v>
      </c>
      <c r="Y1189">
        <v>120</v>
      </c>
      <c r="Z1189" t="s">
        <v>84</v>
      </c>
      <c r="AA1189" t="s">
        <v>85</v>
      </c>
      <c r="AB1189" s="1">
        <v>46127</v>
      </c>
      <c r="AC1189" t="s">
        <v>40</v>
      </c>
      <c r="AD1189" t="s">
        <v>40</v>
      </c>
      <c r="AE1189" t="s">
        <v>69</v>
      </c>
      <c r="AF1189" t="s">
        <v>40</v>
      </c>
      <c r="AG1189">
        <v>0</v>
      </c>
      <c r="AH1189" t="s">
        <v>100</v>
      </c>
    </row>
    <row r="1190" spans="1:34" x14ac:dyDescent="0.3">
      <c r="A1190" t="s">
        <v>1848</v>
      </c>
      <c r="B1190" t="s">
        <v>1849</v>
      </c>
      <c r="C1190" t="s">
        <v>79</v>
      </c>
      <c r="D1190" t="s">
        <v>37</v>
      </c>
      <c r="E1190" s="1">
        <v>46194</v>
      </c>
      <c r="F1190" s="1">
        <v>46195</v>
      </c>
      <c r="G1190" t="s">
        <v>38</v>
      </c>
      <c r="H1190">
        <v>3712</v>
      </c>
      <c r="I1190" t="s">
        <v>39</v>
      </c>
      <c r="J1190" t="b">
        <v>0</v>
      </c>
      <c r="K1190">
        <v>1</v>
      </c>
      <c r="L1190">
        <v>6</v>
      </c>
      <c r="M1190">
        <v>2026</v>
      </c>
      <c r="N1190">
        <v>0</v>
      </c>
      <c r="O1190">
        <v>6</v>
      </c>
      <c r="P1190">
        <v>2026</v>
      </c>
      <c r="Q1190">
        <v>6</v>
      </c>
      <c r="R1190" t="s">
        <v>40</v>
      </c>
      <c r="S1190" t="s">
        <v>41</v>
      </c>
      <c r="T1190" t="s">
        <v>286</v>
      </c>
      <c r="U1190" t="s">
        <v>40</v>
      </c>
      <c r="V1190" t="s">
        <v>82</v>
      </c>
      <c r="W1190" t="s">
        <v>83</v>
      </c>
      <c r="X1190" t="s">
        <v>76</v>
      </c>
      <c r="Y1190">
        <v>100</v>
      </c>
      <c r="Z1190" t="s">
        <v>46</v>
      </c>
      <c r="AA1190" t="s">
        <v>47</v>
      </c>
      <c r="AB1190" s="1">
        <v>46195</v>
      </c>
      <c r="AC1190" t="s">
        <v>40</v>
      </c>
      <c r="AD1190" t="s">
        <v>40</v>
      </c>
      <c r="AE1190" t="s">
        <v>60</v>
      </c>
      <c r="AF1190" t="s">
        <v>40</v>
      </c>
      <c r="AG1190">
        <v>0</v>
      </c>
      <c r="AH1190" t="s">
        <v>100</v>
      </c>
    </row>
    <row r="1191" spans="1:34" x14ac:dyDescent="0.3">
      <c r="A1191" t="s">
        <v>1850</v>
      </c>
      <c r="B1191" t="s">
        <v>1851</v>
      </c>
      <c r="C1191" t="s">
        <v>103</v>
      </c>
      <c r="D1191" t="s">
        <v>37</v>
      </c>
      <c r="E1191" s="1">
        <v>46292</v>
      </c>
      <c r="F1191" s="1">
        <v>46306</v>
      </c>
      <c r="G1191" t="s">
        <v>41</v>
      </c>
      <c r="H1191">
        <v>5687</v>
      </c>
      <c r="I1191" t="s">
        <v>65</v>
      </c>
      <c r="J1191" t="b">
        <v>0</v>
      </c>
      <c r="K1191">
        <v>14</v>
      </c>
      <c r="L1191">
        <v>10</v>
      </c>
      <c r="M1191">
        <v>2026</v>
      </c>
      <c r="N1191">
        <v>6</v>
      </c>
      <c r="O1191">
        <v>9</v>
      </c>
      <c r="P1191">
        <v>2026</v>
      </c>
      <c r="Q1191">
        <v>6</v>
      </c>
      <c r="R1191" t="s">
        <v>66</v>
      </c>
      <c r="S1191" t="s">
        <v>41</v>
      </c>
      <c r="T1191" t="s">
        <v>139</v>
      </c>
      <c r="U1191" t="s">
        <v>66</v>
      </c>
      <c r="V1191" t="s">
        <v>105</v>
      </c>
      <c r="W1191" t="s">
        <v>106</v>
      </c>
      <c r="X1191" t="s">
        <v>45</v>
      </c>
      <c r="Y1191">
        <v>140</v>
      </c>
      <c r="Z1191" t="s">
        <v>46</v>
      </c>
      <c r="AA1191" t="s">
        <v>47</v>
      </c>
      <c r="AB1191" s="1">
        <v>46306</v>
      </c>
      <c r="AC1191" t="s">
        <v>66</v>
      </c>
      <c r="AD1191" t="s">
        <v>40</v>
      </c>
      <c r="AE1191" t="s">
        <v>60</v>
      </c>
      <c r="AF1191" t="s">
        <v>40</v>
      </c>
      <c r="AG1191">
        <v>0</v>
      </c>
      <c r="AH1191" t="s">
        <v>70</v>
      </c>
    </row>
    <row r="1192" spans="1:34" x14ac:dyDescent="0.3">
      <c r="A1192" t="s">
        <v>1852</v>
      </c>
      <c r="B1192" t="s">
        <v>758</v>
      </c>
      <c r="C1192" t="s">
        <v>79</v>
      </c>
      <c r="D1192" t="s">
        <v>53</v>
      </c>
      <c r="E1192" s="1">
        <v>45915</v>
      </c>
      <c r="F1192" s="1">
        <v>45922</v>
      </c>
      <c r="G1192" t="s">
        <v>41</v>
      </c>
      <c r="H1192">
        <v>5574</v>
      </c>
      <c r="I1192" t="s">
        <v>39</v>
      </c>
      <c r="J1192" t="b">
        <v>0</v>
      </c>
      <c r="K1192">
        <v>7</v>
      </c>
      <c r="L1192">
        <v>9</v>
      </c>
      <c r="M1192">
        <v>2025</v>
      </c>
      <c r="N1192">
        <v>0</v>
      </c>
      <c r="O1192">
        <v>9</v>
      </c>
      <c r="P1192">
        <v>2025</v>
      </c>
      <c r="Q1192">
        <v>0</v>
      </c>
      <c r="R1192" t="s">
        <v>40</v>
      </c>
      <c r="S1192" t="s">
        <v>41</v>
      </c>
      <c r="T1192" t="s">
        <v>286</v>
      </c>
      <c r="U1192" t="s">
        <v>40</v>
      </c>
      <c r="V1192" t="s">
        <v>82</v>
      </c>
      <c r="W1192" t="s">
        <v>83</v>
      </c>
      <c r="X1192" t="s">
        <v>76</v>
      </c>
      <c r="Y1192">
        <v>100</v>
      </c>
      <c r="Z1192" t="s">
        <v>58</v>
      </c>
      <c r="AA1192" t="s">
        <v>59</v>
      </c>
      <c r="AB1192" s="1">
        <v>45922</v>
      </c>
      <c r="AC1192" t="s">
        <v>40</v>
      </c>
      <c r="AD1192" t="s">
        <v>40</v>
      </c>
      <c r="AE1192" t="s">
        <v>60</v>
      </c>
      <c r="AF1192" t="s">
        <v>40</v>
      </c>
      <c r="AG1192">
        <v>0</v>
      </c>
      <c r="AH1192" t="s">
        <v>100</v>
      </c>
    </row>
    <row r="1193" spans="1:34" x14ac:dyDescent="0.3">
      <c r="A1193" t="s">
        <v>1853</v>
      </c>
      <c r="B1193" t="s">
        <v>1588</v>
      </c>
      <c r="C1193" t="s">
        <v>129</v>
      </c>
      <c r="D1193" t="s">
        <v>90</v>
      </c>
      <c r="E1193" s="1">
        <v>46357</v>
      </c>
      <c r="F1193" s="1">
        <v>46387</v>
      </c>
      <c r="G1193" t="s">
        <v>81</v>
      </c>
      <c r="H1193">
        <v>8093</v>
      </c>
      <c r="I1193" t="s">
        <v>65</v>
      </c>
      <c r="J1193" t="b">
        <v>0</v>
      </c>
      <c r="K1193">
        <v>30</v>
      </c>
      <c r="L1193">
        <v>12</v>
      </c>
      <c r="M1193">
        <v>2026</v>
      </c>
      <c r="N1193">
        <v>3</v>
      </c>
      <c r="O1193">
        <v>12</v>
      </c>
      <c r="P1193">
        <v>2026</v>
      </c>
      <c r="Q1193">
        <v>1</v>
      </c>
      <c r="R1193" t="s">
        <v>40</v>
      </c>
      <c r="S1193" t="s">
        <v>45</v>
      </c>
      <c r="T1193" t="s">
        <v>42</v>
      </c>
      <c r="U1193" t="s">
        <v>66</v>
      </c>
      <c r="V1193" t="s">
        <v>131</v>
      </c>
      <c r="W1193" t="s">
        <v>132</v>
      </c>
      <c r="X1193" t="s">
        <v>45</v>
      </c>
      <c r="Y1193">
        <v>110</v>
      </c>
      <c r="Z1193" t="s">
        <v>93</v>
      </c>
      <c r="AA1193" t="s">
        <v>94</v>
      </c>
      <c r="AB1193" s="1">
        <v>46387</v>
      </c>
      <c r="AC1193" t="s">
        <v>40</v>
      </c>
      <c r="AD1193" t="s">
        <v>40</v>
      </c>
      <c r="AE1193" t="s">
        <v>69</v>
      </c>
      <c r="AF1193" t="s">
        <v>40</v>
      </c>
      <c r="AG1193">
        <v>0</v>
      </c>
      <c r="AH1193" t="s">
        <v>70</v>
      </c>
    </row>
    <row r="1194" spans="1:34" x14ac:dyDescent="0.3">
      <c r="A1194" t="s">
        <v>1854</v>
      </c>
      <c r="B1194" t="s">
        <v>1498</v>
      </c>
      <c r="C1194" t="s">
        <v>103</v>
      </c>
      <c r="D1194" t="s">
        <v>90</v>
      </c>
      <c r="E1194" s="1">
        <v>45924</v>
      </c>
      <c r="F1194" s="1">
        <v>45925</v>
      </c>
      <c r="G1194" t="s">
        <v>81</v>
      </c>
      <c r="H1194">
        <v>10459</v>
      </c>
      <c r="I1194" t="s">
        <v>39</v>
      </c>
      <c r="J1194" t="b">
        <v>0</v>
      </c>
      <c r="K1194">
        <v>1</v>
      </c>
      <c r="L1194">
        <v>9</v>
      </c>
      <c r="M1194">
        <v>2025</v>
      </c>
      <c r="N1194">
        <v>3</v>
      </c>
      <c r="O1194">
        <v>9</v>
      </c>
      <c r="P1194">
        <v>2025</v>
      </c>
      <c r="Q1194">
        <v>2</v>
      </c>
      <c r="R1194" t="s">
        <v>40</v>
      </c>
      <c r="S1194" t="s">
        <v>41</v>
      </c>
      <c r="T1194" t="s">
        <v>42</v>
      </c>
      <c r="U1194" t="s">
        <v>66</v>
      </c>
      <c r="V1194" t="s">
        <v>105</v>
      </c>
      <c r="W1194" t="s">
        <v>106</v>
      </c>
      <c r="X1194" t="s">
        <v>45</v>
      </c>
      <c r="Y1194">
        <v>140</v>
      </c>
      <c r="Z1194" t="s">
        <v>93</v>
      </c>
      <c r="AA1194" t="s">
        <v>94</v>
      </c>
      <c r="AB1194" s="1">
        <v>45925</v>
      </c>
      <c r="AC1194" t="s">
        <v>40</v>
      </c>
      <c r="AD1194" t="s">
        <v>40</v>
      </c>
      <c r="AE1194" t="s">
        <v>60</v>
      </c>
      <c r="AF1194" t="s">
        <v>40</v>
      </c>
      <c r="AG1194">
        <v>0</v>
      </c>
      <c r="AH1194" t="s">
        <v>100</v>
      </c>
    </row>
    <row r="1195" spans="1:34" x14ac:dyDescent="0.3">
      <c r="A1195" t="s">
        <v>1855</v>
      </c>
      <c r="B1195" t="s">
        <v>78</v>
      </c>
      <c r="C1195" t="s">
        <v>97</v>
      </c>
      <c r="D1195" t="s">
        <v>104</v>
      </c>
      <c r="E1195" s="1">
        <v>46261</v>
      </c>
      <c r="F1195" s="1">
        <v>46268</v>
      </c>
      <c r="G1195" t="s">
        <v>38</v>
      </c>
      <c r="H1195">
        <v>5990</v>
      </c>
      <c r="I1195" t="s">
        <v>39</v>
      </c>
      <c r="J1195" t="b">
        <v>0</v>
      </c>
      <c r="K1195">
        <v>7</v>
      </c>
      <c r="L1195">
        <v>9</v>
      </c>
      <c r="M1195">
        <v>2026</v>
      </c>
      <c r="N1195">
        <v>3</v>
      </c>
      <c r="O1195">
        <v>8</v>
      </c>
      <c r="P1195">
        <v>2026</v>
      </c>
      <c r="Q1195">
        <v>3</v>
      </c>
      <c r="R1195" t="s">
        <v>40</v>
      </c>
      <c r="S1195" t="s">
        <v>67</v>
      </c>
      <c r="T1195" t="s">
        <v>42</v>
      </c>
      <c r="U1195" t="s">
        <v>40</v>
      </c>
      <c r="V1195" t="s">
        <v>98</v>
      </c>
      <c r="W1195" t="s">
        <v>99</v>
      </c>
      <c r="X1195" t="s">
        <v>76</v>
      </c>
      <c r="Y1195">
        <v>80</v>
      </c>
      <c r="Z1195" t="s">
        <v>107</v>
      </c>
      <c r="AA1195" t="s">
        <v>108</v>
      </c>
      <c r="AB1195" s="1">
        <v>46268</v>
      </c>
      <c r="AC1195" t="s">
        <v>40</v>
      </c>
      <c r="AD1195" t="s">
        <v>40</v>
      </c>
      <c r="AE1195" t="s">
        <v>60</v>
      </c>
      <c r="AF1195" t="s">
        <v>40</v>
      </c>
      <c r="AG1195">
        <v>0</v>
      </c>
      <c r="AH1195" t="s">
        <v>100</v>
      </c>
    </row>
    <row r="1196" spans="1:34" x14ac:dyDescent="0.3">
      <c r="A1196" t="s">
        <v>1856</v>
      </c>
      <c r="B1196" t="s">
        <v>1496</v>
      </c>
      <c r="C1196" t="s">
        <v>89</v>
      </c>
      <c r="D1196" t="s">
        <v>104</v>
      </c>
      <c r="E1196" s="1">
        <v>46036</v>
      </c>
      <c r="F1196" s="1">
        <v>46050</v>
      </c>
      <c r="G1196" t="s">
        <v>41</v>
      </c>
      <c r="H1196">
        <v>6328</v>
      </c>
      <c r="I1196" t="s">
        <v>39</v>
      </c>
      <c r="J1196" t="b">
        <v>0</v>
      </c>
      <c r="K1196">
        <v>14</v>
      </c>
      <c r="L1196">
        <v>1</v>
      </c>
      <c r="M1196">
        <v>2026</v>
      </c>
      <c r="N1196">
        <v>2</v>
      </c>
      <c r="O1196">
        <v>1</v>
      </c>
      <c r="P1196">
        <v>2026</v>
      </c>
      <c r="Q1196">
        <v>2</v>
      </c>
      <c r="R1196" t="s">
        <v>40</v>
      </c>
      <c r="S1196" t="s">
        <v>41</v>
      </c>
      <c r="T1196" t="s">
        <v>113</v>
      </c>
      <c r="U1196" t="s">
        <v>66</v>
      </c>
      <c r="V1196" t="s">
        <v>91</v>
      </c>
      <c r="W1196" t="s">
        <v>92</v>
      </c>
      <c r="X1196" t="s">
        <v>76</v>
      </c>
      <c r="Y1196">
        <v>65</v>
      </c>
      <c r="Z1196" t="s">
        <v>107</v>
      </c>
      <c r="AA1196" t="s">
        <v>108</v>
      </c>
      <c r="AB1196" s="1">
        <v>46050</v>
      </c>
      <c r="AC1196" t="s">
        <v>40</v>
      </c>
      <c r="AD1196" t="s">
        <v>40</v>
      </c>
      <c r="AE1196" t="s">
        <v>86</v>
      </c>
      <c r="AF1196" t="s">
        <v>40</v>
      </c>
      <c r="AG1196">
        <v>0</v>
      </c>
      <c r="AH1196" t="s">
        <v>70</v>
      </c>
    </row>
    <row r="1197" spans="1:34" x14ac:dyDescent="0.3">
      <c r="A1197" t="s">
        <v>1857</v>
      </c>
      <c r="B1197" t="s">
        <v>1318</v>
      </c>
      <c r="C1197" t="s">
        <v>169</v>
      </c>
      <c r="D1197" t="s">
        <v>90</v>
      </c>
      <c r="E1197" s="1">
        <v>45665</v>
      </c>
      <c r="F1197" s="1">
        <v>45672</v>
      </c>
      <c r="G1197" t="s">
        <v>64</v>
      </c>
      <c r="H1197">
        <v>3888</v>
      </c>
      <c r="I1197" t="s">
        <v>39</v>
      </c>
      <c r="J1197" t="b">
        <v>0</v>
      </c>
      <c r="K1197">
        <v>7</v>
      </c>
      <c r="L1197">
        <v>1</v>
      </c>
      <c r="M1197">
        <v>2025</v>
      </c>
      <c r="N1197">
        <v>2</v>
      </c>
      <c r="O1197">
        <v>1</v>
      </c>
      <c r="P1197">
        <v>2025</v>
      </c>
      <c r="Q1197">
        <v>2</v>
      </c>
      <c r="R1197" t="s">
        <v>40</v>
      </c>
      <c r="S1197" t="s">
        <v>55</v>
      </c>
      <c r="T1197" t="s">
        <v>123</v>
      </c>
      <c r="U1197" t="s">
        <v>40</v>
      </c>
      <c r="V1197" t="s">
        <v>170</v>
      </c>
      <c r="W1197" t="s">
        <v>171</v>
      </c>
      <c r="X1197" t="s">
        <v>126</v>
      </c>
      <c r="Y1197">
        <v>90</v>
      </c>
      <c r="Z1197" t="s">
        <v>93</v>
      </c>
      <c r="AA1197" t="s">
        <v>94</v>
      </c>
      <c r="AB1197" s="1">
        <v>45672</v>
      </c>
      <c r="AC1197" t="s">
        <v>40</v>
      </c>
      <c r="AD1197" t="s">
        <v>40</v>
      </c>
      <c r="AE1197" t="s">
        <v>86</v>
      </c>
      <c r="AF1197" t="s">
        <v>40</v>
      </c>
      <c r="AG1197">
        <v>0</v>
      </c>
      <c r="AH1197" t="s">
        <v>100</v>
      </c>
    </row>
    <row r="1198" spans="1:34" x14ac:dyDescent="0.3">
      <c r="A1198" t="s">
        <v>1858</v>
      </c>
      <c r="B1198" t="s">
        <v>193</v>
      </c>
      <c r="C1198" t="s">
        <v>52</v>
      </c>
      <c r="D1198" t="s">
        <v>90</v>
      </c>
      <c r="E1198" s="1">
        <v>46192</v>
      </c>
      <c r="F1198" s="1">
        <v>46292</v>
      </c>
      <c r="G1198" t="s">
        <v>81</v>
      </c>
      <c r="H1198">
        <v>6808</v>
      </c>
      <c r="I1198" t="s">
        <v>54</v>
      </c>
      <c r="J1198" t="b">
        <v>0</v>
      </c>
      <c r="K1198">
        <v>100</v>
      </c>
      <c r="L1198">
        <v>9</v>
      </c>
      <c r="M1198">
        <v>2026</v>
      </c>
      <c r="N1198">
        <v>6</v>
      </c>
      <c r="O1198">
        <v>6</v>
      </c>
      <c r="P1198">
        <v>2026</v>
      </c>
      <c r="Q1198">
        <v>4</v>
      </c>
      <c r="R1198" t="s">
        <v>66</v>
      </c>
      <c r="S1198" t="s">
        <v>55</v>
      </c>
      <c r="T1198" t="s">
        <v>42</v>
      </c>
      <c r="U1198" t="s">
        <v>66</v>
      </c>
      <c r="V1198" t="s">
        <v>56</v>
      </c>
      <c r="W1198" t="s">
        <v>57</v>
      </c>
      <c r="X1198" t="s">
        <v>45</v>
      </c>
      <c r="Y1198">
        <v>120</v>
      </c>
      <c r="Z1198" t="s">
        <v>93</v>
      </c>
      <c r="AA1198" t="s">
        <v>94</v>
      </c>
      <c r="AB1198" s="1">
        <v>46292</v>
      </c>
      <c r="AC1198" t="s">
        <v>66</v>
      </c>
      <c r="AD1198" t="s">
        <v>40</v>
      </c>
      <c r="AE1198" t="s">
        <v>60</v>
      </c>
      <c r="AF1198" t="s">
        <v>40</v>
      </c>
      <c r="AG1198">
        <v>1</v>
      </c>
      <c r="AH1198" t="s">
        <v>49</v>
      </c>
    </row>
    <row r="1199" spans="1:34" x14ac:dyDescent="0.3">
      <c r="A1199" t="s">
        <v>1859</v>
      </c>
      <c r="B1199" t="s">
        <v>907</v>
      </c>
      <c r="C1199" t="s">
        <v>36</v>
      </c>
      <c r="D1199" t="s">
        <v>53</v>
      </c>
      <c r="E1199" s="1">
        <v>45958</v>
      </c>
      <c r="F1199" s="1">
        <v>45972</v>
      </c>
      <c r="G1199" t="s">
        <v>81</v>
      </c>
      <c r="H1199">
        <v>8274</v>
      </c>
      <c r="I1199" t="s">
        <v>39</v>
      </c>
      <c r="J1199" t="b">
        <v>0</v>
      </c>
      <c r="K1199">
        <v>14</v>
      </c>
      <c r="L1199">
        <v>11</v>
      </c>
      <c r="M1199">
        <v>2025</v>
      </c>
      <c r="N1199">
        <v>1</v>
      </c>
      <c r="O1199">
        <v>10</v>
      </c>
      <c r="P1199">
        <v>2025</v>
      </c>
      <c r="Q1199">
        <v>1</v>
      </c>
      <c r="R1199" t="s">
        <v>40</v>
      </c>
      <c r="S1199" t="s">
        <v>41</v>
      </c>
      <c r="T1199" t="s">
        <v>113</v>
      </c>
      <c r="U1199" t="s">
        <v>40</v>
      </c>
      <c r="V1199" t="s">
        <v>43</v>
      </c>
      <c r="W1199" t="s">
        <v>44</v>
      </c>
      <c r="X1199" t="s">
        <v>45</v>
      </c>
      <c r="Y1199">
        <v>150</v>
      </c>
      <c r="Z1199" t="s">
        <v>58</v>
      </c>
      <c r="AA1199" t="s">
        <v>59</v>
      </c>
      <c r="AB1199" s="1">
        <v>45972</v>
      </c>
      <c r="AC1199" t="s">
        <v>40</v>
      </c>
      <c r="AD1199" t="s">
        <v>40</v>
      </c>
      <c r="AE1199" t="s">
        <v>86</v>
      </c>
      <c r="AF1199" t="s">
        <v>40</v>
      </c>
      <c r="AG1199">
        <v>0</v>
      </c>
      <c r="AH1199" t="s">
        <v>70</v>
      </c>
    </row>
    <row r="1200" spans="1:34" x14ac:dyDescent="0.3">
      <c r="A1200" t="s">
        <v>1860</v>
      </c>
      <c r="B1200" t="s">
        <v>1181</v>
      </c>
      <c r="C1200" t="s">
        <v>122</v>
      </c>
      <c r="D1200" t="s">
        <v>37</v>
      </c>
      <c r="E1200" s="1">
        <v>46195</v>
      </c>
      <c r="F1200" s="1">
        <v>46198</v>
      </c>
      <c r="G1200" t="s">
        <v>41</v>
      </c>
      <c r="H1200">
        <v>5065</v>
      </c>
      <c r="I1200" t="s">
        <v>65</v>
      </c>
      <c r="J1200" t="b">
        <v>0</v>
      </c>
      <c r="K1200">
        <v>3</v>
      </c>
      <c r="L1200">
        <v>6</v>
      </c>
      <c r="M1200">
        <v>2026</v>
      </c>
      <c r="N1200">
        <v>3</v>
      </c>
      <c r="O1200">
        <v>6</v>
      </c>
      <c r="P1200">
        <v>2026</v>
      </c>
      <c r="Q1200">
        <v>0</v>
      </c>
      <c r="R1200" t="s">
        <v>40</v>
      </c>
      <c r="S1200" t="s">
        <v>67</v>
      </c>
      <c r="T1200" t="s">
        <v>42</v>
      </c>
      <c r="U1200" t="s">
        <v>40</v>
      </c>
      <c r="V1200" t="s">
        <v>124</v>
      </c>
      <c r="W1200" t="s">
        <v>125</v>
      </c>
      <c r="X1200" t="s">
        <v>126</v>
      </c>
      <c r="Y1200">
        <v>85</v>
      </c>
      <c r="Z1200" t="s">
        <v>46</v>
      </c>
      <c r="AA1200" t="s">
        <v>47</v>
      </c>
      <c r="AB1200" s="1">
        <v>46198</v>
      </c>
      <c r="AC1200" t="s">
        <v>40</v>
      </c>
      <c r="AD1200" t="s">
        <v>40</v>
      </c>
      <c r="AE1200" t="s">
        <v>60</v>
      </c>
      <c r="AF1200" t="s">
        <v>40</v>
      </c>
      <c r="AG1200">
        <v>0</v>
      </c>
      <c r="AH1200" t="s">
        <v>100</v>
      </c>
    </row>
    <row r="1201" spans="1:34" x14ac:dyDescent="0.3">
      <c r="A1201" t="s">
        <v>1861</v>
      </c>
      <c r="B1201" t="s">
        <v>581</v>
      </c>
      <c r="C1201" t="s">
        <v>122</v>
      </c>
      <c r="D1201" t="s">
        <v>130</v>
      </c>
      <c r="E1201" s="1">
        <v>45936</v>
      </c>
      <c r="F1201" s="1">
        <v>45950</v>
      </c>
      <c r="G1201" t="s">
        <v>38</v>
      </c>
      <c r="H1201">
        <v>5784</v>
      </c>
      <c r="I1201" t="s">
        <v>39</v>
      </c>
      <c r="J1201" t="b">
        <v>0</v>
      </c>
      <c r="K1201">
        <v>14</v>
      </c>
      <c r="L1201">
        <v>10</v>
      </c>
      <c r="M1201">
        <v>2025</v>
      </c>
      <c r="N1201">
        <v>0</v>
      </c>
      <c r="O1201">
        <v>10</v>
      </c>
      <c r="P1201">
        <v>2025</v>
      </c>
      <c r="Q1201">
        <v>0</v>
      </c>
      <c r="R1201" t="s">
        <v>40</v>
      </c>
      <c r="S1201" t="s">
        <v>45</v>
      </c>
      <c r="T1201" t="s">
        <v>139</v>
      </c>
      <c r="U1201" t="s">
        <v>40</v>
      </c>
      <c r="V1201" t="s">
        <v>124</v>
      </c>
      <c r="W1201" t="s">
        <v>125</v>
      </c>
      <c r="X1201" t="s">
        <v>126</v>
      </c>
      <c r="Y1201">
        <v>85</v>
      </c>
      <c r="Z1201" t="s">
        <v>133</v>
      </c>
      <c r="AA1201" t="s">
        <v>134</v>
      </c>
      <c r="AB1201" s="1">
        <v>45950</v>
      </c>
      <c r="AC1201" t="s">
        <v>40</v>
      </c>
      <c r="AD1201" t="s">
        <v>40</v>
      </c>
      <c r="AE1201" t="s">
        <v>60</v>
      </c>
      <c r="AF1201" t="s">
        <v>40</v>
      </c>
      <c r="AG1201">
        <v>0</v>
      </c>
      <c r="AH1201" t="s">
        <v>70</v>
      </c>
    </row>
    <row r="1202" spans="1:34" x14ac:dyDescent="0.3">
      <c r="A1202" t="s">
        <v>1862</v>
      </c>
      <c r="B1202" t="s">
        <v>1863</v>
      </c>
      <c r="C1202" t="s">
        <v>103</v>
      </c>
      <c r="D1202" t="s">
        <v>130</v>
      </c>
      <c r="E1202" s="1">
        <v>45990</v>
      </c>
      <c r="F1202" s="1">
        <v>46090</v>
      </c>
      <c r="G1202" t="s">
        <v>41</v>
      </c>
      <c r="H1202">
        <v>6223</v>
      </c>
      <c r="I1202" t="s">
        <v>54</v>
      </c>
      <c r="J1202" t="b">
        <v>0</v>
      </c>
      <c r="K1202">
        <v>100</v>
      </c>
      <c r="L1202">
        <v>3</v>
      </c>
      <c r="M1202">
        <v>2026</v>
      </c>
      <c r="N1202">
        <v>0</v>
      </c>
      <c r="O1202">
        <v>11</v>
      </c>
      <c r="P1202">
        <v>2025</v>
      </c>
      <c r="Q1202">
        <v>5</v>
      </c>
      <c r="R1202" t="s">
        <v>40</v>
      </c>
      <c r="S1202" t="s">
        <v>55</v>
      </c>
      <c r="T1202" t="s">
        <v>42</v>
      </c>
      <c r="U1202" t="s">
        <v>66</v>
      </c>
      <c r="V1202" t="s">
        <v>105</v>
      </c>
      <c r="W1202" t="s">
        <v>106</v>
      </c>
      <c r="X1202" t="s">
        <v>45</v>
      </c>
      <c r="Y1202">
        <v>140</v>
      </c>
      <c r="Z1202" t="s">
        <v>133</v>
      </c>
      <c r="AA1202" t="s">
        <v>134</v>
      </c>
      <c r="AB1202" s="1">
        <v>46090</v>
      </c>
      <c r="AC1202" t="s">
        <v>40</v>
      </c>
      <c r="AD1202" t="s">
        <v>40</v>
      </c>
      <c r="AE1202" t="s">
        <v>60</v>
      </c>
      <c r="AF1202" t="s">
        <v>40</v>
      </c>
      <c r="AG1202">
        <v>1</v>
      </c>
      <c r="AH1202" t="s">
        <v>49</v>
      </c>
    </row>
    <row r="1203" spans="1:34" x14ac:dyDescent="0.3">
      <c r="A1203" t="s">
        <v>1864</v>
      </c>
      <c r="B1203" t="s">
        <v>365</v>
      </c>
      <c r="C1203" t="s">
        <v>146</v>
      </c>
      <c r="D1203" t="s">
        <v>53</v>
      </c>
      <c r="E1203" s="1">
        <v>46343</v>
      </c>
      <c r="F1203" s="1">
        <v>46350</v>
      </c>
      <c r="G1203" t="s">
        <v>81</v>
      </c>
      <c r="H1203">
        <v>9099</v>
      </c>
      <c r="I1203" t="s">
        <v>39</v>
      </c>
      <c r="J1203" t="b">
        <v>0</v>
      </c>
      <c r="K1203">
        <v>7</v>
      </c>
      <c r="L1203">
        <v>11</v>
      </c>
      <c r="M1203">
        <v>2026</v>
      </c>
      <c r="N1203">
        <v>1</v>
      </c>
      <c r="O1203">
        <v>11</v>
      </c>
      <c r="P1203">
        <v>2026</v>
      </c>
      <c r="Q1203">
        <v>1</v>
      </c>
      <c r="R1203" t="s">
        <v>40</v>
      </c>
      <c r="S1203" t="s">
        <v>41</v>
      </c>
      <c r="T1203" t="s">
        <v>42</v>
      </c>
      <c r="U1203" t="s">
        <v>40</v>
      </c>
      <c r="V1203" t="s">
        <v>147</v>
      </c>
      <c r="W1203" t="s">
        <v>148</v>
      </c>
      <c r="X1203" t="s">
        <v>45</v>
      </c>
      <c r="Y1203">
        <v>160</v>
      </c>
      <c r="Z1203" t="s">
        <v>58</v>
      </c>
      <c r="AA1203" t="s">
        <v>59</v>
      </c>
      <c r="AB1203" s="1">
        <v>46350</v>
      </c>
      <c r="AC1203" t="s">
        <v>40</v>
      </c>
      <c r="AD1203" t="s">
        <v>40</v>
      </c>
      <c r="AE1203" t="s">
        <v>86</v>
      </c>
      <c r="AF1203" t="s">
        <v>40</v>
      </c>
      <c r="AG1203">
        <v>0</v>
      </c>
      <c r="AH1203" t="s">
        <v>100</v>
      </c>
    </row>
    <row r="1204" spans="1:34" x14ac:dyDescent="0.3">
      <c r="A1204" t="s">
        <v>1865</v>
      </c>
      <c r="B1204" t="s">
        <v>1566</v>
      </c>
      <c r="C1204" t="s">
        <v>169</v>
      </c>
      <c r="D1204" t="s">
        <v>80</v>
      </c>
      <c r="E1204" s="1">
        <v>45779</v>
      </c>
      <c r="F1204" s="1">
        <v>45929</v>
      </c>
      <c r="G1204" t="s">
        <v>41</v>
      </c>
      <c r="H1204">
        <v>8614</v>
      </c>
      <c r="I1204" t="s">
        <v>54</v>
      </c>
      <c r="J1204" t="b">
        <v>0</v>
      </c>
      <c r="K1204">
        <v>150</v>
      </c>
      <c r="L1204">
        <v>9</v>
      </c>
      <c r="M1204">
        <v>2025</v>
      </c>
      <c r="N1204">
        <v>0</v>
      </c>
      <c r="O1204">
        <v>5</v>
      </c>
      <c r="P1204">
        <v>2025</v>
      </c>
      <c r="Q1204">
        <v>4</v>
      </c>
      <c r="R1204" t="s">
        <v>40</v>
      </c>
      <c r="S1204" t="s">
        <v>45</v>
      </c>
      <c r="T1204" t="s">
        <v>42</v>
      </c>
      <c r="U1204" t="s">
        <v>40</v>
      </c>
      <c r="V1204" t="s">
        <v>170</v>
      </c>
      <c r="W1204" t="s">
        <v>171</v>
      </c>
      <c r="X1204" t="s">
        <v>126</v>
      </c>
      <c r="Y1204">
        <v>90</v>
      </c>
      <c r="Z1204" t="s">
        <v>84</v>
      </c>
      <c r="AA1204" t="s">
        <v>85</v>
      </c>
      <c r="AB1204" s="1">
        <v>45929</v>
      </c>
      <c r="AC1204" t="s">
        <v>40</v>
      </c>
      <c r="AD1204" t="s">
        <v>40</v>
      </c>
      <c r="AE1204" t="s">
        <v>60</v>
      </c>
      <c r="AF1204" t="s">
        <v>40</v>
      </c>
      <c r="AG1204">
        <v>1</v>
      </c>
      <c r="AH1204" t="s">
        <v>49</v>
      </c>
    </row>
    <row r="1205" spans="1:34" x14ac:dyDescent="0.3">
      <c r="A1205" t="s">
        <v>1866</v>
      </c>
      <c r="B1205" t="s">
        <v>907</v>
      </c>
      <c r="C1205" t="s">
        <v>79</v>
      </c>
      <c r="D1205" t="s">
        <v>37</v>
      </c>
      <c r="E1205" s="1">
        <v>45893</v>
      </c>
      <c r="F1205" s="1">
        <v>45923</v>
      </c>
      <c r="G1205" t="s">
        <v>38</v>
      </c>
      <c r="H1205">
        <v>4468</v>
      </c>
      <c r="I1205" t="s">
        <v>65</v>
      </c>
      <c r="J1205" t="b">
        <v>0</v>
      </c>
      <c r="K1205">
        <v>30</v>
      </c>
      <c r="L1205">
        <v>9</v>
      </c>
      <c r="M1205">
        <v>2025</v>
      </c>
      <c r="N1205">
        <v>1</v>
      </c>
      <c r="O1205">
        <v>8</v>
      </c>
      <c r="P1205">
        <v>2025</v>
      </c>
      <c r="Q1205">
        <v>6</v>
      </c>
      <c r="R1205" t="s">
        <v>40</v>
      </c>
      <c r="S1205" t="s">
        <v>41</v>
      </c>
      <c r="T1205" t="s">
        <v>113</v>
      </c>
      <c r="U1205" t="s">
        <v>40</v>
      </c>
      <c r="V1205" t="s">
        <v>82</v>
      </c>
      <c r="W1205" t="s">
        <v>83</v>
      </c>
      <c r="X1205" t="s">
        <v>76</v>
      </c>
      <c r="Y1205">
        <v>100</v>
      </c>
      <c r="Z1205" t="s">
        <v>46</v>
      </c>
      <c r="AA1205" t="s">
        <v>47</v>
      </c>
      <c r="AB1205" s="1">
        <v>45923</v>
      </c>
      <c r="AC1205" t="s">
        <v>40</v>
      </c>
      <c r="AD1205" t="s">
        <v>40</v>
      </c>
      <c r="AE1205" t="s">
        <v>60</v>
      </c>
      <c r="AF1205" t="s">
        <v>40</v>
      </c>
      <c r="AG1205">
        <v>0</v>
      </c>
      <c r="AH1205" t="s">
        <v>70</v>
      </c>
    </row>
    <row r="1206" spans="1:34" x14ac:dyDescent="0.3">
      <c r="A1206" t="s">
        <v>1867</v>
      </c>
      <c r="B1206" t="s">
        <v>1868</v>
      </c>
      <c r="C1206" t="s">
        <v>79</v>
      </c>
      <c r="D1206" t="s">
        <v>130</v>
      </c>
      <c r="E1206" s="1">
        <v>45871</v>
      </c>
      <c r="F1206" s="1">
        <v>45872</v>
      </c>
      <c r="G1206" t="s">
        <v>81</v>
      </c>
      <c r="H1206">
        <v>8171</v>
      </c>
      <c r="I1206" t="s">
        <v>39</v>
      </c>
      <c r="J1206" t="b">
        <v>0</v>
      </c>
      <c r="K1206">
        <v>1</v>
      </c>
      <c r="L1206">
        <v>8</v>
      </c>
      <c r="M1206">
        <v>2025</v>
      </c>
      <c r="N1206">
        <v>6</v>
      </c>
      <c r="O1206">
        <v>8</v>
      </c>
      <c r="P1206">
        <v>2025</v>
      </c>
      <c r="Q1206">
        <v>5</v>
      </c>
      <c r="R1206" t="s">
        <v>66</v>
      </c>
      <c r="S1206" t="s">
        <v>67</v>
      </c>
      <c r="T1206" t="s">
        <v>42</v>
      </c>
      <c r="U1206" t="s">
        <v>40</v>
      </c>
      <c r="V1206" t="s">
        <v>82</v>
      </c>
      <c r="W1206" t="s">
        <v>83</v>
      </c>
      <c r="X1206" t="s">
        <v>76</v>
      </c>
      <c r="Y1206">
        <v>100</v>
      </c>
      <c r="Z1206" t="s">
        <v>133</v>
      </c>
      <c r="AA1206" t="s">
        <v>134</v>
      </c>
      <c r="AB1206" s="1">
        <v>45872</v>
      </c>
      <c r="AC1206" t="s">
        <v>66</v>
      </c>
      <c r="AD1206" t="s">
        <v>40</v>
      </c>
      <c r="AE1206" t="s">
        <v>86</v>
      </c>
      <c r="AF1206" t="s">
        <v>40</v>
      </c>
      <c r="AG1206">
        <v>0</v>
      </c>
      <c r="AH1206" t="s">
        <v>100</v>
      </c>
    </row>
    <row r="1207" spans="1:34" x14ac:dyDescent="0.3">
      <c r="A1207" t="s">
        <v>1869</v>
      </c>
      <c r="B1207" t="s">
        <v>811</v>
      </c>
      <c r="C1207" t="s">
        <v>169</v>
      </c>
      <c r="D1207" t="s">
        <v>53</v>
      </c>
      <c r="E1207" s="1">
        <v>45949</v>
      </c>
      <c r="F1207" s="1">
        <v>46049</v>
      </c>
      <c r="G1207" t="s">
        <v>41</v>
      </c>
      <c r="H1207">
        <v>7046</v>
      </c>
      <c r="I1207" t="s">
        <v>65</v>
      </c>
      <c r="J1207" t="b">
        <v>0</v>
      </c>
      <c r="K1207">
        <v>100</v>
      </c>
      <c r="L1207">
        <v>1</v>
      </c>
      <c r="M1207">
        <v>2026</v>
      </c>
      <c r="N1207">
        <v>1</v>
      </c>
      <c r="O1207">
        <v>10</v>
      </c>
      <c r="P1207">
        <v>2025</v>
      </c>
      <c r="Q1207">
        <v>6</v>
      </c>
      <c r="R1207" t="s">
        <v>40</v>
      </c>
      <c r="S1207" t="s">
        <v>55</v>
      </c>
      <c r="T1207" t="s">
        <v>139</v>
      </c>
      <c r="U1207" t="s">
        <v>40</v>
      </c>
      <c r="V1207" t="s">
        <v>170</v>
      </c>
      <c r="W1207" t="s">
        <v>171</v>
      </c>
      <c r="X1207" t="s">
        <v>126</v>
      </c>
      <c r="Y1207">
        <v>90</v>
      </c>
      <c r="Z1207" t="s">
        <v>58</v>
      </c>
      <c r="AA1207" t="s">
        <v>59</v>
      </c>
      <c r="AB1207" s="1">
        <v>46049</v>
      </c>
      <c r="AC1207" t="s">
        <v>40</v>
      </c>
      <c r="AD1207" t="s">
        <v>40</v>
      </c>
      <c r="AE1207" t="s">
        <v>86</v>
      </c>
      <c r="AF1207" t="s">
        <v>40</v>
      </c>
      <c r="AG1207">
        <v>0</v>
      </c>
      <c r="AH1207" t="s">
        <v>49</v>
      </c>
    </row>
    <row r="1208" spans="1:34" x14ac:dyDescent="0.3">
      <c r="A1208" t="s">
        <v>1870</v>
      </c>
      <c r="B1208" t="s">
        <v>1031</v>
      </c>
      <c r="C1208" t="s">
        <v>122</v>
      </c>
      <c r="D1208" t="s">
        <v>37</v>
      </c>
      <c r="E1208" s="1">
        <v>46109</v>
      </c>
      <c r="F1208" s="1">
        <v>46169</v>
      </c>
      <c r="G1208" t="s">
        <v>81</v>
      </c>
      <c r="H1208">
        <v>7562</v>
      </c>
      <c r="I1208" t="s">
        <v>65</v>
      </c>
      <c r="J1208" t="b">
        <v>0</v>
      </c>
      <c r="K1208">
        <v>60</v>
      </c>
      <c r="L1208">
        <v>5</v>
      </c>
      <c r="M1208">
        <v>2026</v>
      </c>
      <c r="N1208">
        <v>2</v>
      </c>
      <c r="O1208">
        <v>3</v>
      </c>
      <c r="P1208">
        <v>2026</v>
      </c>
      <c r="Q1208">
        <v>5</v>
      </c>
      <c r="R1208" t="s">
        <v>40</v>
      </c>
      <c r="S1208" t="s">
        <v>41</v>
      </c>
      <c r="T1208" t="s">
        <v>123</v>
      </c>
      <c r="U1208" t="s">
        <v>40</v>
      </c>
      <c r="V1208" t="s">
        <v>124</v>
      </c>
      <c r="W1208" t="s">
        <v>125</v>
      </c>
      <c r="X1208" t="s">
        <v>126</v>
      </c>
      <c r="Y1208">
        <v>85</v>
      </c>
      <c r="Z1208" t="s">
        <v>46</v>
      </c>
      <c r="AA1208" t="s">
        <v>47</v>
      </c>
      <c r="AB1208" s="1">
        <v>46169</v>
      </c>
      <c r="AC1208" t="s">
        <v>40</v>
      </c>
      <c r="AD1208" t="s">
        <v>40</v>
      </c>
      <c r="AE1208" t="s">
        <v>69</v>
      </c>
      <c r="AF1208" t="s">
        <v>40</v>
      </c>
      <c r="AG1208">
        <v>0</v>
      </c>
      <c r="AH1208" t="s">
        <v>61</v>
      </c>
    </row>
    <row r="1209" spans="1:34" x14ac:dyDescent="0.3">
      <c r="A1209" t="s">
        <v>1871</v>
      </c>
      <c r="B1209" t="s">
        <v>1352</v>
      </c>
      <c r="C1209" t="s">
        <v>169</v>
      </c>
      <c r="D1209" t="s">
        <v>90</v>
      </c>
      <c r="E1209" s="1">
        <v>45729</v>
      </c>
      <c r="F1209" s="1">
        <v>45759</v>
      </c>
      <c r="G1209" t="s">
        <v>38</v>
      </c>
      <c r="H1209">
        <v>3933</v>
      </c>
      <c r="I1209" t="s">
        <v>39</v>
      </c>
      <c r="J1209" t="b">
        <v>0</v>
      </c>
      <c r="K1209">
        <v>30</v>
      </c>
      <c r="L1209">
        <v>4</v>
      </c>
      <c r="M1209">
        <v>2025</v>
      </c>
      <c r="N1209">
        <v>5</v>
      </c>
      <c r="O1209">
        <v>3</v>
      </c>
      <c r="P1209">
        <v>2025</v>
      </c>
      <c r="Q1209">
        <v>3</v>
      </c>
      <c r="R1209" t="s">
        <v>66</v>
      </c>
      <c r="S1209" t="s">
        <v>55</v>
      </c>
      <c r="T1209" t="s">
        <v>42</v>
      </c>
      <c r="U1209" t="s">
        <v>66</v>
      </c>
      <c r="V1209" t="s">
        <v>170</v>
      </c>
      <c r="W1209" t="s">
        <v>171</v>
      </c>
      <c r="X1209" t="s">
        <v>126</v>
      </c>
      <c r="Y1209">
        <v>90</v>
      </c>
      <c r="Z1209" t="s">
        <v>93</v>
      </c>
      <c r="AA1209" t="s">
        <v>94</v>
      </c>
      <c r="AB1209" s="1">
        <v>45759</v>
      </c>
      <c r="AC1209" t="s">
        <v>66</v>
      </c>
      <c r="AD1209" t="s">
        <v>40</v>
      </c>
      <c r="AE1209" t="s">
        <v>69</v>
      </c>
      <c r="AF1209" t="s">
        <v>40</v>
      </c>
      <c r="AG1209">
        <v>0</v>
      </c>
      <c r="AH1209" t="s">
        <v>70</v>
      </c>
    </row>
    <row r="1210" spans="1:34" x14ac:dyDescent="0.3">
      <c r="A1210" t="s">
        <v>1872</v>
      </c>
      <c r="B1210" t="s">
        <v>465</v>
      </c>
      <c r="C1210" t="s">
        <v>129</v>
      </c>
      <c r="D1210" t="s">
        <v>53</v>
      </c>
      <c r="E1210" s="1">
        <v>46297</v>
      </c>
      <c r="F1210" s="1">
        <v>46300</v>
      </c>
      <c r="G1210" t="s">
        <v>41</v>
      </c>
      <c r="H1210">
        <v>6002</v>
      </c>
      <c r="I1210" t="s">
        <v>39</v>
      </c>
      <c r="J1210" t="b">
        <v>0</v>
      </c>
      <c r="K1210">
        <v>3</v>
      </c>
      <c r="L1210">
        <v>10</v>
      </c>
      <c r="M1210">
        <v>2026</v>
      </c>
      <c r="N1210">
        <v>0</v>
      </c>
      <c r="O1210">
        <v>10</v>
      </c>
      <c r="P1210">
        <v>2026</v>
      </c>
      <c r="Q1210">
        <v>4</v>
      </c>
      <c r="R1210" t="s">
        <v>40</v>
      </c>
      <c r="S1210" t="s">
        <v>41</v>
      </c>
      <c r="T1210" t="s">
        <v>42</v>
      </c>
      <c r="U1210" t="s">
        <v>66</v>
      </c>
      <c r="V1210" t="s">
        <v>131</v>
      </c>
      <c r="W1210" t="s">
        <v>132</v>
      </c>
      <c r="X1210" t="s">
        <v>45</v>
      </c>
      <c r="Y1210">
        <v>110</v>
      </c>
      <c r="Z1210" t="s">
        <v>58</v>
      </c>
      <c r="AA1210" t="s">
        <v>59</v>
      </c>
      <c r="AB1210" s="1">
        <v>46300</v>
      </c>
      <c r="AC1210" t="s">
        <v>40</v>
      </c>
      <c r="AD1210" t="s">
        <v>40</v>
      </c>
      <c r="AE1210" t="s">
        <v>60</v>
      </c>
      <c r="AF1210" t="s">
        <v>40</v>
      </c>
      <c r="AG1210">
        <v>0</v>
      </c>
      <c r="AH1210" t="s">
        <v>100</v>
      </c>
    </row>
    <row r="1211" spans="1:34" x14ac:dyDescent="0.3">
      <c r="A1211" t="s">
        <v>1873</v>
      </c>
      <c r="B1211" t="s">
        <v>1667</v>
      </c>
      <c r="C1211" t="s">
        <v>122</v>
      </c>
      <c r="D1211" t="s">
        <v>53</v>
      </c>
      <c r="E1211" s="1">
        <v>45682</v>
      </c>
      <c r="F1211" s="1">
        <v>45712</v>
      </c>
      <c r="G1211" t="s">
        <v>41</v>
      </c>
      <c r="H1211">
        <v>6867</v>
      </c>
      <c r="I1211" t="s">
        <v>54</v>
      </c>
      <c r="J1211" t="b">
        <v>0</v>
      </c>
      <c r="K1211">
        <v>30</v>
      </c>
      <c r="L1211">
        <v>2</v>
      </c>
      <c r="M1211">
        <v>2025</v>
      </c>
      <c r="N1211">
        <v>0</v>
      </c>
      <c r="O1211">
        <v>1</v>
      </c>
      <c r="P1211">
        <v>2025</v>
      </c>
      <c r="Q1211">
        <v>5</v>
      </c>
      <c r="R1211" t="s">
        <v>40</v>
      </c>
      <c r="S1211" t="s">
        <v>45</v>
      </c>
      <c r="T1211" t="s">
        <v>42</v>
      </c>
      <c r="U1211" t="s">
        <v>40</v>
      </c>
      <c r="V1211" t="s">
        <v>124</v>
      </c>
      <c r="W1211" t="s">
        <v>125</v>
      </c>
      <c r="X1211" t="s">
        <v>126</v>
      </c>
      <c r="Y1211">
        <v>85</v>
      </c>
      <c r="Z1211" t="s">
        <v>58</v>
      </c>
      <c r="AA1211" t="s">
        <v>59</v>
      </c>
      <c r="AB1211" s="1">
        <v>45712</v>
      </c>
      <c r="AC1211" t="s">
        <v>40</v>
      </c>
      <c r="AD1211" t="s">
        <v>40</v>
      </c>
      <c r="AE1211" t="s">
        <v>60</v>
      </c>
      <c r="AF1211" t="s">
        <v>40</v>
      </c>
      <c r="AG1211">
        <v>1</v>
      </c>
      <c r="AH1211" t="s">
        <v>70</v>
      </c>
    </row>
    <row r="1212" spans="1:34" x14ac:dyDescent="0.3">
      <c r="A1212" t="s">
        <v>1874</v>
      </c>
      <c r="B1212" t="s">
        <v>340</v>
      </c>
      <c r="C1212" t="s">
        <v>122</v>
      </c>
      <c r="D1212" t="s">
        <v>104</v>
      </c>
      <c r="E1212" s="1">
        <v>45986</v>
      </c>
      <c r="F1212" s="1">
        <v>45993</v>
      </c>
      <c r="G1212" t="s">
        <v>81</v>
      </c>
      <c r="H1212">
        <v>10463</v>
      </c>
      <c r="I1212" t="s">
        <v>212</v>
      </c>
      <c r="J1212" t="b">
        <v>0</v>
      </c>
      <c r="K1212">
        <v>7</v>
      </c>
      <c r="L1212">
        <v>12</v>
      </c>
      <c r="M1212">
        <v>2025</v>
      </c>
      <c r="N1212">
        <v>1</v>
      </c>
      <c r="O1212">
        <v>11</v>
      </c>
      <c r="P1212">
        <v>2025</v>
      </c>
      <c r="Q1212">
        <v>1</v>
      </c>
      <c r="R1212" t="s">
        <v>40</v>
      </c>
      <c r="S1212" t="s">
        <v>41</v>
      </c>
      <c r="T1212" t="s">
        <v>286</v>
      </c>
      <c r="U1212" t="s">
        <v>40</v>
      </c>
      <c r="V1212" t="s">
        <v>124</v>
      </c>
      <c r="W1212" t="s">
        <v>125</v>
      </c>
      <c r="X1212" t="s">
        <v>126</v>
      </c>
      <c r="Y1212">
        <v>85</v>
      </c>
      <c r="Z1212" t="s">
        <v>107</v>
      </c>
      <c r="AA1212" t="s">
        <v>108</v>
      </c>
      <c r="AB1212" s="1">
        <v>45993</v>
      </c>
      <c r="AC1212" t="s">
        <v>40</v>
      </c>
      <c r="AD1212" t="s">
        <v>40</v>
      </c>
      <c r="AE1212" t="s">
        <v>69</v>
      </c>
      <c r="AF1212" t="s">
        <v>40</v>
      </c>
      <c r="AG1212">
        <v>0</v>
      </c>
      <c r="AH1212" t="s">
        <v>100</v>
      </c>
    </row>
    <row r="1213" spans="1:34" x14ac:dyDescent="0.3">
      <c r="A1213" t="s">
        <v>1875</v>
      </c>
      <c r="B1213" t="s">
        <v>1868</v>
      </c>
      <c r="C1213" t="s">
        <v>97</v>
      </c>
      <c r="D1213" t="s">
        <v>80</v>
      </c>
      <c r="E1213" s="1">
        <v>45750</v>
      </c>
      <c r="F1213" s="1">
        <v>45780</v>
      </c>
      <c r="G1213" t="s">
        <v>41</v>
      </c>
      <c r="H1213">
        <v>7988</v>
      </c>
      <c r="I1213" t="s">
        <v>54</v>
      </c>
      <c r="J1213" t="b">
        <v>0</v>
      </c>
      <c r="K1213">
        <v>30</v>
      </c>
      <c r="L1213">
        <v>5</v>
      </c>
      <c r="M1213">
        <v>2025</v>
      </c>
      <c r="N1213">
        <v>5</v>
      </c>
      <c r="O1213">
        <v>4</v>
      </c>
      <c r="P1213">
        <v>2025</v>
      </c>
      <c r="Q1213">
        <v>3</v>
      </c>
      <c r="R1213" t="s">
        <v>66</v>
      </c>
      <c r="S1213" t="s">
        <v>67</v>
      </c>
      <c r="T1213" t="s">
        <v>42</v>
      </c>
      <c r="U1213" t="s">
        <v>40</v>
      </c>
      <c r="V1213" t="s">
        <v>98</v>
      </c>
      <c r="W1213" t="s">
        <v>99</v>
      </c>
      <c r="X1213" t="s">
        <v>76</v>
      </c>
      <c r="Y1213">
        <v>80</v>
      </c>
      <c r="Z1213" t="s">
        <v>84</v>
      </c>
      <c r="AA1213" t="s">
        <v>85</v>
      </c>
      <c r="AB1213" s="1">
        <v>45780</v>
      </c>
      <c r="AC1213" t="s">
        <v>66</v>
      </c>
      <c r="AD1213" t="s">
        <v>40</v>
      </c>
      <c r="AE1213" t="s">
        <v>69</v>
      </c>
      <c r="AF1213" t="s">
        <v>40</v>
      </c>
      <c r="AG1213">
        <v>1</v>
      </c>
      <c r="AH1213" t="s">
        <v>70</v>
      </c>
    </row>
    <row r="1214" spans="1:34" x14ac:dyDescent="0.3">
      <c r="A1214" t="s">
        <v>1876</v>
      </c>
      <c r="B1214" t="s">
        <v>1435</v>
      </c>
      <c r="C1214" t="s">
        <v>89</v>
      </c>
      <c r="D1214" t="s">
        <v>104</v>
      </c>
      <c r="E1214" s="1">
        <v>45781</v>
      </c>
      <c r="F1214" s="1">
        <v>45811</v>
      </c>
      <c r="G1214" t="s">
        <v>38</v>
      </c>
      <c r="H1214">
        <v>4380</v>
      </c>
      <c r="I1214" t="s">
        <v>65</v>
      </c>
      <c r="J1214" t="b">
        <v>0</v>
      </c>
      <c r="K1214">
        <v>30</v>
      </c>
      <c r="L1214">
        <v>6</v>
      </c>
      <c r="M1214">
        <v>2025</v>
      </c>
      <c r="N1214">
        <v>1</v>
      </c>
      <c r="O1214">
        <v>5</v>
      </c>
      <c r="P1214">
        <v>2025</v>
      </c>
      <c r="Q1214">
        <v>6</v>
      </c>
      <c r="R1214" t="s">
        <v>40</v>
      </c>
      <c r="S1214" t="s">
        <v>41</v>
      </c>
      <c r="T1214" t="s">
        <v>42</v>
      </c>
      <c r="U1214" t="s">
        <v>40</v>
      </c>
      <c r="V1214" t="s">
        <v>91</v>
      </c>
      <c r="W1214" t="s">
        <v>92</v>
      </c>
      <c r="X1214" t="s">
        <v>76</v>
      </c>
      <c r="Y1214">
        <v>65</v>
      </c>
      <c r="Z1214" t="s">
        <v>107</v>
      </c>
      <c r="AA1214" t="s">
        <v>108</v>
      </c>
      <c r="AB1214" s="1">
        <v>45811</v>
      </c>
      <c r="AC1214" t="s">
        <v>40</v>
      </c>
      <c r="AD1214" t="s">
        <v>40</v>
      </c>
      <c r="AE1214" t="s">
        <v>60</v>
      </c>
      <c r="AF1214" t="s">
        <v>40</v>
      </c>
      <c r="AG1214">
        <v>0</v>
      </c>
      <c r="AH1214" t="s">
        <v>70</v>
      </c>
    </row>
    <row r="1215" spans="1:34" x14ac:dyDescent="0.3">
      <c r="A1215" t="s">
        <v>1877</v>
      </c>
      <c r="B1215" t="s">
        <v>1254</v>
      </c>
      <c r="C1215" t="s">
        <v>97</v>
      </c>
      <c r="D1215" t="s">
        <v>130</v>
      </c>
      <c r="E1215" s="1">
        <v>45991</v>
      </c>
      <c r="F1215" s="1">
        <v>45998</v>
      </c>
      <c r="G1215" t="s">
        <v>38</v>
      </c>
      <c r="H1215">
        <v>5821</v>
      </c>
      <c r="I1215" t="s">
        <v>212</v>
      </c>
      <c r="J1215" t="b">
        <v>0</v>
      </c>
      <c r="K1215">
        <v>7</v>
      </c>
      <c r="L1215">
        <v>12</v>
      </c>
      <c r="M1215">
        <v>2025</v>
      </c>
      <c r="N1215">
        <v>6</v>
      </c>
      <c r="O1215">
        <v>11</v>
      </c>
      <c r="P1215">
        <v>2025</v>
      </c>
      <c r="Q1215">
        <v>6</v>
      </c>
      <c r="R1215" t="s">
        <v>66</v>
      </c>
      <c r="S1215" t="s">
        <v>45</v>
      </c>
      <c r="T1215" t="s">
        <v>42</v>
      </c>
      <c r="U1215" t="s">
        <v>40</v>
      </c>
      <c r="V1215" t="s">
        <v>98</v>
      </c>
      <c r="W1215" t="s">
        <v>99</v>
      </c>
      <c r="X1215" t="s">
        <v>76</v>
      </c>
      <c r="Y1215">
        <v>80</v>
      </c>
      <c r="Z1215" t="s">
        <v>133</v>
      </c>
      <c r="AA1215" t="s">
        <v>134</v>
      </c>
      <c r="AB1215" s="1">
        <v>45998</v>
      </c>
      <c r="AC1215" t="s">
        <v>66</v>
      </c>
      <c r="AD1215" t="s">
        <v>40</v>
      </c>
      <c r="AE1215" t="s">
        <v>69</v>
      </c>
      <c r="AF1215" t="s">
        <v>40</v>
      </c>
      <c r="AG1215">
        <v>0</v>
      </c>
      <c r="AH1215" t="s">
        <v>100</v>
      </c>
    </row>
    <row r="1216" spans="1:34" x14ac:dyDescent="0.3">
      <c r="A1216" t="s">
        <v>1878</v>
      </c>
      <c r="B1216" t="s">
        <v>587</v>
      </c>
      <c r="C1216" t="s">
        <v>79</v>
      </c>
      <c r="D1216" t="s">
        <v>37</v>
      </c>
      <c r="E1216" s="1">
        <v>46257</v>
      </c>
      <c r="F1216" s="1">
        <v>46258</v>
      </c>
      <c r="G1216" t="s">
        <v>81</v>
      </c>
      <c r="H1216">
        <v>7678</v>
      </c>
      <c r="I1216" t="s">
        <v>39</v>
      </c>
      <c r="J1216" t="b">
        <v>0</v>
      </c>
      <c r="K1216">
        <v>1</v>
      </c>
      <c r="L1216">
        <v>8</v>
      </c>
      <c r="M1216">
        <v>2026</v>
      </c>
      <c r="N1216">
        <v>0</v>
      </c>
      <c r="O1216">
        <v>8</v>
      </c>
      <c r="P1216">
        <v>2026</v>
      </c>
      <c r="Q1216">
        <v>6</v>
      </c>
      <c r="R1216" t="s">
        <v>40</v>
      </c>
      <c r="S1216" t="s">
        <v>55</v>
      </c>
      <c r="T1216" t="s">
        <v>68</v>
      </c>
      <c r="U1216" t="s">
        <v>40</v>
      </c>
      <c r="V1216" t="s">
        <v>82</v>
      </c>
      <c r="W1216" t="s">
        <v>83</v>
      </c>
      <c r="X1216" t="s">
        <v>76</v>
      </c>
      <c r="Y1216">
        <v>100</v>
      </c>
      <c r="Z1216" t="s">
        <v>46</v>
      </c>
      <c r="AA1216" t="s">
        <v>47</v>
      </c>
      <c r="AB1216" s="1">
        <v>46258</v>
      </c>
      <c r="AC1216" t="s">
        <v>40</v>
      </c>
      <c r="AD1216" t="s">
        <v>40</v>
      </c>
      <c r="AE1216" t="s">
        <v>86</v>
      </c>
      <c r="AF1216" t="s">
        <v>40</v>
      </c>
      <c r="AG1216">
        <v>0</v>
      </c>
      <c r="AH1216" t="s">
        <v>100</v>
      </c>
    </row>
    <row r="1217" spans="1:34" x14ac:dyDescent="0.3">
      <c r="A1217" t="s">
        <v>1879</v>
      </c>
      <c r="B1217" t="s">
        <v>1880</v>
      </c>
      <c r="C1217" t="s">
        <v>155</v>
      </c>
      <c r="D1217" t="s">
        <v>80</v>
      </c>
      <c r="E1217" s="1">
        <v>45866</v>
      </c>
      <c r="F1217" s="1">
        <v>45880</v>
      </c>
      <c r="G1217" t="s">
        <v>81</v>
      </c>
      <c r="H1217">
        <v>10506</v>
      </c>
      <c r="I1217" t="s">
        <v>65</v>
      </c>
      <c r="J1217" t="b">
        <v>0</v>
      </c>
      <c r="K1217">
        <v>14</v>
      </c>
      <c r="L1217">
        <v>8</v>
      </c>
      <c r="M1217">
        <v>2025</v>
      </c>
      <c r="N1217">
        <v>0</v>
      </c>
      <c r="O1217">
        <v>7</v>
      </c>
      <c r="P1217">
        <v>2025</v>
      </c>
      <c r="Q1217">
        <v>0</v>
      </c>
      <c r="R1217" t="s">
        <v>40</v>
      </c>
      <c r="S1217" t="s">
        <v>55</v>
      </c>
      <c r="T1217" t="s">
        <v>48</v>
      </c>
      <c r="U1217" t="s">
        <v>40</v>
      </c>
      <c r="V1217" t="s">
        <v>156</v>
      </c>
      <c r="W1217" t="s">
        <v>157</v>
      </c>
      <c r="X1217" t="s">
        <v>158</v>
      </c>
      <c r="Y1217">
        <v>70</v>
      </c>
      <c r="Z1217" t="s">
        <v>84</v>
      </c>
      <c r="AA1217" t="s">
        <v>85</v>
      </c>
      <c r="AB1217" s="1">
        <v>45880</v>
      </c>
      <c r="AC1217" t="s">
        <v>40</v>
      </c>
      <c r="AD1217" t="s">
        <v>40</v>
      </c>
      <c r="AE1217" t="s">
        <v>86</v>
      </c>
      <c r="AF1217" t="s">
        <v>40</v>
      </c>
      <c r="AG1217">
        <v>0</v>
      </c>
      <c r="AH1217" t="s">
        <v>70</v>
      </c>
    </row>
    <row r="1218" spans="1:34" x14ac:dyDescent="0.3">
      <c r="A1218" t="s">
        <v>1881</v>
      </c>
      <c r="B1218" t="s">
        <v>288</v>
      </c>
      <c r="C1218" t="s">
        <v>97</v>
      </c>
      <c r="D1218" t="s">
        <v>104</v>
      </c>
      <c r="E1218" s="1">
        <v>45954</v>
      </c>
      <c r="F1218" s="1">
        <v>45961</v>
      </c>
      <c r="G1218" t="s">
        <v>64</v>
      </c>
      <c r="H1218">
        <v>2881</v>
      </c>
      <c r="I1218" t="s">
        <v>39</v>
      </c>
      <c r="J1218" t="b">
        <v>0</v>
      </c>
      <c r="K1218">
        <v>7</v>
      </c>
      <c r="L1218">
        <v>10</v>
      </c>
      <c r="M1218">
        <v>2025</v>
      </c>
      <c r="N1218">
        <v>4</v>
      </c>
      <c r="O1218">
        <v>10</v>
      </c>
      <c r="P1218">
        <v>2025</v>
      </c>
      <c r="Q1218">
        <v>4</v>
      </c>
      <c r="R1218" t="s">
        <v>40</v>
      </c>
      <c r="S1218" t="s">
        <v>67</v>
      </c>
      <c r="T1218" t="s">
        <v>42</v>
      </c>
      <c r="U1218" t="s">
        <v>40</v>
      </c>
      <c r="V1218" t="s">
        <v>98</v>
      </c>
      <c r="W1218" t="s">
        <v>99</v>
      </c>
      <c r="X1218" t="s">
        <v>76</v>
      </c>
      <c r="Y1218">
        <v>80</v>
      </c>
      <c r="Z1218" t="s">
        <v>107</v>
      </c>
      <c r="AA1218" t="s">
        <v>108</v>
      </c>
      <c r="AB1218" s="1">
        <v>45961</v>
      </c>
      <c r="AC1218" t="s">
        <v>40</v>
      </c>
      <c r="AD1218" t="s">
        <v>40</v>
      </c>
      <c r="AE1218" t="s">
        <v>60</v>
      </c>
      <c r="AF1218" t="s">
        <v>40</v>
      </c>
      <c r="AG1218">
        <v>0</v>
      </c>
      <c r="AH1218" t="s">
        <v>100</v>
      </c>
    </row>
    <row r="1219" spans="1:34" x14ac:dyDescent="0.3">
      <c r="A1219" t="s">
        <v>1882</v>
      </c>
      <c r="B1219" t="s">
        <v>481</v>
      </c>
      <c r="C1219" t="s">
        <v>97</v>
      </c>
      <c r="D1219" t="s">
        <v>104</v>
      </c>
      <c r="E1219" s="1">
        <v>46276</v>
      </c>
      <c r="F1219" s="1">
        <v>46376</v>
      </c>
      <c r="G1219" t="s">
        <v>41</v>
      </c>
      <c r="H1219">
        <v>6802</v>
      </c>
      <c r="I1219" t="s">
        <v>54</v>
      </c>
      <c r="J1219" t="b">
        <v>0</v>
      </c>
      <c r="K1219">
        <v>100</v>
      </c>
      <c r="L1219">
        <v>12</v>
      </c>
      <c r="M1219">
        <v>2026</v>
      </c>
      <c r="N1219">
        <v>6</v>
      </c>
      <c r="O1219">
        <v>9</v>
      </c>
      <c r="P1219">
        <v>2026</v>
      </c>
      <c r="Q1219">
        <v>4</v>
      </c>
      <c r="R1219" t="s">
        <v>66</v>
      </c>
      <c r="S1219" t="s">
        <v>55</v>
      </c>
      <c r="T1219" t="s">
        <v>42</v>
      </c>
      <c r="U1219" t="s">
        <v>40</v>
      </c>
      <c r="V1219" t="s">
        <v>98</v>
      </c>
      <c r="W1219" t="s">
        <v>99</v>
      </c>
      <c r="X1219" t="s">
        <v>76</v>
      </c>
      <c r="Y1219">
        <v>80</v>
      </c>
      <c r="Z1219" t="s">
        <v>107</v>
      </c>
      <c r="AA1219" t="s">
        <v>108</v>
      </c>
      <c r="AB1219" s="1">
        <v>46376</v>
      </c>
      <c r="AC1219" t="s">
        <v>66</v>
      </c>
      <c r="AD1219" t="s">
        <v>40</v>
      </c>
      <c r="AE1219" t="s">
        <v>69</v>
      </c>
      <c r="AF1219" t="s">
        <v>40</v>
      </c>
      <c r="AG1219">
        <v>1</v>
      </c>
      <c r="AH1219" t="s">
        <v>49</v>
      </c>
    </row>
    <row r="1220" spans="1:34" x14ac:dyDescent="0.3">
      <c r="A1220" t="s">
        <v>1883</v>
      </c>
      <c r="B1220" t="s">
        <v>1588</v>
      </c>
      <c r="C1220" t="s">
        <v>129</v>
      </c>
      <c r="D1220" t="s">
        <v>80</v>
      </c>
      <c r="E1220" s="1">
        <v>46137</v>
      </c>
      <c r="F1220" s="1">
        <v>46197</v>
      </c>
      <c r="G1220" t="s">
        <v>41</v>
      </c>
      <c r="H1220">
        <v>5566</v>
      </c>
      <c r="I1220" t="s">
        <v>65</v>
      </c>
      <c r="J1220" t="b">
        <v>0</v>
      </c>
      <c r="K1220">
        <v>60</v>
      </c>
      <c r="L1220">
        <v>6</v>
      </c>
      <c r="M1220">
        <v>2026</v>
      </c>
      <c r="N1220">
        <v>2</v>
      </c>
      <c r="O1220">
        <v>4</v>
      </c>
      <c r="P1220">
        <v>2026</v>
      </c>
      <c r="Q1220">
        <v>5</v>
      </c>
      <c r="R1220" t="s">
        <v>40</v>
      </c>
      <c r="S1220" t="s">
        <v>45</v>
      </c>
      <c r="T1220" t="s">
        <v>42</v>
      </c>
      <c r="U1220" t="s">
        <v>66</v>
      </c>
      <c r="V1220" t="s">
        <v>131</v>
      </c>
      <c r="W1220" t="s">
        <v>132</v>
      </c>
      <c r="X1220" t="s">
        <v>45</v>
      </c>
      <c r="Y1220">
        <v>110</v>
      </c>
      <c r="Z1220" t="s">
        <v>84</v>
      </c>
      <c r="AA1220" t="s">
        <v>85</v>
      </c>
      <c r="AB1220" s="1">
        <v>46197</v>
      </c>
      <c r="AC1220" t="s">
        <v>40</v>
      </c>
      <c r="AD1220" t="s">
        <v>40</v>
      </c>
      <c r="AE1220" t="s">
        <v>60</v>
      </c>
      <c r="AF1220" t="s">
        <v>40</v>
      </c>
      <c r="AG1220">
        <v>0</v>
      </c>
      <c r="AH1220" t="s">
        <v>61</v>
      </c>
    </row>
    <row r="1221" spans="1:34" x14ac:dyDescent="0.3">
      <c r="A1221" t="s">
        <v>1884</v>
      </c>
      <c r="B1221" t="s">
        <v>177</v>
      </c>
      <c r="C1221" t="s">
        <v>97</v>
      </c>
      <c r="D1221" t="s">
        <v>90</v>
      </c>
      <c r="E1221" s="1">
        <v>45686</v>
      </c>
      <c r="F1221" s="1">
        <v>45786</v>
      </c>
      <c r="G1221" t="s">
        <v>64</v>
      </c>
      <c r="H1221">
        <v>3824</v>
      </c>
      <c r="I1221" t="s">
        <v>39</v>
      </c>
      <c r="J1221" t="b">
        <v>0</v>
      </c>
      <c r="K1221">
        <v>100</v>
      </c>
      <c r="L1221">
        <v>5</v>
      </c>
      <c r="M1221">
        <v>2025</v>
      </c>
      <c r="N1221">
        <v>4</v>
      </c>
      <c r="O1221">
        <v>1</v>
      </c>
      <c r="P1221">
        <v>2025</v>
      </c>
      <c r="Q1221">
        <v>2</v>
      </c>
      <c r="R1221" t="s">
        <v>40</v>
      </c>
      <c r="S1221" t="s">
        <v>55</v>
      </c>
      <c r="T1221" t="s">
        <v>68</v>
      </c>
      <c r="U1221" t="s">
        <v>40</v>
      </c>
      <c r="V1221" t="s">
        <v>98</v>
      </c>
      <c r="W1221" t="s">
        <v>99</v>
      </c>
      <c r="X1221" t="s">
        <v>76</v>
      </c>
      <c r="Y1221">
        <v>80</v>
      </c>
      <c r="Z1221" t="s">
        <v>93</v>
      </c>
      <c r="AA1221" t="s">
        <v>94</v>
      </c>
      <c r="AB1221" s="1">
        <v>45786</v>
      </c>
      <c r="AC1221" t="s">
        <v>40</v>
      </c>
      <c r="AD1221" t="s">
        <v>40</v>
      </c>
      <c r="AE1221" t="s">
        <v>69</v>
      </c>
      <c r="AF1221" t="s">
        <v>40</v>
      </c>
      <c r="AG1221">
        <v>0</v>
      </c>
      <c r="AH1221" t="s">
        <v>49</v>
      </c>
    </row>
    <row r="1222" spans="1:34" x14ac:dyDescent="0.3">
      <c r="A1222" t="s">
        <v>1885</v>
      </c>
      <c r="B1222" t="s">
        <v>1886</v>
      </c>
      <c r="C1222" t="s">
        <v>52</v>
      </c>
      <c r="D1222" t="s">
        <v>130</v>
      </c>
      <c r="E1222" s="1">
        <v>45929</v>
      </c>
      <c r="F1222" s="1">
        <v>45989</v>
      </c>
      <c r="G1222" t="s">
        <v>41</v>
      </c>
      <c r="H1222">
        <v>7062</v>
      </c>
      <c r="I1222" t="s">
        <v>39</v>
      </c>
      <c r="J1222" t="b">
        <v>0</v>
      </c>
      <c r="K1222">
        <v>60</v>
      </c>
      <c r="L1222">
        <v>11</v>
      </c>
      <c r="M1222">
        <v>2025</v>
      </c>
      <c r="N1222">
        <v>4</v>
      </c>
      <c r="O1222">
        <v>9</v>
      </c>
      <c r="P1222">
        <v>2025</v>
      </c>
      <c r="Q1222">
        <v>0</v>
      </c>
      <c r="R1222" t="s">
        <v>40</v>
      </c>
      <c r="S1222" t="s">
        <v>41</v>
      </c>
      <c r="T1222" t="s">
        <v>42</v>
      </c>
      <c r="U1222" t="s">
        <v>66</v>
      </c>
      <c r="V1222" t="s">
        <v>56</v>
      </c>
      <c r="W1222" t="s">
        <v>57</v>
      </c>
      <c r="X1222" t="s">
        <v>45</v>
      </c>
      <c r="Y1222">
        <v>120</v>
      </c>
      <c r="Z1222" t="s">
        <v>133</v>
      </c>
      <c r="AA1222" t="s">
        <v>134</v>
      </c>
      <c r="AB1222" s="1">
        <v>45989</v>
      </c>
      <c r="AC1222" t="s">
        <v>40</v>
      </c>
      <c r="AD1222" t="s">
        <v>40</v>
      </c>
      <c r="AE1222" t="s">
        <v>86</v>
      </c>
      <c r="AF1222" t="s">
        <v>40</v>
      </c>
      <c r="AG1222">
        <v>0</v>
      </c>
      <c r="AH1222" t="s">
        <v>61</v>
      </c>
    </row>
    <row r="1223" spans="1:34" x14ac:dyDescent="0.3">
      <c r="A1223" t="s">
        <v>1887</v>
      </c>
      <c r="B1223" t="s">
        <v>491</v>
      </c>
      <c r="C1223" t="s">
        <v>89</v>
      </c>
      <c r="D1223" t="s">
        <v>37</v>
      </c>
      <c r="E1223" s="1">
        <v>46039</v>
      </c>
      <c r="F1223" s="1">
        <v>46069</v>
      </c>
      <c r="G1223" t="s">
        <v>81</v>
      </c>
      <c r="H1223">
        <v>9730</v>
      </c>
      <c r="I1223" t="s">
        <v>65</v>
      </c>
      <c r="J1223" t="b">
        <v>0</v>
      </c>
      <c r="K1223">
        <v>30</v>
      </c>
      <c r="L1223">
        <v>2</v>
      </c>
      <c r="M1223">
        <v>2026</v>
      </c>
      <c r="N1223">
        <v>0</v>
      </c>
      <c r="O1223">
        <v>1</v>
      </c>
      <c r="P1223">
        <v>2026</v>
      </c>
      <c r="Q1223">
        <v>5</v>
      </c>
      <c r="R1223" t="s">
        <v>40</v>
      </c>
      <c r="S1223" t="s">
        <v>45</v>
      </c>
      <c r="T1223" t="s">
        <v>286</v>
      </c>
      <c r="U1223" t="s">
        <v>40</v>
      </c>
      <c r="V1223" t="s">
        <v>91</v>
      </c>
      <c r="W1223" t="s">
        <v>92</v>
      </c>
      <c r="X1223" t="s">
        <v>76</v>
      </c>
      <c r="Y1223">
        <v>65</v>
      </c>
      <c r="Z1223" t="s">
        <v>46</v>
      </c>
      <c r="AA1223" t="s">
        <v>47</v>
      </c>
      <c r="AB1223" s="1">
        <v>46069</v>
      </c>
      <c r="AC1223" t="s">
        <v>40</v>
      </c>
      <c r="AD1223" t="s">
        <v>40</v>
      </c>
      <c r="AE1223" t="s">
        <v>60</v>
      </c>
      <c r="AF1223" t="s">
        <v>40</v>
      </c>
      <c r="AG1223">
        <v>0</v>
      </c>
      <c r="AH1223" t="s">
        <v>70</v>
      </c>
    </row>
    <row r="1224" spans="1:34" x14ac:dyDescent="0.3">
      <c r="A1224" t="s">
        <v>1888</v>
      </c>
      <c r="B1224" t="s">
        <v>415</v>
      </c>
      <c r="C1224" t="s">
        <v>73</v>
      </c>
      <c r="D1224" t="s">
        <v>130</v>
      </c>
      <c r="E1224" s="1">
        <v>45942</v>
      </c>
      <c r="F1224" s="1">
        <v>46162</v>
      </c>
      <c r="G1224" t="s">
        <v>38</v>
      </c>
      <c r="H1224">
        <v>3835</v>
      </c>
      <c r="I1224" t="s">
        <v>39</v>
      </c>
      <c r="J1224" t="b">
        <v>0</v>
      </c>
      <c r="K1224">
        <v>220</v>
      </c>
      <c r="L1224">
        <v>5</v>
      </c>
      <c r="M1224">
        <v>2026</v>
      </c>
      <c r="N1224">
        <v>2</v>
      </c>
      <c r="O1224">
        <v>10</v>
      </c>
      <c r="P1224">
        <v>2025</v>
      </c>
      <c r="Q1224">
        <v>6</v>
      </c>
      <c r="R1224" t="s">
        <v>40</v>
      </c>
      <c r="S1224" t="s">
        <v>45</v>
      </c>
      <c r="T1224" t="s">
        <v>42</v>
      </c>
      <c r="U1224" t="s">
        <v>40</v>
      </c>
      <c r="V1224" t="s">
        <v>74</v>
      </c>
      <c r="W1224" t="s">
        <v>75</v>
      </c>
      <c r="X1224" t="s">
        <v>76</v>
      </c>
      <c r="Y1224">
        <v>75</v>
      </c>
      <c r="Z1224" t="s">
        <v>133</v>
      </c>
      <c r="AA1224" t="s">
        <v>134</v>
      </c>
      <c r="AB1224" s="1">
        <v>46162</v>
      </c>
      <c r="AC1224" t="s">
        <v>40</v>
      </c>
      <c r="AD1224" t="s">
        <v>40</v>
      </c>
      <c r="AE1224" t="s">
        <v>69</v>
      </c>
      <c r="AF1224" t="s">
        <v>40</v>
      </c>
      <c r="AG1224">
        <v>0</v>
      </c>
      <c r="AH1224" t="s">
        <v>142</v>
      </c>
    </row>
    <row r="1225" spans="1:34" x14ac:dyDescent="0.3">
      <c r="A1225" t="s">
        <v>1889</v>
      </c>
      <c r="B1225" t="s">
        <v>531</v>
      </c>
      <c r="C1225" t="s">
        <v>97</v>
      </c>
      <c r="D1225" t="s">
        <v>90</v>
      </c>
      <c r="E1225" s="1">
        <v>46242</v>
      </c>
      <c r="F1225" s="1">
        <v>46342</v>
      </c>
      <c r="G1225" t="s">
        <v>64</v>
      </c>
      <c r="H1225">
        <v>3795</v>
      </c>
      <c r="I1225" t="s">
        <v>212</v>
      </c>
      <c r="J1225" t="b">
        <v>0</v>
      </c>
      <c r="K1225">
        <v>100</v>
      </c>
      <c r="L1225">
        <v>11</v>
      </c>
      <c r="M1225">
        <v>2026</v>
      </c>
      <c r="N1225">
        <v>0</v>
      </c>
      <c r="O1225">
        <v>8</v>
      </c>
      <c r="P1225">
        <v>2026</v>
      </c>
      <c r="Q1225">
        <v>5</v>
      </c>
      <c r="R1225" t="s">
        <v>40</v>
      </c>
      <c r="S1225" t="s">
        <v>55</v>
      </c>
      <c r="T1225" t="s">
        <v>42</v>
      </c>
      <c r="U1225" t="s">
        <v>40</v>
      </c>
      <c r="V1225" t="s">
        <v>98</v>
      </c>
      <c r="W1225" t="s">
        <v>99</v>
      </c>
      <c r="X1225" t="s">
        <v>76</v>
      </c>
      <c r="Y1225">
        <v>80</v>
      </c>
      <c r="Z1225" t="s">
        <v>93</v>
      </c>
      <c r="AA1225" t="s">
        <v>94</v>
      </c>
      <c r="AB1225" s="1">
        <v>46342</v>
      </c>
      <c r="AC1225" t="s">
        <v>40</v>
      </c>
      <c r="AD1225" t="s">
        <v>40</v>
      </c>
      <c r="AE1225" t="s">
        <v>86</v>
      </c>
      <c r="AF1225" t="s">
        <v>40</v>
      </c>
      <c r="AG1225">
        <v>0</v>
      </c>
      <c r="AH1225" t="s">
        <v>49</v>
      </c>
    </row>
    <row r="1226" spans="1:34" x14ac:dyDescent="0.3">
      <c r="A1226" t="s">
        <v>1890</v>
      </c>
      <c r="B1226" t="s">
        <v>1891</v>
      </c>
      <c r="C1226" t="s">
        <v>129</v>
      </c>
      <c r="D1226" t="s">
        <v>130</v>
      </c>
      <c r="E1226" s="1">
        <v>45752</v>
      </c>
      <c r="F1226" s="1">
        <v>45759</v>
      </c>
      <c r="G1226" t="s">
        <v>41</v>
      </c>
      <c r="H1226">
        <v>5232</v>
      </c>
      <c r="I1226" t="s">
        <v>39</v>
      </c>
      <c r="J1226" t="b">
        <v>0</v>
      </c>
      <c r="K1226">
        <v>7</v>
      </c>
      <c r="L1226">
        <v>4</v>
      </c>
      <c r="M1226">
        <v>2025</v>
      </c>
      <c r="N1226">
        <v>5</v>
      </c>
      <c r="O1226">
        <v>4</v>
      </c>
      <c r="P1226">
        <v>2025</v>
      </c>
      <c r="Q1226">
        <v>5</v>
      </c>
      <c r="R1226" t="s">
        <v>66</v>
      </c>
      <c r="S1226" t="s">
        <v>55</v>
      </c>
      <c r="T1226" t="s">
        <v>48</v>
      </c>
      <c r="U1226" t="s">
        <v>40</v>
      </c>
      <c r="V1226" t="s">
        <v>131</v>
      </c>
      <c r="W1226" t="s">
        <v>132</v>
      </c>
      <c r="X1226" t="s">
        <v>45</v>
      </c>
      <c r="Y1226">
        <v>110</v>
      </c>
      <c r="Z1226" t="s">
        <v>133</v>
      </c>
      <c r="AA1226" t="s">
        <v>134</v>
      </c>
      <c r="AB1226" s="1">
        <v>45759</v>
      </c>
      <c r="AC1226" t="s">
        <v>66</v>
      </c>
      <c r="AD1226" t="s">
        <v>40</v>
      </c>
      <c r="AE1226" t="s">
        <v>69</v>
      </c>
      <c r="AF1226" t="s">
        <v>40</v>
      </c>
      <c r="AG1226">
        <v>0</v>
      </c>
      <c r="AH1226" t="s">
        <v>100</v>
      </c>
    </row>
    <row r="1227" spans="1:34" x14ac:dyDescent="0.3">
      <c r="A1227" t="s">
        <v>1892</v>
      </c>
      <c r="B1227" t="s">
        <v>695</v>
      </c>
      <c r="C1227" t="s">
        <v>122</v>
      </c>
      <c r="D1227" t="s">
        <v>130</v>
      </c>
      <c r="E1227" s="1">
        <v>45873</v>
      </c>
      <c r="F1227" s="1">
        <v>45933</v>
      </c>
      <c r="G1227" t="s">
        <v>41</v>
      </c>
      <c r="H1227">
        <v>6629</v>
      </c>
      <c r="I1227" t="s">
        <v>39</v>
      </c>
      <c r="J1227" t="b">
        <v>0</v>
      </c>
      <c r="K1227">
        <v>60</v>
      </c>
      <c r="L1227">
        <v>10</v>
      </c>
      <c r="M1227">
        <v>2025</v>
      </c>
      <c r="N1227">
        <v>4</v>
      </c>
      <c r="O1227">
        <v>8</v>
      </c>
      <c r="P1227">
        <v>2025</v>
      </c>
      <c r="Q1227">
        <v>0</v>
      </c>
      <c r="R1227" t="s">
        <v>40</v>
      </c>
      <c r="S1227" t="s">
        <v>45</v>
      </c>
      <c r="T1227" t="s">
        <v>42</v>
      </c>
      <c r="U1227" t="s">
        <v>40</v>
      </c>
      <c r="V1227" t="s">
        <v>124</v>
      </c>
      <c r="W1227" t="s">
        <v>125</v>
      </c>
      <c r="X1227" t="s">
        <v>126</v>
      </c>
      <c r="Y1227">
        <v>85</v>
      </c>
      <c r="Z1227" t="s">
        <v>133</v>
      </c>
      <c r="AA1227" t="s">
        <v>134</v>
      </c>
      <c r="AB1227" s="1">
        <v>45933</v>
      </c>
      <c r="AC1227" t="s">
        <v>40</v>
      </c>
      <c r="AD1227" t="s">
        <v>40</v>
      </c>
      <c r="AE1227" t="s">
        <v>60</v>
      </c>
      <c r="AF1227" t="s">
        <v>40</v>
      </c>
      <c r="AG1227">
        <v>0</v>
      </c>
      <c r="AH1227" t="s">
        <v>61</v>
      </c>
    </row>
    <row r="1228" spans="1:34" x14ac:dyDescent="0.3">
      <c r="A1228" t="s">
        <v>1893</v>
      </c>
      <c r="B1228" t="s">
        <v>986</v>
      </c>
      <c r="C1228" t="s">
        <v>97</v>
      </c>
      <c r="D1228" t="s">
        <v>130</v>
      </c>
      <c r="E1228" s="1">
        <v>46129</v>
      </c>
      <c r="F1228" s="1">
        <v>46143</v>
      </c>
      <c r="G1228" t="s">
        <v>38</v>
      </c>
      <c r="H1228">
        <v>5981</v>
      </c>
      <c r="I1228" t="s">
        <v>39</v>
      </c>
      <c r="J1228" t="b">
        <v>0</v>
      </c>
      <c r="K1228">
        <v>14</v>
      </c>
      <c r="L1228">
        <v>5</v>
      </c>
      <c r="M1228">
        <v>2026</v>
      </c>
      <c r="N1228">
        <v>4</v>
      </c>
      <c r="O1228">
        <v>4</v>
      </c>
      <c r="P1228">
        <v>2026</v>
      </c>
      <c r="Q1228">
        <v>4</v>
      </c>
      <c r="R1228" t="s">
        <v>40</v>
      </c>
      <c r="S1228" t="s">
        <v>55</v>
      </c>
      <c r="T1228" t="s">
        <v>42</v>
      </c>
      <c r="U1228" t="s">
        <v>40</v>
      </c>
      <c r="V1228" t="s">
        <v>98</v>
      </c>
      <c r="W1228" t="s">
        <v>99</v>
      </c>
      <c r="X1228" t="s">
        <v>76</v>
      </c>
      <c r="Y1228">
        <v>80</v>
      </c>
      <c r="Z1228" t="s">
        <v>133</v>
      </c>
      <c r="AA1228" t="s">
        <v>134</v>
      </c>
      <c r="AB1228" s="1">
        <v>46143</v>
      </c>
      <c r="AC1228" t="s">
        <v>40</v>
      </c>
      <c r="AD1228" t="s">
        <v>40</v>
      </c>
      <c r="AE1228" t="s">
        <v>69</v>
      </c>
      <c r="AF1228" t="s">
        <v>40</v>
      </c>
      <c r="AG1228">
        <v>0</v>
      </c>
      <c r="AH1228" t="s">
        <v>70</v>
      </c>
    </row>
    <row r="1229" spans="1:34" x14ac:dyDescent="0.3">
      <c r="A1229" t="s">
        <v>1894</v>
      </c>
      <c r="B1229" t="s">
        <v>1067</v>
      </c>
      <c r="C1229" t="s">
        <v>52</v>
      </c>
      <c r="D1229" t="s">
        <v>130</v>
      </c>
      <c r="E1229" s="1">
        <v>46290</v>
      </c>
      <c r="F1229" s="1">
        <v>46350</v>
      </c>
      <c r="G1229" t="s">
        <v>41</v>
      </c>
      <c r="H1229">
        <v>8041</v>
      </c>
      <c r="I1229" t="s">
        <v>65</v>
      </c>
      <c r="J1229" t="b">
        <v>0</v>
      </c>
      <c r="K1229">
        <v>60</v>
      </c>
      <c r="L1229">
        <v>11</v>
      </c>
      <c r="M1229">
        <v>2026</v>
      </c>
      <c r="N1229">
        <v>1</v>
      </c>
      <c r="O1229">
        <v>9</v>
      </c>
      <c r="P1229">
        <v>2026</v>
      </c>
      <c r="Q1229">
        <v>4</v>
      </c>
      <c r="R1229" t="s">
        <v>40</v>
      </c>
      <c r="S1229" t="s">
        <v>45</v>
      </c>
      <c r="T1229" t="s">
        <v>48</v>
      </c>
      <c r="U1229" t="s">
        <v>40</v>
      </c>
      <c r="V1229" t="s">
        <v>56</v>
      </c>
      <c r="W1229" t="s">
        <v>57</v>
      </c>
      <c r="X1229" t="s">
        <v>45</v>
      </c>
      <c r="Y1229">
        <v>120</v>
      </c>
      <c r="Z1229" t="s">
        <v>133</v>
      </c>
      <c r="AA1229" t="s">
        <v>134</v>
      </c>
      <c r="AB1229" s="1">
        <v>46350</v>
      </c>
      <c r="AC1229" t="s">
        <v>40</v>
      </c>
      <c r="AD1229" t="s">
        <v>40</v>
      </c>
      <c r="AE1229" t="s">
        <v>86</v>
      </c>
      <c r="AF1229" t="s">
        <v>40</v>
      </c>
      <c r="AG1229">
        <v>0</v>
      </c>
      <c r="AH1229" t="s">
        <v>61</v>
      </c>
    </row>
    <row r="1230" spans="1:34" x14ac:dyDescent="0.3">
      <c r="A1230" t="s">
        <v>1895</v>
      </c>
      <c r="B1230" t="s">
        <v>277</v>
      </c>
      <c r="C1230" t="s">
        <v>155</v>
      </c>
      <c r="D1230" t="s">
        <v>37</v>
      </c>
      <c r="E1230" s="1">
        <v>45877</v>
      </c>
      <c r="F1230" s="1">
        <v>45878</v>
      </c>
      <c r="G1230" t="s">
        <v>38</v>
      </c>
      <c r="H1230">
        <v>24405</v>
      </c>
      <c r="I1230" t="s">
        <v>65</v>
      </c>
      <c r="J1230" t="b">
        <v>0</v>
      </c>
      <c r="K1230">
        <v>1</v>
      </c>
      <c r="L1230">
        <v>8</v>
      </c>
      <c r="M1230">
        <v>2025</v>
      </c>
      <c r="N1230">
        <v>5</v>
      </c>
      <c r="O1230">
        <v>8</v>
      </c>
      <c r="P1230">
        <v>2025</v>
      </c>
      <c r="Q1230">
        <v>4</v>
      </c>
      <c r="R1230" t="s">
        <v>66</v>
      </c>
      <c r="S1230" t="s">
        <v>45</v>
      </c>
      <c r="T1230" t="s">
        <v>123</v>
      </c>
      <c r="U1230" t="s">
        <v>66</v>
      </c>
      <c r="V1230" t="s">
        <v>156</v>
      </c>
      <c r="W1230" t="s">
        <v>157</v>
      </c>
      <c r="X1230" t="s">
        <v>158</v>
      </c>
      <c r="Y1230">
        <v>70</v>
      </c>
      <c r="Z1230" t="s">
        <v>46</v>
      </c>
      <c r="AA1230" t="s">
        <v>47</v>
      </c>
      <c r="AB1230" s="1">
        <v>45878</v>
      </c>
      <c r="AC1230" t="s">
        <v>66</v>
      </c>
      <c r="AD1230" t="s">
        <v>40</v>
      </c>
      <c r="AE1230" t="s">
        <v>86</v>
      </c>
      <c r="AF1230" t="s">
        <v>40</v>
      </c>
      <c r="AG1230">
        <v>0</v>
      </c>
      <c r="AH1230" t="s">
        <v>100</v>
      </c>
    </row>
    <row r="1231" spans="1:34" x14ac:dyDescent="0.3">
      <c r="A1231" t="s">
        <v>1896</v>
      </c>
      <c r="B1231" t="s">
        <v>753</v>
      </c>
      <c r="C1231" t="s">
        <v>146</v>
      </c>
      <c r="D1231" t="s">
        <v>130</v>
      </c>
      <c r="E1231" s="1">
        <v>45811</v>
      </c>
      <c r="F1231" s="1">
        <v>45871</v>
      </c>
      <c r="G1231" t="s">
        <v>81</v>
      </c>
      <c r="H1231">
        <v>8830</v>
      </c>
      <c r="I1231" t="s">
        <v>39</v>
      </c>
      <c r="J1231" t="b">
        <v>0</v>
      </c>
      <c r="K1231">
        <v>60</v>
      </c>
      <c r="L1231">
        <v>8</v>
      </c>
      <c r="M1231">
        <v>2025</v>
      </c>
      <c r="N1231">
        <v>5</v>
      </c>
      <c r="O1231">
        <v>6</v>
      </c>
      <c r="P1231">
        <v>2025</v>
      </c>
      <c r="Q1231">
        <v>1</v>
      </c>
      <c r="R1231" t="s">
        <v>66</v>
      </c>
      <c r="S1231" t="s">
        <v>41</v>
      </c>
      <c r="T1231" t="s">
        <v>42</v>
      </c>
      <c r="U1231" t="s">
        <v>40</v>
      </c>
      <c r="V1231" t="s">
        <v>147</v>
      </c>
      <c r="W1231" t="s">
        <v>148</v>
      </c>
      <c r="X1231" t="s">
        <v>45</v>
      </c>
      <c r="Y1231">
        <v>160</v>
      </c>
      <c r="Z1231" t="s">
        <v>133</v>
      </c>
      <c r="AA1231" t="s">
        <v>134</v>
      </c>
      <c r="AB1231" s="1">
        <v>45871</v>
      </c>
      <c r="AC1231" t="s">
        <v>66</v>
      </c>
      <c r="AD1231" t="s">
        <v>40</v>
      </c>
      <c r="AE1231" t="s">
        <v>86</v>
      </c>
      <c r="AF1231" t="s">
        <v>40</v>
      </c>
      <c r="AG1231">
        <v>0</v>
      </c>
      <c r="AH1231" t="s">
        <v>61</v>
      </c>
    </row>
    <row r="1232" spans="1:34" x14ac:dyDescent="0.3">
      <c r="A1232" t="s">
        <v>1897</v>
      </c>
      <c r="B1232" t="s">
        <v>235</v>
      </c>
      <c r="C1232" t="s">
        <v>79</v>
      </c>
      <c r="D1232" t="s">
        <v>130</v>
      </c>
      <c r="E1232" s="1">
        <v>46248</v>
      </c>
      <c r="F1232" s="1">
        <v>46278</v>
      </c>
      <c r="G1232" t="s">
        <v>38</v>
      </c>
      <c r="H1232">
        <v>4674</v>
      </c>
      <c r="I1232" t="s">
        <v>39</v>
      </c>
      <c r="J1232" t="b">
        <v>0</v>
      </c>
      <c r="K1232">
        <v>30</v>
      </c>
      <c r="L1232">
        <v>9</v>
      </c>
      <c r="M1232">
        <v>2026</v>
      </c>
      <c r="N1232">
        <v>6</v>
      </c>
      <c r="O1232">
        <v>8</v>
      </c>
      <c r="P1232">
        <v>2026</v>
      </c>
      <c r="Q1232">
        <v>4</v>
      </c>
      <c r="R1232" t="s">
        <v>66</v>
      </c>
      <c r="S1232" t="s">
        <v>41</v>
      </c>
      <c r="T1232" t="s">
        <v>42</v>
      </c>
      <c r="U1232" t="s">
        <v>40</v>
      </c>
      <c r="V1232" t="s">
        <v>82</v>
      </c>
      <c r="W1232" t="s">
        <v>83</v>
      </c>
      <c r="X1232" t="s">
        <v>76</v>
      </c>
      <c r="Y1232">
        <v>100</v>
      </c>
      <c r="Z1232" t="s">
        <v>133</v>
      </c>
      <c r="AA1232" t="s">
        <v>134</v>
      </c>
      <c r="AB1232" s="1">
        <v>46278</v>
      </c>
      <c r="AC1232" t="s">
        <v>66</v>
      </c>
      <c r="AD1232" t="s">
        <v>40</v>
      </c>
      <c r="AE1232" t="s">
        <v>60</v>
      </c>
      <c r="AF1232" t="s">
        <v>40</v>
      </c>
      <c r="AG1232">
        <v>0</v>
      </c>
      <c r="AH1232" t="s">
        <v>70</v>
      </c>
    </row>
    <row r="1233" spans="1:34" x14ac:dyDescent="0.3">
      <c r="A1233" t="s">
        <v>1898</v>
      </c>
      <c r="B1233" t="s">
        <v>1899</v>
      </c>
      <c r="C1233" t="s">
        <v>79</v>
      </c>
      <c r="D1233" t="s">
        <v>37</v>
      </c>
      <c r="E1233" s="1">
        <v>46047</v>
      </c>
      <c r="F1233" s="1">
        <v>46147</v>
      </c>
      <c r="G1233" t="s">
        <v>64</v>
      </c>
      <c r="H1233">
        <v>3849</v>
      </c>
      <c r="I1233" t="s">
        <v>54</v>
      </c>
      <c r="J1233" t="b">
        <v>0</v>
      </c>
      <c r="K1233">
        <v>100</v>
      </c>
      <c r="L1233">
        <v>5</v>
      </c>
      <c r="M1233">
        <v>2026</v>
      </c>
      <c r="N1233">
        <v>1</v>
      </c>
      <c r="O1233">
        <v>1</v>
      </c>
      <c r="P1233">
        <v>2026</v>
      </c>
      <c r="Q1233">
        <v>6</v>
      </c>
      <c r="R1233" t="s">
        <v>40</v>
      </c>
      <c r="S1233" t="s">
        <v>55</v>
      </c>
      <c r="T1233" t="s">
        <v>139</v>
      </c>
      <c r="U1233" t="s">
        <v>40</v>
      </c>
      <c r="V1233" t="s">
        <v>82</v>
      </c>
      <c r="W1233" t="s">
        <v>83</v>
      </c>
      <c r="X1233" t="s">
        <v>76</v>
      </c>
      <c r="Y1233">
        <v>100</v>
      </c>
      <c r="Z1233" t="s">
        <v>46</v>
      </c>
      <c r="AA1233" t="s">
        <v>47</v>
      </c>
      <c r="AB1233" s="1">
        <v>46147</v>
      </c>
      <c r="AC1233" t="s">
        <v>40</v>
      </c>
      <c r="AD1233" t="s">
        <v>40</v>
      </c>
      <c r="AE1233" t="s">
        <v>69</v>
      </c>
      <c r="AF1233" t="s">
        <v>40</v>
      </c>
      <c r="AG1233">
        <v>1</v>
      </c>
      <c r="AH1233" t="s">
        <v>49</v>
      </c>
    </row>
    <row r="1234" spans="1:34" x14ac:dyDescent="0.3">
      <c r="A1234" t="s">
        <v>1900</v>
      </c>
      <c r="B1234" t="s">
        <v>955</v>
      </c>
      <c r="C1234" t="s">
        <v>122</v>
      </c>
      <c r="D1234" t="s">
        <v>130</v>
      </c>
      <c r="E1234" s="1">
        <v>45757</v>
      </c>
      <c r="F1234" s="1">
        <v>45764</v>
      </c>
      <c r="G1234" t="s">
        <v>41</v>
      </c>
      <c r="H1234">
        <v>6736</v>
      </c>
      <c r="I1234" t="s">
        <v>39</v>
      </c>
      <c r="J1234" t="b">
        <v>0</v>
      </c>
      <c r="K1234">
        <v>7</v>
      </c>
      <c r="L1234">
        <v>4</v>
      </c>
      <c r="M1234">
        <v>2025</v>
      </c>
      <c r="N1234">
        <v>3</v>
      </c>
      <c r="O1234">
        <v>4</v>
      </c>
      <c r="P1234">
        <v>2025</v>
      </c>
      <c r="Q1234">
        <v>3</v>
      </c>
      <c r="R1234" t="s">
        <v>40</v>
      </c>
      <c r="S1234" t="s">
        <v>55</v>
      </c>
      <c r="T1234" t="s">
        <v>42</v>
      </c>
      <c r="U1234" t="s">
        <v>40</v>
      </c>
      <c r="V1234" t="s">
        <v>124</v>
      </c>
      <c r="W1234" t="s">
        <v>125</v>
      </c>
      <c r="X1234" t="s">
        <v>126</v>
      </c>
      <c r="Y1234">
        <v>85</v>
      </c>
      <c r="Z1234" t="s">
        <v>133</v>
      </c>
      <c r="AA1234" t="s">
        <v>134</v>
      </c>
      <c r="AB1234" s="1">
        <v>45764</v>
      </c>
      <c r="AC1234" t="s">
        <v>40</v>
      </c>
      <c r="AD1234" t="s">
        <v>40</v>
      </c>
      <c r="AE1234" t="s">
        <v>69</v>
      </c>
      <c r="AF1234" t="s">
        <v>40</v>
      </c>
      <c r="AG1234">
        <v>0</v>
      </c>
      <c r="AH1234" t="s">
        <v>100</v>
      </c>
    </row>
    <row r="1235" spans="1:34" x14ac:dyDescent="0.3">
      <c r="A1235" t="s">
        <v>1901</v>
      </c>
      <c r="B1235" t="s">
        <v>1144</v>
      </c>
      <c r="C1235" t="s">
        <v>169</v>
      </c>
      <c r="D1235" t="s">
        <v>90</v>
      </c>
      <c r="E1235" s="1">
        <v>45875</v>
      </c>
      <c r="F1235" s="1">
        <v>45975</v>
      </c>
      <c r="G1235" t="s">
        <v>81</v>
      </c>
      <c r="H1235">
        <v>6710</v>
      </c>
      <c r="I1235" t="s">
        <v>39</v>
      </c>
      <c r="J1235" t="b">
        <v>0</v>
      </c>
      <c r="K1235">
        <v>100</v>
      </c>
      <c r="L1235">
        <v>11</v>
      </c>
      <c r="M1235">
        <v>2025</v>
      </c>
      <c r="N1235">
        <v>4</v>
      </c>
      <c r="O1235">
        <v>8</v>
      </c>
      <c r="P1235">
        <v>2025</v>
      </c>
      <c r="Q1235">
        <v>2</v>
      </c>
      <c r="R1235" t="s">
        <v>40</v>
      </c>
      <c r="S1235" t="s">
        <v>45</v>
      </c>
      <c r="T1235" t="s">
        <v>42</v>
      </c>
      <c r="U1235" t="s">
        <v>40</v>
      </c>
      <c r="V1235" t="s">
        <v>170</v>
      </c>
      <c r="W1235" t="s">
        <v>171</v>
      </c>
      <c r="X1235" t="s">
        <v>126</v>
      </c>
      <c r="Y1235">
        <v>90</v>
      </c>
      <c r="Z1235" t="s">
        <v>93</v>
      </c>
      <c r="AA1235" t="s">
        <v>94</v>
      </c>
      <c r="AB1235" s="1">
        <v>45975</v>
      </c>
      <c r="AC1235" t="s">
        <v>40</v>
      </c>
      <c r="AD1235" t="s">
        <v>40</v>
      </c>
      <c r="AE1235" t="s">
        <v>86</v>
      </c>
      <c r="AF1235" t="s">
        <v>40</v>
      </c>
      <c r="AG1235">
        <v>0</v>
      </c>
      <c r="AH1235" t="s">
        <v>49</v>
      </c>
    </row>
    <row r="1236" spans="1:34" x14ac:dyDescent="0.3">
      <c r="A1236" t="s">
        <v>1902</v>
      </c>
      <c r="B1236" t="s">
        <v>749</v>
      </c>
      <c r="C1236" t="s">
        <v>155</v>
      </c>
      <c r="D1236" t="s">
        <v>90</v>
      </c>
      <c r="E1236" s="1">
        <v>46148</v>
      </c>
      <c r="F1236" s="1">
        <v>46155</v>
      </c>
      <c r="G1236" t="s">
        <v>41</v>
      </c>
      <c r="H1236">
        <v>7537</v>
      </c>
      <c r="I1236" t="s">
        <v>212</v>
      </c>
      <c r="J1236" t="b">
        <v>0</v>
      </c>
      <c r="K1236">
        <v>7</v>
      </c>
      <c r="L1236">
        <v>5</v>
      </c>
      <c r="M1236">
        <v>2026</v>
      </c>
      <c r="N1236">
        <v>2</v>
      </c>
      <c r="O1236">
        <v>5</v>
      </c>
      <c r="P1236">
        <v>2026</v>
      </c>
      <c r="Q1236">
        <v>2</v>
      </c>
      <c r="R1236" t="s">
        <v>40</v>
      </c>
      <c r="S1236" t="s">
        <v>45</v>
      </c>
      <c r="T1236" t="s">
        <v>42</v>
      </c>
      <c r="U1236" t="s">
        <v>40</v>
      </c>
      <c r="V1236" t="s">
        <v>156</v>
      </c>
      <c r="W1236" t="s">
        <v>157</v>
      </c>
      <c r="X1236" t="s">
        <v>158</v>
      </c>
      <c r="Y1236">
        <v>70</v>
      </c>
      <c r="Z1236" t="s">
        <v>93</v>
      </c>
      <c r="AA1236" t="s">
        <v>94</v>
      </c>
      <c r="AB1236" s="1">
        <v>46155</v>
      </c>
      <c r="AC1236" t="s">
        <v>40</v>
      </c>
      <c r="AD1236" t="s">
        <v>40</v>
      </c>
      <c r="AE1236" t="s">
        <v>69</v>
      </c>
      <c r="AF1236" t="s">
        <v>40</v>
      </c>
      <c r="AG1236">
        <v>0</v>
      </c>
      <c r="AH1236" t="s">
        <v>100</v>
      </c>
    </row>
    <row r="1237" spans="1:34" x14ac:dyDescent="0.3">
      <c r="A1237" t="s">
        <v>1903</v>
      </c>
      <c r="B1237" t="s">
        <v>462</v>
      </c>
      <c r="C1237" t="s">
        <v>103</v>
      </c>
      <c r="D1237" t="s">
        <v>80</v>
      </c>
      <c r="E1237" s="1">
        <v>45680</v>
      </c>
      <c r="F1237" s="1">
        <v>45694</v>
      </c>
      <c r="G1237" t="s">
        <v>38</v>
      </c>
      <c r="H1237">
        <v>4652</v>
      </c>
      <c r="I1237" t="s">
        <v>39</v>
      </c>
      <c r="J1237" t="b">
        <v>0</v>
      </c>
      <c r="K1237">
        <v>14</v>
      </c>
      <c r="L1237">
        <v>2</v>
      </c>
      <c r="M1237">
        <v>2025</v>
      </c>
      <c r="N1237">
        <v>3</v>
      </c>
      <c r="O1237">
        <v>1</v>
      </c>
      <c r="P1237">
        <v>2025</v>
      </c>
      <c r="Q1237">
        <v>3</v>
      </c>
      <c r="R1237" t="s">
        <v>40</v>
      </c>
      <c r="S1237" t="s">
        <v>55</v>
      </c>
      <c r="T1237" t="s">
        <v>123</v>
      </c>
      <c r="U1237" t="s">
        <v>66</v>
      </c>
      <c r="V1237" t="s">
        <v>105</v>
      </c>
      <c r="W1237" t="s">
        <v>106</v>
      </c>
      <c r="X1237" t="s">
        <v>45</v>
      </c>
      <c r="Y1237">
        <v>140</v>
      </c>
      <c r="Z1237" t="s">
        <v>84</v>
      </c>
      <c r="AA1237" t="s">
        <v>85</v>
      </c>
      <c r="AB1237" s="1">
        <v>45694</v>
      </c>
      <c r="AC1237" t="s">
        <v>40</v>
      </c>
      <c r="AD1237" t="s">
        <v>40</v>
      </c>
      <c r="AE1237" t="s">
        <v>60</v>
      </c>
      <c r="AF1237" t="s">
        <v>40</v>
      </c>
      <c r="AG1237">
        <v>0</v>
      </c>
      <c r="AH1237" t="s">
        <v>70</v>
      </c>
    </row>
    <row r="1238" spans="1:34" x14ac:dyDescent="0.3">
      <c r="A1238" t="s">
        <v>1904</v>
      </c>
      <c r="B1238" t="s">
        <v>1244</v>
      </c>
      <c r="C1238" t="s">
        <v>129</v>
      </c>
      <c r="D1238" t="s">
        <v>37</v>
      </c>
      <c r="E1238" s="1">
        <v>46315</v>
      </c>
      <c r="F1238" s="1">
        <v>46316</v>
      </c>
      <c r="G1238" t="s">
        <v>81</v>
      </c>
      <c r="H1238">
        <v>7521</v>
      </c>
      <c r="I1238" t="s">
        <v>39</v>
      </c>
      <c r="J1238" t="b">
        <v>0</v>
      </c>
      <c r="K1238">
        <v>1</v>
      </c>
      <c r="L1238">
        <v>10</v>
      </c>
      <c r="M1238">
        <v>2026</v>
      </c>
      <c r="N1238">
        <v>2</v>
      </c>
      <c r="O1238">
        <v>10</v>
      </c>
      <c r="P1238">
        <v>2026</v>
      </c>
      <c r="Q1238">
        <v>1</v>
      </c>
      <c r="R1238" t="s">
        <v>40</v>
      </c>
      <c r="S1238" t="s">
        <v>45</v>
      </c>
      <c r="T1238" t="s">
        <v>113</v>
      </c>
      <c r="U1238" t="s">
        <v>40</v>
      </c>
      <c r="V1238" t="s">
        <v>131</v>
      </c>
      <c r="W1238" t="s">
        <v>132</v>
      </c>
      <c r="X1238" t="s">
        <v>45</v>
      </c>
      <c r="Y1238">
        <v>110</v>
      </c>
      <c r="Z1238" t="s">
        <v>46</v>
      </c>
      <c r="AA1238" t="s">
        <v>47</v>
      </c>
      <c r="AB1238" s="1">
        <v>46316</v>
      </c>
      <c r="AC1238" t="s">
        <v>40</v>
      </c>
      <c r="AD1238" t="s">
        <v>40</v>
      </c>
      <c r="AE1238" t="s">
        <v>60</v>
      </c>
      <c r="AF1238" t="s">
        <v>40</v>
      </c>
      <c r="AG1238">
        <v>0</v>
      </c>
      <c r="AH1238" t="s">
        <v>100</v>
      </c>
    </row>
    <row r="1239" spans="1:34" x14ac:dyDescent="0.3">
      <c r="A1239" t="s">
        <v>1905</v>
      </c>
      <c r="B1239" t="s">
        <v>303</v>
      </c>
      <c r="C1239" t="s">
        <v>155</v>
      </c>
      <c r="D1239" t="s">
        <v>37</v>
      </c>
      <c r="E1239" s="1">
        <v>46120</v>
      </c>
      <c r="F1239" s="1">
        <v>46134</v>
      </c>
      <c r="G1239" t="s">
        <v>81</v>
      </c>
      <c r="H1239">
        <v>10127</v>
      </c>
      <c r="I1239" t="s">
        <v>39</v>
      </c>
      <c r="J1239" t="b">
        <v>0</v>
      </c>
      <c r="K1239">
        <v>14</v>
      </c>
      <c r="L1239">
        <v>4</v>
      </c>
      <c r="M1239">
        <v>2026</v>
      </c>
      <c r="N1239">
        <v>2</v>
      </c>
      <c r="O1239">
        <v>4</v>
      </c>
      <c r="P1239">
        <v>2026</v>
      </c>
      <c r="Q1239">
        <v>2</v>
      </c>
      <c r="R1239" t="s">
        <v>40</v>
      </c>
      <c r="S1239" t="s">
        <v>45</v>
      </c>
      <c r="T1239" t="s">
        <v>42</v>
      </c>
      <c r="U1239" t="s">
        <v>66</v>
      </c>
      <c r="V1239" t="s">
        <v>156</v>
      </c>
      <c r="W1239" t="s">
        <v>157</v>
      </c>
      <c r="X1239" t="s">
        <v>158</v>
      </c>
      <c r="Y1239">
        <v>70</v>
      </c>
      <c r="Z1239" t="s">
        <v>46</v>
      </c>
      <c r="AA1239" t="s">
        <v>47</v>
      </c>
      <c r="AB1239" s="1">
        <v>46134</v>
      </c>
      <c r="AC1239" t="s">
        <v>40</v>
      </c>
      <c r="AD1239" t="s">
        <v>40</v>
      </c>
      <c r="AE1239" t="s">
        <v>69</v>
      </c>
      <c r="AF1239" t="s">
        <v>40</v>
      </c>
      <c r="AG1239">
        <v>0</v>
      </c>
      <c r="AH1239" t="s">
        <v>70</v>
      </c>
    </row>
    <row r="1240" spans="1:34" x14ac:dyDescent="0.3">
      <c r="A1240" t="s">
        <v>1906</v>
      </c>
      <c r="B1240" t="s">
        <v>892</v>
      </c>
      <c r="C1240" t="s">
        <v>97</v>
      </c>
      <c r="D1240" t="s">
        <v>90</v>
      </c>
      <c r="E1240" s="1">
        <v>45915</v>
      </c>
      <c r="F1240" s="1">
        <v>45929</v>
      </c>
      <c r="G1240" t="s">
        <v>64</v>
      </c>
      <c r="H1240">
        <v>18088</v>
      </c>
      <c r="I1240" t="s">
        <v>65</v>
      </c>
      <c r="J1240" t="b">
        <v>1</v>
      </c>
      <c r="K1240">
        <v>14</v>
      </c>
      <c r="L1240">
        <v>9</v>
      </c>
      <c r="M1240">
        <v>2025</v>
      </c>
      <c r="N1240">
        <v>0</v>
      </c>
      <c r="O1240">
        <v>9</v>
      </c>
      <c r="P1240">
        <v>2025</v>
      </c>
      <c r="Q1240">
        <v>0</v>
      </c>
      <c r="R1240" t="s">
        <v>40</v>
      </c>
      <c r="S1240" t="s">
        <v>45</v>
      </c>
      <c r="T1240" t="s">
        <v>42</v>
      </c>
      <c r="U1240" t="s">
        <v>40</v>
      </c>
      <c r="V1240" t="s">
        <v>98</v>
      </c>
      <c r="W1240" t="s">
        <v>99</v>
      </c>
      <c r="X1240" t="s">
        <v>76</v>
      </c>
      <c r="Y1240">
        <v>80</v>
      </c>
      <c r="Z1240" t="s">
        <v>93</v>
      </c>
      <c r="AA1240" t="s">
        <v>94</v>
      </c>
      <c r="AB1240" s="1">
        <v>45929</v>
      </c>
      <c r="AC1240" t="s">
        <v>40</v>
      </c>
      <c r="AD1240" t="s">
        <v>40</v>
      </c>
      <c r="AE1240" t="s">
        <v>60</v>
      </c>
      <c r="AF1240" t="s">
        <v>40</v>
      </c>
      <c r="AG1240">
        <v>0</v>
      </c>
      <c r="AH1240" t="s">
        <v>70</v>
      </c>
    </row>
    <row r="1241" spans="1:34" x14ac:dyDescent="0.3">
      <c r="A1241" t="s">
        <v>1907</v>
      </c>
      <c r="B1241" t="s">
        <v>1433</v>
      </c>
      <c r="C1241" t="s">
        <v>36</v>
      </c>
      <c r="D1241" t="s">
        <v>130</v>
      </c>
      <c r="E1241" s="1">
        <v>45870</v>
      </c>
      <c r="F1241" s="1">
        <v>45871</v>
      </c>
      <c r="G1241" t="s">
        <v>41</v>
      </c>
      <c r="H1241">
        <v>6632</v>
      </c>
      <c r="I1241" t="s">
        <v>39</v>
      </c>
      <c r="J1241" t="b">
        <v>0</v>
      </c>
      <c r="K1241">
        <v>1</v>
      </c>
      <c r="L1241">
        <v>8</v>
      </c>
      <c r="M1241">
        <v>2025</v>
      </c>
      <c r="N1241">
        <v>5</v>
      </c>
      <c r="O1241">
        <v>8</v>
      </c>
      <c r="P1241">
        <v>2025</v>
      </c>
      <c r="Q1241">
        <v>4</v>
      </c>
      <c r="R1241" t="s">
        <v>66</v>
      </c>
      <c r="S1241" t="s">
        <v>55</v>
      </c>
      <c r="T1241" t="s">
        <v>68</v>
      </c>
      <c r="U1241" t="s">
        <v>40</v>
      </c>
      <c r="V1241" t="s">
        <v>43</v>
      </c>
      <c r="W1241" t="s">
        <v>44</v>
      </c>
      <c r="X1241" t="s">
        <v>45</v>
      </c>
      <c r="Y1241">
        <v>150</v>
      </c>
      <c r="Z1241" t="s">
        <v>133</v>
      </c>
      <c r="AA1241" t="s">
        <v>134</v>
      </c>
      <c r="AB1241" s="1">
        <v>45871</v>
      </c>
      <c r="AC1241" t="s">
        <v>66</v>
      </c>
      <c r="AD1241" t="s">
        <v>40</v>
      </c>
      <c r="AE1241" t="s">
        <v>86</v>
      </c>
      <c r="AF1241" t="s">
        <v>40</v>
      </c>
      <c r="AG1241">
        <v>0</v>
      </c>
      <c r="AH1241" t="s">
        <v>100</v>
      </c>
    </row>
    <row r="1242" spans="1:34" x14ac:dyDescent="0.3">
      <c r="A1242" t="s">
        <v>1908</v>
      </c>
      <c r="B1242" t="s">
        <v>1031</v>
      </c>
      <c r="C1242" t="s">
        <v>146</v>
      </c>
      <c r="D1242" t="s">
        <v>130</v>
      </c>
      <c r="E1242" s="1">
        <v>46215</v>
      </c>
      <c r="F1242" s="1">
        <v>46216</v>
      </c>
      <c r="G1242" t="s">
        <v>64</v>
      </c>
      <c r="H1242">
        <v>3117</v>
      </c>
      <c r="I1242" t="s">
        <v>212</v>
      </c>
      <c r="J1242" t="b">
        <v>0</v>
      </c>
      <c r="K1242">
        <v>1</v>
      </c>
      <c r="L1242">
        <v>7</v>
      </c>
      <c r="M1242">
        <v>2026</v>
      </c>
      <c r="N1242">
        <v>0</v>
      </c>
      <c r="O1242">
        <v>7</v>
      </c>
      <c r="P1242">
        <v>2026</v>
      </c>
      <c r="Q1242">
        <v>6</v>
      </c>
      <c r="R1242" t="s">
        <v>40</v>
      </c>
      <c r="S1242" t="s">
        <v>41</v>
      </c>
      <c r="T1242" t="s">
        <v>123</v>
      </c>
      <c r="U1242" t="s">
        <v>40</v>
      </c>
      <c r="V1242" t="s">
        <v>147</v>
      </c>
      <c r="W1242" t="s">
        <v>148</v>
      </c>
      <c r="X1242" t="s">
        <v>45</v>
      </c>
      <c r="Y1242">
        <v>160</v>
      </c>
      <c r="Z1242" t="s">
        <v>133</v>
      </c>
      <c r="AA1242" t="s">
        <v>134</v>
      </c>
      <c r="AB1242" s="1">
        <v>46216</v>
      </c>
      <c r="AC1242" t="s">
        <v>40</v>
      </c>
      <c r="AD1242" t="s">
        <v>40</v>
      </c>
      <c r="AE1242" t="s">
        <v>86</v>
      </c>
      <c r="AF1242" t="s">
        <v>40</v>
      </c>
      <c r="AG1242">
        <v>0</v>
      </c>
      <c r="AH1242" t="s">
        <v>100</v>
      </c>
    </row>
    <row r="1243" spans="1:34" x14ac:dyDescent="0.3">
      <c r="A1243" t="s">
        <v>1909</v>
      </c>
      <c r="B1243" t="s">
        <v>782</v>
      </c>
      <c r="C1243" t="s">
        <v>122</v>
      </c>
      <c r="D1243" t="s">
        <v>130</v>
      </c>
      <c r="E1243" s="1">
        <v>45858</v>
      </c>
      <c r="F1243" s="1">
        <v>45888</v>
      </c>
      <c r="G1243" t="s">
        <v>41</v>
      </c>
      <c r="H1243">
        <v>6892</v>
      </c>
      <c r="I1243" t="s">
        <v>212</v>
      </c>
      <c r="J1243" t="b">
        <v>0</v>
      </c>
      <c r="K1243">
        <v>30</v>
      </c>
      <c r="L1243">
        <v>8</v>
      </c>
      <c r="M1243">
        <v>2025</v>
      </c>
      <c r="N1243">
        <v>1</v>
      </c>
      <c r="O1243">
        <v>7</v>
      </c>
      <c r="P1243">
        <v>2025</v>
      </c>
      <c r="Q1243">
        <v>6</v>
      </c>
      <c r="R1243" t="s">
        <v>40</v>
      </c>
      <c r="S1243" t="s">
        <v>67</v>
      </c>
      <c r="T1243" t="s">
        <v>42</v>
      </c>
      <c r="U1243" t="s">
        <v>66</v>
      </c>
      <c r="V1243" t="s">
        <v>124</v>
      </c>
      <c r="W1243" t="s">
        <v>125</v>
      </c>
      <c r="X1243" t="s">
        <v>126</v>
      </c>
      <c r="Y1243">
        <v>85</v>
      </c>
      <c r="Z1243" t="s">
        <v>133</v>
      </c>
      <c r="AA1243" t="s">
        <v>134</v>
      </c>
      <c r="AB1243" s="1">
        <v>45888</v>
      </c>
      <c r="AC1243" t="s">
        <v>40</v>
      </c>
      <c r="AD1243" t="s">
        <v>40</v>
      </c>
      <c r="AE1243" t="s">
        <v>86</v>
      </c>
      <c r="AF1243" t="s">
        <v>40</v>
      </c>
      <c r="AG1243">
        <v>0</v>
      </c>
      <c r="AH1243" t="s">
        <v>70</v>
      </c>
    </row>
    <row r="1244" spans="1:34" x14ac:dyDescent="0.3">
      <c r="A1244" t="s">
        <v>1910</v>
      </c>
      <c r="B1244" t="s">
        <v>1318</v>
      </c>
      <c r="C1244" t="s">
        <v>79</v>
      </c>
      <c r="D1244" t="s">
        <v>80</v>
      </c>
      <c r="E1244" s="1">
        <v>45940</v>
      </c>
      <c r="F1244" s="1">
        <v>45970</v>
      </c>
      <c r="G1244" t="s">
        <v>38</v>
      </c>
      <c r="H1244">
        <v>3967</v>
      </c>
      <c r="I1244" t="s">
        <v>39</v>
      </c>
      <c r="J1244" t="b">
        <v>0</v>
      </c>
      <c r="K1244">
        <v>30</v>
      </c>
      <c r="L1244">
        <v>11</v>
      </c>
      <c r="M1244">
        <v>2025</v>
      </c>
      <c r="N1244">
        <v>6</v>
      </c>
      <c r="O1244">
        <v>10</v>
      </c>
      <c r="P1244">
        <v>2025</v>
      </c>
      <c r="Q1244">
        <v>4</v>
      </c>
      <c r="R1244" t="s">
        <v>66</v>
      </c>
      <c r="S1244" t="s">
        <v>55</v>
      </c>
      <c r="T1244" t="s">
        <v>123</v>
      </c>
      <c r="U1244" t="s">
        <v>40</v>
      </c>
      <c r="V1244" t="s">
        <v>82</v>
      </c>
      <c r="W1244" t="s">
        <v>83</v>
      </c>
      <c r="X1244" t="s">
        <v>76</v>
      </c>
      <c r="Y1244">
        <v>100</v>
      </c>
      <c r="Z1244" t="s">
        <v>84</v>
      </c>
      <c r="AA1244" t="s">
        <v>85</v>
      </c>
      <c r="AB1244" s="1">
        <v>45970</v>
      </c>
      <c r="AC1244" t="s">
        <v>66</v>
      </c>
      <c r="AD1244" t="s">
        <v>40</v>
      </c>
      <c r="AE1244" t="s">
        <v>86</v>
      </c>
      <c r="AF1244" t="s">
        <v>40</v>
      </c>
      <c r="AG1244">
        <v>0</v>
      </c>
      <c r="AH1244" t="s">
        <v>70</v>
      </c>
    </row>
    <row r="1245" spans="1:34" x14ac:dyDescent="0.3">
      <c r="A1245" t="s">
        <v>1911</v>
      </c>
      <c r="B1245" t="s">
        <v>1074</v>
      </c>
      <c r="C1245" t="s">
        <v>129</v>
      </c>
      <c r="D1245" t="s">
        <v>53</v>
      </c>
      <c r="E1245" s="1">
        <v>46115</v>
      </c>
      <c r="F1245" s="1">
        <v>46129</v>
      </c>
      <c r="G1245" t="s">
        <v>41</v>
      </c>
      <c r="H1245">
        <v>5837</v>
      </c>
      <c r="I1245" t="s">
        <v>54</v>
      </c>
      <c r="J1245" t="b">
        <v>0</v>
      </c>
      <c r="K1245">
        <v>14</v>
      </c>
      <c r="L1245">
        <v>4</v>
      </c>
      <c r="M1245">
        <v>2026</v>
      </c>
      <c r="N1245">
        <v>4</v>
      </c>
      <c r="O1245">
        <v>4</v>
      </c>
      <c r="P1245">
        <v>2026</v>
      </c>
      <c r="Q1245">
        <v>4</v>
      </c>
      <c r="R1245" t="s">
        <v>40</v>
      </c>
      <c r="S1245" t="s">
        <v>45</v>
      </c>
      <c r="T1245" t="s">
        <v>123</v>
      </c>
      <c r="U1245" t="s">
        <v>40</v>
      </c>
      <c r="V1245" t="s">
        <v>131</v>
      </c>
      <c r="W1245" t="s">
        <v>132</v>
      </c>
      <c r="X1245" t="s">
        <v>45</v>
      </c>
      <c r="Y1245">
        <v>110</v>
      </c>
      <c r="Z1245" t="s">
        <v>58</v>
      </c>
      <c r="AA1245" t="s">
        <v>59</v>
      </c>
      <c r="AB1245" s="1">
        <v>46129</v>
      </c>
      <c r="AC1245" t="s">
        <v>40</v>
      </c>
      <c r="AD1245" t="s">
        <v>40</v>
      </c>
      <c r="AE1245" t="s">
        <v>69</v>
      </c>
      <c r="AF1245" t="s">
        <v>40</v>
      </c>
      <c r="AG1245">
        <v>1</v>
      </c>
      <c r="AH1245" t="s">
        <v>70</v>
      </c>
    </row>
    <row r="1246" spans="1:34" x14ac:dyDescent="0.3">
      <c r="A1246" t="s">
        <v>1912</v>
      </c>
      <c r="B1246" t="s">
        <v>815</v>
      </c>
      <c r="C1246" t="s">
        <v>129</v>
      </c>
      <c r="D1246" t="s">
        <v>90</v>
      </c>
      <c r="E1246" s="1">
        <v>46279</v>
      </c>
      <c r="F1246" s="1">
        <v>46293</v>
      </c>
      <c r="G1246" t="s">
        <v>41</v>
      </c>
      <c r="H1246">
        <v>6789</v>
      </c>
      <c r="I1246" t="s">
        <v>54</v>
      </c>
      <c r="J1246" t="b">
        <v>0</v>
      </c>
      <c r="K1246">
        <v>14</v>
      </c>
      <c r="L1246">
        <v>9</v>
      </c>
      <c r="M1246">
        <v>2026</v>
      </c>
      <c r="N1246">
        <v>0</v>
      </c>
      <c r="O1246">
        <v>9</v>
      </c>
      <c r="P1246">
        <v>2026</v>
      </c>
      <c r="Q1246">
        <v>0</v>
      </c>
      <c r="R1246" t="s">
        <v>40</v>
      </c>
      <c r="S1246" t="s">
        <v>55</v>
      </c>
      <c r="T1246" t="s">
        <v>113</v>
      </c>
      <c r="U1246" t="s">
        <v>40</v>
      </c>
      <c r="V1246" t="s">
        <v>131</v>
      </c>
      <c r="W1246" t="s">
        <v>132</v>
      </c>
      <c r="X1246" t="s">
        <v>45</v>
      </c>
      <c r="Y1246">
        <v>110</v>
      </c>
      <c r="Z1246" t="s">
        <v>93</v>
      </c>
      <c r="AA1246" t="s">
        <v>94</v>
      </c>
      <c r="AB1246" s="1">
        <v>46293</v>
      </c>
      <c r="AC1246" t="s">
        <v>40</v>
      </c>
      <c r="AD1246" t="s">
        <v>40</v>
      </c>
      <c r="AE1246" t="s">
        <v>60</v>
      </c>
      <c r="AF1246" t="s">
        <v>40</v>
      </c>
      <c r="AG1246">
        <v>1</v>
      </c>
      <c r="AH1246" t="s">
        <v>70</v>
      </c>
    </row>
    <row r="1247" spans="1:34" x14ac:dyDescent="0.3">
      <c r="A1247" t="s">
        <v>1913</v>
      </c>
      <c r="B1247" t="s">
        <v>1429</v>
      </c>
      <c r="C1247" t="s">
        <v>36</v>
      </c>
      <c r="D1247" t="s">
        <v>80</v>
      </c>
      <c r="E1247" s="1">
        <v>45904</v>
      </c>
      <c r="F1247" s="1">
        <v>46004</v>
      </c>
      <c r="G1247" t="s">
        <v>41</v>
      </c>
      <c r="H1247">
        <v>6650</v>
      </c>
      <c r="I1247" t="s">
        <v>54</v>
      </c>
      <c r="J1247" t="b">
        <v>0</v>
      </c>
      <c r="K1247">
        <v>100</v>
      </c>
      <c r="L1247">
        <v>12</v>
      </c>
      <c r="M1247">
        <v>2025</v>
      </c>
      <c r="N1247">
        <v>5</v>
      </c>
      <c r="O1247">
        <v>9</v>
      </c>
      <c r="P1247">
        <v>2025</v>
      </c>
      <c r="Q1247">
        <v>3</v>
      </c>
      <c r="R1247" t="s">
        <v>66</v>
      </c>
      <c r="S1247" t="s">
        <v>45</v>
      </c>
      <c r="T1247" t="s">
        <v>42</v>
      </c>
      <c r="U1247" t="s">
        <v>40</v>
      </c>
      <c r="V1247" t="s">
        <v>43</v>
      </c>
      <c r="W1247" t="s">
        <v>44</v>
      </c>
      <c r="X1247" t="s">
        <v>45</v>
      </c>
      <c r="Y1247">
        <v>150</v>
      </c>
      <c r="Z1247" t="s">
        <v>84</v>
      </c>
      <c r="AA1247" t="s">
        <v>85</v>
      </c>
      <c r="AB1247" s="1">
        <v>46004</v>
      </c>
      <c r="AC1247" t="s">
        <v>66</v>
      </c>
      <c r="AD1247" t="s">
        <v>40</v>
      </c>
      <c r="AE1247" t="s">
        <v>69</v>
      </c>
      <c r="AF1247" t="s">
        <v>40</v>
      </c>
      <c r="AG1247">
        <v>1</v>
      </c>
      <c r="AH1247" t="s">
        <v>49</v>
      </c>
    </row>
    <row r="1248" spans="1:34" x14ac:dyDescent="0.3">
      <c r="A1248" t="s">
        <v>1914</v>
      </c>
      <c r="B1248" t="s">
        <v>387</v>
      </c>
      <c r="C1248" t="s">
        <v>129</v>
      </c>
      <c r="D1248" t="s">
        <v>80</v>
      </c>
      <c r="E1248" s="1">
        <v>45683</v>
      </c>
      <c r="F1248" s="1">
        <v>45743</v>
      </c>
      <c r="G1248" t="s">
        <v>64</v>
      </c>
      <c r="H1248">
        <v>3115</v>
      </c>
      <c r="I1248" t="s">
        <v>39</v>
      </c>
      <c r="J1248" t="b">
        <v>0</v>
      </c>
      <c r="K1248">
        <v>60</v>
      </c>
      <c r="L1248">
        <v>3</v>
      </c>
      <c r="M1248">
        <v>2025</v>
      </c>
      <c r="N1248">
        <v>3</v>
      </c>
      <c r="O1248">
        <v>1</v>
      </c>
      <c r="P1248">
        <v>2025</v>
      </c>
      <c r="Q1248">
        <v>6</v>
      </c>
      <c r="R1248" t="s">
        <v>40</v>
      </c>
      <c r="S1248" t="s">
        <v>41</v>
      </c>
      <c r="T1248" t="s">
        <v>42</v>
      </c>
      <c r="U1248" t="s">
        <v>66</v>
      </c>
      <c r="V1248" t="s">
        <v>131</v>
      </c>
      <c r="W1248" t="s">
        <v>132</v>
      </c>
      <c r="X1248" t="s">
        <v>45</v>
      </c>
      <c r="Y1248">
        <v>110</v>
      </c>
      <c r="Z1248" t="s">
        <v>84</v>
      </c>
      <c r="AA1248" t="s">
        <v>85</v>
      </c>
      <c r="AB1248" s="1">
        <v>45743</v>
      </c>
      <c r="AC1248" t="s">
        <v>40</v>
      </c>
      <c r="AD1248" t="s">
        <v>40</v>
      </c>
      <c r="AE1248" t="s">
        <v>60</v>
      </c>
      <c r="AF1248" t="s">
        <v>40</v>
      </c>
      <c r="AG1248">
        <v>0</v>
      </c>
      <c r="AH1248" t="s">
        <v>61</v>
      </c>
    </row>
    <row r="1249" spans="1:34" x14ac:dyDescent="0.3">
      <c r="A1249" t="s">
        <v>1915</v>
      </c>
      <c r="B1249" t="s">
        <v>507</v>
      </c>
      <c r="C1249" t="s">
        <v>155</v>
      </c>
      <c r="D1249" t="s">
        <v>90</v>
      </c>
      <c r="E1249" s="1">
        <v>46214</v>
      </c>
      <c r="F1249" s="1">
        <v>46274</v>
      </c>
      <c r="G1249" t="s">
        <v>64</v>
      </c>
      <c r="H1249">
        <v>3750</v>
      </c>
      <c r="I1249" t="s">
        <v>65</v>
      </c>
      <c r="J1249" t="b">
        <v>0</v>
      </c>
      <c r="K1249">
        <v>60</v>
      </c>
      <c r="L1249">
        <v>9</v>
      </c>
      <c r="M1249">
        <v>2026</v>
      </c>
      <c r="N1249">
        <v>2</v>
      </c>
      <c r="O1249">
        <v>7</v>
      </c>
      <c r="P1249">
        <v>2026</v>
      </c>
      <c r="Q1249">
        <v>5</v>
      </c>
      <c r="R1249" t="s">
        <v>40</v>
      </c>
      <c r="S1249" t="s">
        <v>45</v>
      </c>
      <c r="T1249" t="s">
        <v>42</v>
      </c>
      <c r="U1249" t="s">
        <v>40</v>
      </c>
      <c r="V1249" t="s">
        <v>156</v>
      </c>
      <c r="W1249" t="s">
        <v>157</v>
      </c>
      <c r="X1249" t="s">
        <v>158</v>
      </c>
      <c r="Y1249">
        <v>70</v>
      </c>
      <c r="Z1249" t="s">
        <v>93</v>
      </c>
      <c r="AA1249" t="s">
        <v>94</v>
      </c>
      <c r="AB1249" s="1">
        <v>46274</v>
      </c>
      <c r="AC1249" t="s">
        <v>40</v>
      </c>
      <c r="AD1249" t="s">
        <v>40</v>
      </c>
      <c r="AE1249" t="s">
        <v>60</v>
      </c>
      <c r="AF1249" t="s">
        <v>40</v>
      </c>
      <c r="AG1249">
        <v>0</v>
      </c>
      <c r="AH1249" t="s">
        <v>61</v>
      </c>
    </row>
    <row r="1250" spans="1:34" x14ac:dyDescent="0.3">
      <c r="A1250" t="s">
        <v>1916</v>
      </c>
      <c r="B1250" t="s">
        <v>644</v>
      </c>
      <c r="C1250" t="s">
        <v>97</v>
      </c>
      <c r="D1250" t="s">
        <v>130</v>
      </c>
      <c r="E1250" s="1">
        <v>45919</v>
      </c>
      <c r="F1250" s="1">
        <v>45949</v>
      </c>
      <c r="G1250" t="s">
        <v>64</v>
      </c>
      <c r="H1250">
        <v>2809</v>
      </c>
      <c r="I1250" t="s">
        <v>39</v>
      </c>
      <c r="J1250" t="b">
        <v>0</v>
      </c>
      <c r="K1250">
        <v>30</v>
      </c>
      <c r="L1250">
        <v>10</v>
      </c>
      <c r="M1250">
        <v>2025</v>
      </c>
      <c r="N1250">
        <v>6</v>
      </c>
      <c r="O1250">
        <v>9</v>
      </c>
      <c r="P1250">
        <v>2025</v>
      </c>
      <c r="Q1250">
        <v>4</v>
      </c>
      <c r="R1250" t="s">
        <v>66</v>
      </c>
      <c r="S1250" t="s">
        <v>41</v>
      </c>
      <c r="T1250" t="s">
        <v>139</v>
      </c>
      <c r="U1250" t="s">
        <v>40</v>
      </c>
      <c r="V1250" t="s">
        <v>98</v>
      </c>
      <c r="W1250" t="s">
        <v>99</v>
      </c>
      <c r="X1250" t="s">
        <v>76</v>
      </c>
      <c r="Y1250">
        <v>80</v>
      </c>
      <c r="Z1250" t="s">
        <v>133</v>
      </c>
      <c r="AA1250" t="s">
        <v>134</v>
      </c>
      <c r="AB1250" s="1">
        <v>45949</v>
      </c>
      <c r="AC1250" t="s">
        <v>66</v>
      </c>
      <c r="AD1250" t="s">
        <v>40</v>
      </c>
      <c r="AE1250" t="s">
        <v>60</v>
      </c>
      <c r="AF1250" t="s">
        <v>40</v>
      </c>
      <c r="AG1250">
        <v>0</v>
      </c>
      <c r="AH1250" t="s">
        <v>70</v>
      </c>
    </row>
    <row r="1251" spans="1:34" x14ac:dyDescent="0.3">
      <c r="A1251" t="s">
        <v>1917</v>
      </c>
      <c r="B1251" t="s">
        <v>294</v>
      </c>
      <c r="C1251" t="s">
        <v>129</v>
      </c>
      <c r="D1251" t="s">
        <v>90</v>
      </c>
      <c r="E1251" s="1">
        <v>46321</v>
      </c>
      <c r="F1251" s="1">
        <v>46322</v>
      </c>
      <c r="G1251" t="s">
        <v>41</v>
      </c>
      <c r="H1251">
        <v>6565</v>
      </c>
      <c r="I1251" t="s">
        <v>39</v>
      </c>
      <c r="J1251" t="b">
        <v>0</v>
      </c>
      <c r="K1251">
        <v>1</v>
      </c>
      <c r="L1251">
        <v>10</v>
      </c>
      <c r="M1251">
        <v>2026</v>
      </c>
      <c r="N1251">
        <v>1</v>
      </c>
      <c r="O1251">
        <v>10</v>
      </c>
      <c r="P1251">
        <v>2026</v>
      </c>
      <c r="Q1251">
        <v>0</v>
      </c>
      <c r="R1251" t="s">
        <v>40</v>
      </c>
      <c r="S1251" t="s">
        <v>41</v>
      </c>
      <c r="T1251" t="s">
        <v>68</v>
      </c>
      <c r="U1251" t="s">
        <v>40</v>
      </c>
      <c r="V1251" t="s">
        <v>131</v>
      </c>
      <c r="W1251" t="s">
        <v>132</v>
      </c>
      <c r="X1251" t="s">
        <v>45</v>
      </c>
      <c r="Y1251">
        <v>110</v>
      </c>
      <c r="Z1251" t="s">
        <v>93</v>
      </c>
      <c r="AA1251" t="s">
        <v>94</v>
      </c>
      <c r="AB1251" s="1">
        <v>46322</v>
      </c>
      <c r="AC1251" t="s">
        <v>40</v>
      </c>
      <c r="AD1251" t="s">
        <v>40</v>
      </c>
      <c r="AE1251" t="s">
        <v>60</v>
      </c>
      <c r="AF1251" t="s">
        <v>40</v>
      </c>
      <c r="AG1251">
        <v>0</v>
      </c>
      <c r="AH1251" t="s">
        <v>100</v>
      </c>
    </row>
    <row r="1252" spans="1:34" x14ac:dyDescent="0.3">
      <c r="A1252" t="s">
        <v>1918</v>
      </c>
      <c r="B1252" t="s">
        <v>1919</v>
      </c>
      <c r="C1252" t="s">
        <v>36</v>
      </c>
      <c r="D1252" t="s">
        <v>90</v>
      </c>
      <c r="E1252" s="1">
        <v>45879</v>
      </c>
      <c r="F1252" s="1">
        <v>45893</v>
      </c>
      <c r="G1252" t="s">
        <v>64</v>
      </c>
      <c r="H1252">
        <v>3182</v>
      </c>
      <c r="I1252" t="s">
        <v>39</v>
      </c>
      <c r="J1252" t="b">
        <v>0</v>
      </c>
      <c r="K1252">
        <v>14</v>
      </c>
      <c r="L1252">
        <v>8</v>
      </c>
      <c r="M1252">
        <v>2025</v>
      </c>
      <c r="N1252">
        <v>6</v>
      </c>
      <c r="O1252">
        <v>8</v>
      </c>
      <c r="P1252">
        <v>2025</v>
      </c>
      <c r="Q1252">
        <v>6</v>
      </c>
      <c r="R1252" t="s">
        <v>66</v>
      </c>
      <c r="S1252" t="s">
        <v>55</v>
      </c>
      <c r="T1252" t="s">
        <v>48</v>
      </c>
      <c r="U1252" t="s">
        <v>40</v>
      </c>
      <c r="V1252" t="s">
        <v>43</v>
      </c>
      <c r="W1252" t="s">
        <v>44</v>
      </c>
      <c r="X1252" t="s">
        <v>45</v>
      </c>
      <c r="Y1252">
        <v>150</v>
      </c>
      <c r="Z1252" t="s">
        <v>93</v>
      </c>
      <c r="AA1252" t="s">
        <v>94</v>
      </c>
      <c r="AB1252" s="1">
        <v>45893</v>
      </c>
      <c r="AC1252" t="s">
        <v>66</v>
      </c>
      <c r="AD1252" t="s">
        <v>40</v>
      </c>
      <c r="AE1252" t="s">
        <v>86</v>
      </c>
      <c r="AF1252" t="s">
        <v>40</v>
      </c>
      <c r="AG1252">
        <v>0</v>
      </c>
      <c r="AH1252" t="s">
        <v>70</v>
      </c>
    </row>
    <row r="1253" spans="1:34" x14ac:dyDescent="0.3">
      <c r="A1253" t="s">
        <v>1920</v>
      </c>
      <c r="B1253" t="s">
        <v>1921</v>
      </c>
      <c r="C1253" t="s">
        <v>73</v>
      </c>
      <c r="D1253" t="s">
        <v>37</v>
      </c>
      <c r="E1253" s="1">
        <v>46185</v>
      </c>
      <c r="F1253" s="1">
        <v>46215</v>
      </c>
      <c r="G1253" t="s">
        <v>81</v>
      </c>
      <c r="H1253">
        <v>11501</v>
      </c>
      <c r="I1253" t="s">
        <v>54</v>
      </c>
      <c r="J1253" t="b">
        <v>0</v>
      </c>
      <c r="K1253">
        <v>30</v>
      </c>
      <c r="L1253">
        <v>7</v>
      </c>
      <c r="M1253">
        <v>2026</v>
      </c>
      <c r="N1253">
        <v>6</v>
      </c>
      <c r="O1253">
        <v>6</v>
      </c>
      <c r="P1253">
        <v>2026</v>
      </c>
      <c r="Q1253">
        <v>4</v>
      </c>
      <c r="R1253" t="s">
        <v>66</v>
      </c>
      <c r="S1253" t="s">
        <v>55</v>
      </c>
      <c r="T1253" t="s">
        <v>42</v>
      </c>
      <c r="U1253" t="s">
        <v>40</v>
      </c>
      <c r="V1253" t="s">
        <v>74</v>
      </c>
      <c r="W1253" t="s">
        <v>75</v>
      </c>
      <c r="X1253" t="s">
        <v>76</v>
      </c>
      <c r="Y1253">
        <v>75</v>
      </c>
      <c r="Z1253" t="s">
        <v>46</v>
      </c>
      <c r="AA1253" t="s">
        <v>47</v>
      </c>
      <c r="AB1253" s="1">
        <v>46215</v>
      </c>
      <c r="AC1253" t="s">
        <v>66</v>
      </c>
      <c r="AD1253" t="s">
        <v>40</v>
      </c>
      <c r="AE1253" t="s">
        <v>86</v>
      </c>
      <c r="AF1253" t="s">
        <v>40</v>
      </c>
      <c r="AG1253">
        <v>1</v>
      </c>
      <c r="AH1253" t="s">
        <v>70</v>
      </c>
    </row>
    <row r="1254" spans="1:34" x14ac:dyDescent="0.3">
      <c r="A1254" t="s">
        <v>1922</v>
      </c>
      <c r="B1254" t="s">
        <v>1923</v>
      </c>
      <c r="C1254" t="s">
        <v>97</v>
      </c>
      <c r="D1254" t="s">
        <v>104</v>
      </c>
      <c r="E1254" s="1">
        <v>46334</v>
      </c>
      <c r="F1254" s="1">
        <v>46337</v>
      </c>
      <c r="G1254" t="s">
        <v>38</v>
      </c>
      <c r="H1254">
        <v>5611</v>
      </c>
      <c r="I1254" t="s">
        <v>39</v>
      </c>
      <c r="J1254" t="b">
        <v>0</v>
      </c>
      <c r="K1254">
        <v>3</v>
      </c>
      <c r="L1254">
        <v>11</v>
      </c>
      <c r="M1254">
        <v>2026</v>
      </c>
      <c r="N1254">
        <v>2</v>
      </c>
      <c r="O1254">
        <v>11</v>
      </c>
      <c r="P1254">
        <v>2026</v>
      </c>
      <c r="Q1254">
        <v>6</v>
      </c>
      <c r="R1254" t="s">
        <v>40</v>
      </c>
      <c r="S1254" t="s">
        <v>45</v>
      </c>
      <c r="T1254" t="s">
        <v>42</v>
      </c>
      <c r="U1254" t="s">
        <v>66</v>
      </c>
      <c r="V1254" t="s">
        <v>98</v>
      </c>
      <c r="W1254" t="s">
        <v>99</v>
      </c>
      <c r="X1254" t="s">
        <v>76</v>
      </c>
      <c r="Y1254">
        <v>80</v>
      </c>
      <c r="Z1254" t="s">
        <v>107</v>
      </c>
      <c r="AA1254" t="s">
        <v>108</v>
      </c>
      <c r="AB1254" s="1">
        <v>46337</v>
      </c>
      <c r="AC1254" t="s">
        <v>40</v>
      </c>
      <c r="AD1254" t="s">
        <v>40</v>
      </c>
      <c r="AE1254" t="s">
        <v>86</v>
      </c>
      <c r="AF1254" t="s">
        <v>40</v>
      </c>
      <c r="AG1254">
        <v>0</v>
      </c>
      <c r="AH1254" t="s">
        <v>100</v>
      </c>
    </row>
    <row r="1255" spans="1:34" x14ac:dyDescent="0.3">
      <c r="A1255" t="s">
        <v>1924</v>
      </c>
      <c r="B1255" t="s">
        <v>454</v>
      </c>
      <c r="C1255" t="s">
        <v>52</v>
      </c>
      <c r="D1255" t="s">
        <v>90</v>
      </c>
      <c r="E1255" s="1">
        <v>46334</v>
      </c>
      <c r="F1255" s="1">
        <v>46364</v>
      </c>
      <c r="G1255" t="s">
        <v>64</v>
      </c>
      <c r="H1255">
        <v>2394</v>
      </c>
      <c r="I1255" t="s">
        <v>39</v>
      </c>
      <c r="J1255" t="b">
        <v>0</v>
      </c>
      <c r="K1255">
        <v>30</v>
      </c>
      <c r="L1255">
        <v>12</v>
      </c>
      <c r="M1255">
        <v>2026</v>
      </c>
      <c r="N1255">
        <v>1</v>
      </c>
      <c r="O1255">
        <v>11</v>
      </c>
      <c r="P1255">
        <v>2026</v>
      </c>
      <c r="Q1255">
        <v>6</v>
      </c>
      <c r="R1255" t="s">
        <v>40</v>
      </c>
      <c r="S1255" t="s">
        <v>55</v>
      </c>
      <c r="T1255" t="s">
        <v>42</v>
      </c>
      <c r="U1255" t="s">
        <v>66</v>
      </c>
      <c r="V1255" t="s">
        <v>56</v>
      </c>
      <c r="W1255" t="s">
        <v>57</v>
      </c>
      <c r="X1255" t="s">
        <v>45</v>
      </c>
      <c r="Y1255">
        <v>120</v>
      </c>
      <c r="Z1255" t="s">
        <v>93</v>
      </c>
      <c r="AA1255" t="s">
        <v>94</v>
      </c>
      <c r="AB1255" s="1">
        <v>46364</v>
      </c>
      <c r="AC1255" t="s">
        <v>40</v>
      </c>
      <c r="AD1255" t="s">
        <v>40</v>
      </c>
      <c r="AE1255" t="s">
        <v>69</v>
      </c>
      <c r="AF1255" t="s">
        <v>40</v>
      </c>
      <c r="AG1255">
        <v>0</v>
      </c>
      <c r="AH1255" t="s">
        <v>70</v>
      </c>
    </row>
    <row r="1256" spans="1:34" x14ac:dyDescent="0.3">
      <c r="A1256" t="s">
        <v>1925</v>
      </c>
      <c r="B1256" t="s">
        <v>895</v>
      </c>
      <c r="C1256" t="s">
        <v>155</v>
      </c>
      <c r="D1256" t="s">
        <v>80</v>
      </c>
      <c r="E1256" s="1">
        <v>46256</v>
      </c>
      <c r="F1256" s="1">
        <v>46270</v>
      </c>
      <c r="G1256" t="s">
        <v>38</v>
      </c>
      <c r="H1256">
        <v>5320</v>
      </c>
      <c r="I1256" t="s">
        <v>39</v>
      </c>
      <c r="J1256" t="b">
        <v>0</v>
      </c>
      <c r="K1256">
        <v>14</v>
      </c>
      <c r="L1256">
        <v>9</v>
      </c>
      <c r="M1256">
        <v>2026</v>
      </c>
      <c r="N1256">
        <v>5</v>
      </c>
      <c r="O1256">
        <v>8</v>
      </c>
      <c r="P1256">
        <v>2026</v>
      </c>
      <c r="Q1256">
        <v>5</v>
      </c>
      <c r="R1256" t="s">
        <v>66</v>
      </c>
      <c r="S1256" t="s">
        <v>67</v>
      </c>
      <c r="T1256" t="s">
        <v>123</v>
      </c>
      <c r="U1256" t="s">
        <v>40</v>
      </c>
      <c r="V1256" t="s">
        <v>156</v>
      </c>
      <c r="W1256" t="s">
        <v>157</v>
      </c>
      <c r="X1256" t="s">
        <v>158</v>
      </c>
      <c r="Y1256">
        <v>70</v>
      </c>
      <c r="Z1256" t="s">
        <v>84</v>
      </c>
      <c r="AA1256" t="s">
        <v>85</v>
      </c>
      <c r="AB1256" s="1">
        <v>46270</v>
      </c>
      <c r="AC1256" t="s">
        <v>66</v>
      </c>
      <c r="AD1256" t="s">
        <v>40</v>
      </c>
      <c r="AE1256" t="s">
        <v>60</v>
      </c>
      <c r="AF1256" t="s">
        <v>40</v>
      </c>
      <c r="AG1256">
        <v>0</v>
      </c>
      <c r="AH1256" t="s">
        <v>70</v>
      </c>
    </row>
    <row r="1257" spans="1:34" x14ac:dyDescent="0.3">
      <c r="A1257" t="s">
        <v>1926</v>
      </c>
      <c r="B1257" t="s">
        <v>558</v>
      </c>
      <c r="C1257" t="s">
        <v>129</v>
      </c>
      <c r="D1257" t="s">
        <v>80</v>
      </c>
      <c r="E1257" s="1">
        <v>45689</v>
      </c>
      <c r="F1257" s="1">
        <v>45789</v>
      </c>
      <c r="G1257" t="s">
        <v>64</v>
      </c>
      <c r="H1257">
        <v>4100</v>
      </c>
      <c r="I1257" t="s">
        <v>54</v>
      </c>
      <c r="J1257" t="b">
        <v>0</v>
      </c>
      <c r="K1257">
        <v>100</v>
      </c>
      <c r="L1257">
        <v>5</v>
      </c>
      <c r="M1257">
        <v>2025</v>
      </c>
      <c r="N1257">
        <v>0</v>
      </c>
      <c r="O1257">
        <v>2</v>
      </c>
      <c r="P1257">
        <v>2025</v>
      </c>
      <c r="Q1257">
        <v>5</v>
      </c>
      <c r="R1257" t="s">
        <v>40</v>
      </c>
      <c r="S1257" t="s">
        <v>55</v>
      </c>
      <c r="T1257" t="s">
        <v>48</v>
      </c>
      <c r="U1257" t="s">
        <v>40</v>
      </c>
      <c r="V1257" t="s">
        <v>131</v>
      </c>
      <c r="W1257" t="s">
        <v>132</v>
      </c>
      <c r="X1257" t="s">
        <v>45</v>
      </c>
      <c r="Y1257">
        <v>110</v>
      </c>
      <c r="Z1257" t="s">
        <v>84</v>
      </c>
      <c r="AA1257" t="s">
        <v>85</v>
      </c>
      <c r="AB1257" s="1">
        <v>45789</v>
      </c>
      <c r="AC1257" t="s">
        <v>40</v>
      </c>
      <c r="AD1257" t="s">
        <v>40</v>
      </c>
      <c r="AE1257" t="s">
        <v>69</v>
      </c>
      <c r="AF1257" t="s">
        <v>40</v>
      </c>
      <c r="AG1257">
        <v>1</v>
      </c>
      <c r="AH1257" t="s">
        <v>49</v>
      </c>
    </row>
    <row r="1258" spans="1:34" x14ac:dyDescent="0.3">
      <c r="A1258" t="s">
        <v>1927</v>
      </c>
      <c r="B1258" t="s">
        <v>271</v>
      </c>
      <c r="C1258" t="s">
        <v>122</v>
      </c>
      <c r="D1258" t="s">
        <v>53</v>
      </c>
      <c r="E1258" s="1">
        <v>46192</v>
      </c>
      <c r="F1258" s="1">
        <v>46222</v>
      </c>
      <c r="G1258" t="s">
        <v>38</v>
      </c>
      <c r="H1258">
        <v>5576</v>
      </c>
      <c r="I1258" t="s">
        <v>39</v>
      </c>
      <c r="J1258" t="b">
        <v>0</v>
      </c>
      <c r="K1258">
        <v>30</v>
      </c>
      <c r="L1258">
        <v>7</v>
      </c>
      <c r="M1258">
        <v>2026</v>
      </c>
      <c r="N1258">
        <v>6</v>
      </c>
      <c r="O1258">
        <v>6</v>
      </c>
      <c r="P1258">
        <v>2026</v>
      </c>
      <c r="Q1258">
        <v>4</v>
      </c>
      <c r="R1258" t="s">
        <v>66</v>
      </c>
      <c r="S1258" t="s">
        <v>67</v>
      </c>
      <c r="T1258" t="s">
        <v>42</v>
      </c>
      <c r="U1258" t="s">
        <v>40</v>
      </c>
      <c r="V1258" t="s">
        <v>124</v>
      </c>
      <c r="W1258" t="s">
        <v>125</v>
      </c>
      <c r="X1258" t="s">
        <v>126</v>
      </c>
      <c r="Y1258">
        <v>85</v>
      </c>
      <c r="Z1258" t="s">
        <v>58</v>
      </c>
      <c r="AA1258" t="s">
        <v>59</v>
      </c>
      <c r="AB1258" s="1">
        <v>46222</v>
      </c>
      <c r="AC1258" t="s">
        <v>66</v>
      </c>
      <c r="AD1258" t="s">
        <v>40</v>
      </c>
      <c r="AE1258" t="s">
        <v>86</v>
      </c>
      <c r="AF1258" t="s">
        <v>40</v>
      </c>
      <c r="AG1258">
        <v>0</v>
      </c>
      <c r="AH1258" t="s">
        <v>70</v>
      </c>
    </row>
    <row r="1259" spans="1:34" x14ac:dyDescent="0.3">
      <c r="A1259" t="s">
        <v>1928</v>
      </c>
      <c r="B1259" t="s">
        <v>1176</v>
      </c>
      <c r="C1259" t="s">
        <v>169</v>
      </c>
      <c r="D1259" t="s">
        <v>80</v>
      </c>
      <c r="E1259" s="1">
        <v>45705</v>
      </c>
      <c r="F1259" s="1">
        <v>45719</v>
      </c>
      <c r="G1259" t="s">
        <v>81</v>
      </c>
      <c r="H1259">
        <v>7973</v>
      </c>
      <c r="I1259" t="s">
        <v>39</v>
      </c>
      <c r="J1259" t="b">
        <v>0</v>
      </c>
      <c r="K1259">
        <v>14</v>
      </c>
      <c r="L1259">
        <v>3</v>
      </c>
      <c r="M1259">
        <v>2025</v>
      </c>
      <c r="N1259">
        <v>0</v>
      </c>
      <c r="O1259">
        <v>2</v>
      </c>
      <c r="P1259">
        <v>2025</v>
      </c>
      <c r="Q1259">
        <v>0</v>
      </c>
      <c r="R1259" t="s">
        <v>40</v>
      </c>
      <c r="S1259" t="s">
        <v>55</v>
      </c>
      <c r="T1259" t="s">
        <v>42</v>
      </c>
      <c r="U1259" t="s">
        <v>40</v>
      </c>
      <c r="V1259" t="s">
        <v>170</v>
      </c>
      <c r="W1259" t="s">
        <v>171</v>
      </c>
      <c r="X1259" t="s">
        <v>126</v>
      </c>
      <c r="Y1259">
        <v>90</v>
      </c>
      <c r="Z1259" t="s">
        <v>84</v>
      </c>
      <c r="AA1259" t="s">
        <v>85</v>
      </c>
      <c r="AB1259" s="1">
        <v>45719</v>
      </c>
      <c r="AC1259" t="s">
        <v>40</v>
      </c>
      <c r="AD1259" t="s">
        <v>40</v>
      </c>
      <c r="AE1259" t="s">
        <v>60</v>
      </c>
      <c r="AF1259" t="s">
        <v>40</v>
      </c>
      <c r="AG1259">
        <v>0</v>
      </c>
      <c r="AH1259" t="s">
        <v>70</v>
      </c>
    </row>
    <row r="1260" spans="1:34" x14ac:dyDescent="0.3">
      <c r="A1260" t="s">
        <v>1929</v>
      </c>
      <c r="B1260" t="s">
        <v>1233</v>
      </c>
      <c r="C1260" t="s">
        <v>36</v>
      </c>
      <c r="D1260" t="s">
        <v>37</v>
      </c>
      <c r="E1260" s="1">
        <v>46342</v>
      </c>
      <c r="F1260" s="1">
        <v>46345</v>
      </c>
      <c r="G1260" t="s">
        <v>38</v>
      </c>
      <c r="H1260">
        <v>5546</v>
      </c>
      <c r="I1260" t="s">
        <v>39</v>
      </c>
      <c r="J1260" t="b">
        <v>0</v>
      </c>
      <c r="K1260">
        <v>3</v>
      </c>
      <c r="L1260">
        <v>11</v>
      </c>
      <c r="M1260">
        <v>2026</v>
      </c>
      <c r="N1260">
        <v>3</v>
      </c>
      <c r="O1260">
        <v>11</v>
      </c>
      <c r="P1260">
        <v>2026</v>
      </c>
      <c r="Q1260">
        <v>0</v>
      </c>
      <c r="R1260" t="s">
        <v>40</v>
      </c>
      <c r="S1260" t="s">
        <v>55</v>
      </c>
      <c r="T1260" t="s">
        <v>42</v>
      </c>
      <c r="U1260" t="s">
        <v>40</v>
      </c>
      <c r="V1260" t="s">
        <v>43</v>
      </c>
      <c r="W1260" t="s">
        <v>44</v>
      </c>
      <c r="X1260" t="s">
        <v>45</v>
      </c>
      <c r="Y1260">
        <v>150</v>
      </c>
      <c r="Z1260" t="s">
        <v>46</v>
      </c>
      <c r="AA1260" t="s">
        <v>47</v>
      </c>
      <c r="AB1260" s="1">
        <v>46345</v>
      </c>
      <c r="AC1260" t="s">
        <v>40</v>
      </c>
      <c r="AD1260" t="s">
        <v>40</v>
      </c>
      <c r="AE1260" t="s">
        <v>86</v>
      </c>
      <c r="AF1260" t="s">
        <v>40</v>
      </c>
      <c r="AG1260">
        <v>0</v>
      </c>
      <c r="AH1260" t="s">
        <v>100</v>
      </c>
    </row>
    <row r="1261" spans="1:34" x14ac:dyDescent="0.3">
      <c r="A1261" t="s">
        <v>1930</v>
      </c>
      <c r="B1261" t="s">
        <v>399</v>
      </c>
      <c r="C1261" t="s">
        <v>97</v>
      </c>
      <c r="D1261" t="s">
        <v>104</v>
      </c>
      <c r="E1261" s="1">
        <v>46059</v>
      </c>
      <c r="F1261" s="1">
        <v>46089</v>
      </c>
      <c r="G1261" t="s">
        <v>41</v>
      </c>
      <c r="H1261">
        <v>6452</v>
      </c>
      <c r="I1261" t="s">
        <v>54</v>
      </c>
      <c r="J1261" t="b">
        <v>0</v>
      </c>
      <c r="K1261">
        <v>30</v>
      </c>
      <c r="L1261">
        <v>3</v>
      </c>
      <c r="M1261">
        <v>2026</v>
      </c>
      <c r="N1261">
        <v>6</v>
      </c>
      <c r="O1261">
        <v>2</v>
      </c>
      <c r="P1261">
        <v>2026</v>
      </c>
      <c r="Q1261">
        <v>4</v>
      </c>
      <c r="R1261" t="s">
        <v>66</v>
      </c>
      <c r="S1261" t="s">
        <v>67</v>
      </c>
      <c r="T1261" t="s">
        <v>42</v>
      </c>
      <c r="U1261" t="s">
        <v>40</v>
      </c>
      <c r="V1261" t="s">
        <v>98</v>
      </c>
      <c r="W1261" t="s">
        <v>99</v>
      </c>
      <c r="X1261" t="s">
        <v>76</v>
      </c>
      <c r="Y1261">
        <v>80</v>
      </c>
      <c r="Z1261" t="s">
        <v>107</v>
      </c>
      <c r="AA1261" t="s">
        <v>108</v>
      </c>
      <c r="AB1261" s="1">
        <v>46089</v>
      </c>
      <c r="AC1261" t="s">
        <v>66</v>
      </c>
      <c r="AD1261" t="s">
        <v>40</v>
      </c>
      <c r="AE1261" t="s">
        <v>60</v>
      </c>
      <c r="AF1261" t="s">
        <v>40</v>
      </c>
      <c r="AG1261">
        <v>1</v>
      </c>
      <c r="AH1261" t="s">
        <v>70</v>
      </c>
    </row>
    <row r="1262" spans="1:34" x14ac:dyDescent="0.3">
      <c r="A1262" t="s">
        <v>1931</v>
      </c>
      <c r="B1262" t="s">
        <v>700</v>
      </c>
      <c r="C1262" t="s">
        <v>155</v>
      </c>
      <c r="D1262" t="s">
        <v>104</v>
      </c>
      <c r="E1262" s="1">
        <v>45773</v>
      </c>
      <c r="F1262" s="1">
        <v>45787</v>
      </c>
      <c r="G1262" t="s">
        <v>64</v>
      </c>
      <c r="H1262">
        <v>4042</v>
      </c>
      <c r="I1262" t="s">
        <v>65</v>
      </c>
      <c r="J1262" t="b">
        <v>0</v>
      </c>
      <c r="K1262">
        <v>14</v>
      </c>
      <c r="L1262">
        <v>5</v>
      </c>
      <c r="M1262">
        <v>2025</v>
      </c>
      <c r="N1262">
        <v>5</v>
      </c>
      <c r="O1262">
        <v>4</v>
      </c>
      <c r="P1262">
        <v>2025</v>
      </c>
      <c r="Q1262">
        <v>5</v>
      </c>
      <c r="R1262" t="s">
        <v>66</v>
      </c>
      <c r="S1262" t="s">
        <v>41</v>
      </c>
      <c r="T1262" t="s">
        <v>42</v>
      </c>
      <c r="U1262" t="s">
        <v>40</v>
      </c>
      <c r="V1262" t="s">
        <v>156</v>
      </c>
      <c r="W1262" t="s">
        <v>157</v>
      </c>
      <c r="X1262" t="s">
        <v>158</v>
      </c>
      <c r="Y1262">
        <v>70</v>
      </c>
      <c r="Z1262" t="s">
        <v>107</v>
      </c>
      <c r="AA1262" t="s">
        <v>108</v>
      </c>
      <c r="AB1262" s="1">
        <v>45787</v>
      </c>
      <c r="AC1262" t="s">
        <v>66</v>
      </c>
      <c r="AD1262" t="s">
        <v>40</v>
      </c>
      <c r="AE1262" t="s">
        <v>69</v>
      </c>
      <c r="AF1262" t="s">
        <v>40</v>
      </c>
      <c r="AG1262">
        <v>0</v>
      </c>
      <c r="AH1262" t="s">
        <v>70</v>
      </c>
    </row>
    <row r="1263" spans="1:34" x14ac:dyDescent="0.3">
      <c r="A1263" t="s">
        <v>1932</v>
      </c>
      <c r="B1263" t="s">
        <v>1667</v>
      </c>
      <c r="C1263" t="s">
        <v>146</v>
      </c>
      <c r="D1263" t="s">
        <v>90</v>
      </c>
      <c r="E1263" s="1">
        <v>45999</v>
      </c>
      <c r="F1263" s="1">
        <v>46059</v>
      </c>
      <c r="G1263" t="s">
        <v>81</v>
      </c>
      <c r="H1263">
        <v>11259</v>
      </c>
      <c r="I1263" t="s">
        <v>39</v>
      </c>
      <c r="J1263" t="b">
        <v>0</v>
      </c>
      <c r="K1263">
        <v>60</v>
      </c>
      <c r="L1263">
        <v>2</v>
      </c>
      <c r="M1263">
        <v>2026</v>
      </c>
      <c r="N1263">
        <v>4</v>
      </c>
      <c r="O1263">
        <v>12</v>
      </c>
      <c r="P1263">
        <v>2025</v>
      </c>
      <c r="Q1263">
        <v>0</v>
      </c>
      <c r="R1263" t="s">
        <v>40</v>
      </c>
      <c r="S1263" t="s">
        <v>45</v>
      </c>
      <c r="T1263" t="s">
        <v>42</v>
      </c>
      <c r="U1263" t="s">
        <v>40</v>
      </c>
      <c r="V1263" t="s">
        <v>147</v>
      </c>
      <c r="W1263" t="s">
        <v>148</v>
      </c>
      <c r="X1263" t="s">
        <v>45</v>
      </c>
      <c r="Y1263">
        <v>160</v>
      </c>
      <c r="Z1263" t="s">
        <v>93</v>
      </c>
      <c r="AA1263" t="s">
        <v>94</v>
      </c>
      <c r="AB1263" s="1">
        <v>46059</v>
      </c>
      <c r="AC1263" t="s">
        <v>40</v>
      </c>
      <c r="AD1263" t="s">
        <v>40</v>
      </c>
      <c r="AE1263" t="s">
        <v>60</v>
      </c>
      <c r="AF1263" t="s">
        <v>40</v>
      </c>
      <c r="AG1263">
        <v>0</v>
      </c>
      <c r="AH1263" t="s">
        <v>61</v>
      </c>
    </row>
    <row r="1264" spans="1:34" x14ac:dyDescent="0.3">
      <c r="A1264" t="s">
        <v>1933</v>
      </c>
      <c r="B1264" t="s">
        <v>1435</v>
      </c>
      <c r="C1264" t="s">
        <v>169</v>
      </c>
      <c r="D1264" t="s">
        <v>37</v>
      </c>
      <c r="E1264" s="1">
        <v>45704</v>
      </c>
      <c r="F1264" s="1">
        <v>45804</v>
      </c>
      <c r="G1264" t="s">
        <v>41</v>
      </c>
      <c r="H1264">
        <v>6571</v>
      </c>
      <c r="I1264" t="s">
        <v>65</v>
      </c>
      <c r="J1264" t="b">
        <v>0</v>
      </c>
      <c r="K1264">
        <v>100</v>
      </c>
      <c r="L1264">
        <v>5</v>
      </c>
      <c r="M1264">
        <v>2025</v>
      </c>
      <c r="N1264">
        <v>1</v>
      </c>
      <c r="O1264">
        <v>2</v>
      </c>
      <c r="P1264">
        <v>2025</v>
      </c>
      <c r="Q1264">
        <v>6</v>
      </c>
      <c r="R1264" t="s">
        <v>40</v>
      </c>
      <c r="S1264" t="s">
        <v>41</v>
      </c>
      <c r="T1264" t="s">
        <v>42</v>
      </c>
      <c r="U1264" t="s">
        <v>40</v>
      </c>
      <c r="V1264" t="s">
        <v>170</v>
      </c>
      <c r="W1264" t="s">
        <v>171</v>
      </c>
      <c r="X1264" t="s">
        <v>126</v>
      </c>
      <c r="Y1264">
        <v>90</v>
      </c>
      <c r="Z1264" t="s">
        <v>46</v>
      </c>
      <c r="AA1264" t="s">
        <v>47</v>
      </c>
      <c r="AB1264" s="1">
        <v>45804</v>
      </c>
      <c r="AC1264" t="s">
        <v>40</v>
      </c>
      <c r="AD1264" t="s">
        <v>40</v>
      </c>
      <c r="AE1264" t="s">
        <v>69</v>
      </c>
      <c r="AF1264" t="s">
        <v>40</v>
      </c>
      <c r="AG1264">
        <v>0</v>
      </c>
      <c r="AH1264" t="s">
        <v>49</v>
      </c>
    </row>
    <row r="1265" spans="1:34" x14ac:dyDescent="0.3">
      <c r="A1265" t="s">
        <v>1934</v>
      </c>
      <c r="B1265" t="s">
        <v>228</v>
      </c>
      <c r="C1265" t="s">
        <v>52</v>
      </c>
      <c r="D1265" t="s">
        <v>53</v>
      </c>
      <c r="E1265" s="1">
        <v>46121</v>
      </c>
      <c r="F1265" s="1">
        <v>46151</v>
      </c>
      <c r="G1265" t="s">
        <v>38</v>
      </c>
      <c r="H1265">
        <v>3547</v>
      </c>
      <c r="I1265" t="s">
        <v>39</v>
      </c>
      <c r="J1265" t="b">
        <v>0</v>
      </c>
      <c r="K1265">
        <v>30</v>
      </c>
      <c r="L1265">
        <v>5</v>
      </c>
      <c r="M1265">
        <v>2026</v>
      </c>
      <c r="N1265">
        <v>5</v>
      </c>
      <c r="O1265">
        <v>4</v>
      </c>
      <c r="P1265">
        <v>2026</v>
      </c>
      <c r="Q1265">
        <v>3</v>
      </c>
      <c r="R1265" t="s">
        <v>66</v>
      </c>
      <c r="S1265" t="s">
        <v>41</v>
      </c>
      <c r="T1265" t="s">
        <v>42</v>
      </c>
      <c r="U1265" t="s">
        <v>40</v>
      </c>
      <c r="V1265" t="s">
        <v>56</v>
      </c>
      <c r="W1265" t="s">
        <v>57</v>
      </c>
      <c r="X1265" t="s">
        <v>45</v>
      </c>
      <c r="Y1265">
        <v>120</v>
      </c>
      <c r="Z1265" t="s">
        <v>58</v>
      </c>
      <c r="AA1265" t="s">
        <v>59</v>
      </c>
      <c r="AB1265" s="1">
        <v>46151</v>
      </c>
      <c r="AC1265" t="s">
        <v>66</v>
      </c>
      <c r="AD1265" t="s">
        <v>40</v>
      </c>
      <c r="AE1265" t="s">
        <v>69</v>
      </c>
      <c r="AF1265" t="s">
        <v>40</v>
      </c>
      <c r="AG1265">
        <v>0</v>
      </c>
      <c r="AH1265" t="s">
        <v>70</v>
      </c>
    </row>
    <row r="1266" spans="1:34" x14ac:dyDescent="0.3">
      <c r="A1266" t="s">
        <v>1935</v>
      </c>
      <c r="B1266" t="s">
        <v>1936</v>
      </c>
      <c r="C1266" t="s">
        <v>155</v>
      </c>
      <c r="D1266" t="s">
        <v>90</v>
      </c>
      <c r="E1266" s="1">
        <v>46303</v>
      </c>
      <c r="F1266" s="1">
        <v>46317</v>
      </c>
      <c r="G1266" t="s">
        <v>38</v>
      </c>
      <c r="H1266">
        <v>5850</v>
      </c>
      <c r="I1266" t="s">
        <v>39</v>
      </c>
      <c r="J1266" t="b">
        <v>0</v>
      </c>
      <c r="K1266">
        <v>14</v>
      </c>
      <c r="L1266">
        <v>10</v>
      </c>
      <c r="M1266">
        <v>2026</v>
      </c>
      <c r="N1266">
        <v>3</v>
      </c>
      <c r="O1266">
        <v>10</v>
      </c>
      <c r="P1266">
        <v>2026</v>
      </c>
      <c r="Q1266">
        <v>3</v>
      </c>
      <c r="R1266" t="s">
        <v>40</v>
      </c>
      <c r="S1266" t="s">
        <v>41</v>
      </c>
      <c r="T1266" t="s">
        <v>42</v>
      </c>
      <c r="U1266" t="s">
        <v>66</v>
      </c>
      <c r="V1266" t="s">
        <v>156</v>
      </c>
      <c r="W1266" t="s">
        <v>157</v>
      </c>
      <c r="X1266" t="s">
        <v>158</v>
      </c>
      <c r="Y1266">
        <v>70</v>
      </c>
      <c r="Z1266" t="s">
        <v>93</v>
      </c>
      <c r="AA1266" t="s">
        <v>94</v>
      </c>
      <c r="AB1266" s="1">
        <v>46317</v>
      </c>
      <c r="AC1266" t="s">
        <v>40</v>
      </c>
      <c r="AD1266" t="s">
        <v>40</v>
      </c>
      <c r="AE1266" t="s">
        <v>60</v>
      </c>
      <c r="AF1266" t="s">
        <v>40</v>
      </c>
      <c r="AG1266">
        <v>0</v>
      </c>
      <c r="AH1266" t="s">
        <v>70</v>
      </c>
    </row>
    <row r="1267" spans="1:34" x14ac:dyDescent="0.3">
      <c r="A1267" t="s">
        <v>1937</v>
      </c>
      <c r="B1267" t="s">
        <v>154</v>
      </c>
      <c r="C1267" t="s">
        <v>52</v>
      </c>
      <c r="D1267" t="s">
        <v>104</v>
      </c>
      <c r="E1267" s="1">
        <v>45798</v>
      </c>
      <c r="F1267" s="1">
        <v>46018</v>
      </c>
      <c r="G1267" t="s">
        <v>41</v>
      </c>
      <c r="H1267">
        <v>7465</v>
      </c>
      <c r="I1267" t="s">
        <v>39</v>
      </c>
      <c r="J1267" t="b">
        <v>0</v>
      </c>
      <c r="K1267">
        <v>220</v>
      </c>
      <c r="L1267">
        <v>12</v>
      </c>
      <c r="M1267">
        <v>2025</v>
      </c>
      <c r="N1267">
        <v>5</v>
      </c>
      <c r="O1267">
        <v>5</v>
      </c>
      <c r="P1267">
        <v>2025</v>
      </c>
      <c r="Q1267">
        <v>2</v>
      </c>
      <c r="R1267" t="s">
        <v>66</v>
      </c>
      <c r="S1267" t="s">
        <v>55</v>
      </c>
      <c r="T1267" t="s">
        <v>42</v>
      </c>
      <c r="U1267" t="s">
        <v>40</v>
      </c>
      <c r="V1267" t="s">
        <v>56</v>
      </c>
      <c r="W1267" t="s">
        <v>57</v>
      </c>
      <c r="X1267" t="s">
        <v>45</v>
      </c>
      <c r="Y1267">
        <v>120</v>
      </c>
      <c r="Z1267" t="s">
        <v>107</v>
      </c>
      <c r="AA1267" t="s">
        <v>108</v>
      </c>
      <c r="AB1267" s="1">
        <v>46018</v>
      </c>
      <c r="AC1267" t="s">
        <v>66</v>
      </c>
      <c r="AD1267" t="s">
        <v>40</v>
      </c>
      <c r="AE1267" t="s">
        <v>69</v>
      </c>
      <c r="AF1267" t="s">
        <v>40</v>
      </c>
      <c r="AG1267">
        <v>0</v>
      </c>
      <c r="AH1267" t="s">
        <v>142</v>
      </c>
    </row>
    <row r="1268" spans="1:34" x14ac:dyDescent="0.3">
      <c r="A1268" t="s">
        <v>1938</v>
      </c>
      <c r="B1268" t="s">
        <v>197</v>
      </c>
      <c r="C1268" t="s">
        <v>36</v>
      </c>
      <c r="D1268" t="s">
        <v>53</v>
      </c>
      <c r="E1268" s="1">
        <v>45733</v>
      </c>
      <c r="F1268" s="1">
        <v>45740</v>
      </c>
      <c r="G1268" t="s">
        <v>64</v>
      </c>
      <c r="H1268">
        <v>4035</v>
      </c>
      <c r="I1268" t="s">
        <v>65</v>
      </c>
      <c r="J1268" t="b">
        <v>0</v>
      </c>
      <c r="K1268">
        <v>7</v>
      </c>
      <c r="L1268">
        <v>3</v>
      </c>
      <c r="M1268">
        <v>2025</v>
      </c>
      <c r="N1268">
        <v>0</v>
      </c>
      <c r="O1268">
        <v>3</v>
      </c>
      <c r="P1268">
        <v>2025</v>
      </c>
      <c r="Q1268">
        <v>0</v>
      </c>
      <c r="R1268" t="s">
        <v>40</v>
      </c>
      <c r="S1268" t="s">
        <v>55</v>
      </c>
      <c r="T1268" t="s">
        <v>139</v>
      </c>
      <c r="U1268" t="s">
        <v>40</v>
      </c>
      <c r="V1268" t="s">
        <v>43</v>
      </c>
      <c r="W1268" t="s">
        <v>44</v>
      </c>
      <c r="X1268" t="s">
        <v>45</v>
      </c>
      <c r="Y1268">
        <v>150</v>
      </c>
      <c r="Z1268" t="s">
        <v>58</v>
      </c>
      <c r="AA1268" t="s">
        <v>59</v>
      </c>
      <c r="AB1268" s="1">
        <v>45740</v>
      </c>
      <c r="AC1268" t="s">
        <v>40</v>
      </c>
      <c r="AD1268" t="s">
        <v>40</v>
      </c>
      <c r="AE1268" t="s">
        <v>60</v>
      </c>
      <c r="AF1268" t="s">
        <v>40</v>
      </c>
      <c r="AG1268">
        <v>0</v>
      </c>
      <c r="AH1268" t="s">
        <v>100</v>
      </c>
    </row>
    <row r="1269" spans="1:34" x14ac:dyDescent="0.3">
      <c r="A1269" t="s">
        <v>1939</v>
      </c>
      <c r="B1269" t="s">
        <v>725</v>
      </c>
      <c r="C1269" t="s">
        <v>89</v>
      </c>
      <c r="D1269" t="s">
        <v>104</v>
      </c>
      <c r="E1269" s="1">
        <v>45768</v>
      </c>
      <c r="F1269" s="1">
        <v>45775</v>
      </c>
      <c r="G1269" t="s">
        <v>41</v>
      </c>
      <c r="H1269">
        <v>5764</v>
      </c>
      <c r="I1269" t="s">
        <v>54</v>
      </c>
      <c r="J1269" t="b">
        <v>0</v>
      </c>
      <c r="K1269">
        <v>7</v>
      </c>
      <c r="L1269">
        <v>4</v>
      </c>
      <c r="M1269">
        <v>2025</v>
      </c>
      <c r="N1269">
        <v>0</v>
      </c>
      <c r="O1269">
        <v>4</v>
      </c>
      <c r="P1269">
        <v>2025</v>
      </c>
      <c r="Q1269">
        <v>0</v>
      </c>
      <c r="R1269" t="s">
        <v>40</v>
      </c>
      <c r="S1269" t="s">
        <v>55</v>
      </c>
      <c r="T1269" t="s">
        <v>42</v>
      </c>
      <c r="U1269" t="s">
        <v>40</v>
      </c>
      <c r="V1269" t="s">
        <v>91</v>
      </c>
      <c r="W1269" t="s">
        <v>92</v>
      </c>
      <c r="X1269" t="s">
        <v>76</v>
      </c>
      <c r="Y1269">
        <v>65</v>
      </c>
      <c r="Z1269" t="s">
        <v>107</v>
      </c>
      <c r="AA1269" t="s">
        <v>108</v>
      </c>
      <c r="AB1269" s="1">
        <v>45775</v>
      </c>
      <c r="AC1269" t="s">
        <v>40</v>
      </c>
      <c r="AD1269" t="s">
        <v>40</v>
      </c>
      <c r="AE1269" t="s">
        <v>69</v>
      </c>
      <c r="AF1269" t="s">
        <v>40</v>
      </c>
      <c r="AG1269">
        <v>1</v>
      </c>
      <c r="AH1269" t="s">
        <v>100</v>
      </c>
    </row>
    <row r="1270" spans="1:34" x14ac:dyDescent="0.3">
      <c r="A1270" t="s">
        <v>1940</v>
      </c>
      <c r="B1270" t="s">
        <v>498</v>
      </c>
      <c r="C1270" t="s">
        <v>79</v>
      </c>
      <c r="D1270" t="s">
        <v>80</v>
      </c>
      <c r="E1270" s="1">
        <v>46181</v>
      </c>
      <c r="F1270" s="1">
        <v>46184</v>
      </c>
      <c r="G1270" t="s">
        <v>81</v>
      </c>
      <c r="H1270">
        <v>9451</v>
      </c>
      <c r="I1270" t="s">
        <v>39</v>
      </c>
      <c r="J1270" t="b">
        <v>0</v>
      </c>
      <c r="K1270">
        <v>3</v>
      </c>
      <c r="L1270">
        <v>6</v>
      </c>
      <c r="M1270">
        <v>2026</v>
      </c>
      <c r="N1270">
        <v>3</v>
      </c>
      <c r="O1270">
        <v>6</v>
      </c>
      <c r="P1270">
        <v>2026</v>
      </c>
      <c r="Q1270">
        <v>0</v>
      </c>
      <c r="R1270" t="s">
        <v>40</v>
      </c>
      <c r="S1270" t="s">
        <v>41</v>
      </c>
      <c r="T1270" t="s">
        <v>42</v>
      </c>
      <c r="U1270" t="s">
        <v>40</v>
      </c>
      <c r="V1270" t="s">
        <v>82</v>
      </c>
      <c r="W1270" t="s">
        <v>83</v>
      </c>
      <c r="X1270" t="s">
        <v>76</v>
      </c>
      <c r="Y1270">
        <v>100</v>
      </c>
      <c r="Z1270" t="s">
        <v>84</v>
      </c>
      <c r="AA1270" t="s">
        <v>85</v>
      </c>
      <c r="AB1270" s="1">
        <v>46184</v>
      </c>
      <c r="AC1270" t="s">
        <v>40</v>
      </c>
      <c r="AD1270" t="s">
        <v>40</v>
      </c>
      <c r="AE1270" t="s">
        <v>60</v>
      </c>
      <c r="AF1270" t="s">
        <v>40</v>
      </c>
      <c r="AG1270">
        <v>0</v>
      </c>
      <c r="AH1270" t="s">
        <v>100</v>
      </c>
    </row>
    <row r="1271" spans="1:34" x14ac:dyDescent="0.3">
      <c r="A1271" t="s">
        <v>1941</v>
      </c>
      <c r="B1271" t="s">
        <v>507</v>
      </c>
      <c r="C1271" t="s">
        <v>36</v>
      </c>
      <c r="D1271" t="s">
        <v>80</v>
      </c>
      <c r="E1271" s="1">
        <v>45757</v>
      </c>
      <c r="F1271" s="1">
        <v>45771</v>
      </c>
      <c r="G1271" t="s">
        <v>64</v>
      </c>
      <c r="H1271">
        <v>3627</v>
      </c>
      <c r="I1271" t="s">
        <v>65</v>
      </c>
      <c r="J1271" t="b">
        <v>0</v>
      </c>
      <c r="K1271">
        <v>14</v>
      </c>
      <c r="L1271">
        <v>4</v>
      </c>
      <c r="M1271">
        <v>2025</v>
      </c>
      <c r="N1271">
        <v>3</v>
      </c>
      <c r="O1271">
        <v>4</v>
      </c>
      <c r="P1271">
        <v>2025</v>
      </c>
      <c r="Q1271">
        <v>3</v>
      </c>
      <c r="R1271" t="s">
        <v>40</v>
      </c>
      <c r="S1271" t="s">
        <v>45</v>
      </c>
      <c r="T1271" t="s">
        <v>42</v>
      </c>
      <c r="U1271" t="s">
        <v>40</v>
      </c>
      <c r="V1271" t="s">
        <v>43</v>
      </c>
      <c r="W1271" t="s">
        <v>44</v>
      </c>
      <c r="X1271" t="s">
        <v>45</v>
      </c>
      <c r="Y1271">
        <v>150</v>
      </c>
      <c r="Z1271" t="s">
        <v>84</v>
      </c>
      <c r="AA1271" t="s">
        <v>85</v>
      </c>
      <c r="AB1271" s="1">
        <v>45771</v>
      </c>
      <c r="AC1271" t="s">
        <v>40</v>
      </c>
      <c r="AD1271" t="s">
        <v>40</v>
      </c>
      <c r="AE1271" t="s">
        <v>69</v>
      </c>
      <c r="AF1271" t="s">
        <v>40</v>
      </c>
      <c r="AG1271">
        <v>0</v>
      </c>
      <c r="AH1271" t="s">
        <v>70</v>
      </c>
    </row>
    <row r="1272" spans="1:34" x14ac:dyDescent="0.3">
      <c r="A1272" t="s">
        <v>1942</v>
      </c>
      <c r="B1272" t="s">
        <v>780</v>
      </c>
      <c r="C1272" t="s">
        <v>89</v>
      </c>
      <c r="D1272" t="s">
        <v>104</v>
      </c>
      <c r="E1272" s="1">
        <v>45724</v>
      </c>
      <c r="F1272" s="1">
        <v>45784</v>
      </c>
      <c r="G1272" t="s">
        <v>38</v>
      </c>
      <c r="H1272">
        <v>5704</v>
      </c>
      <c r="I1272" t="s">
        <v>54</v>
      </c>
      <c r="J1272" t="b">
        <v>0</v>
      </c>
      <c r="K1272">
        <v>60</v>
      </c>
      <c r="L1272">
        <v>5</v>
      </c>
      <c r="M1272">
        <v>2025</v>
      </c>
      <c r="N1272">
        <v>2</v>
      </c>
      <c r="O1272">
        <v>3</v>
      </c>
      <c r="P1272">
        <v>2025</v>
      </c>
      <c r="Q1272">
        <v>5</v>
      </c>
      <c r="R1272" t="s">
        <v>40</v>
      </c>
      <c r="S1272" t="s">
        <v>41</v>
      </c>
      <c r="T1272" t="s">
        <v>42</v>
      </c>
      <c r="U1272" t="s">
        <v>40</v>
      </c>
      <c r="V1272" t="s">
        <v>91</v>
      </c>
      <c r="W1272" t="s">
        <v>92</v>
      </c>
      <c r="X1272" t="s">
        <v>76</v>
      </c>
      <c r="Y1272">
        <v>65</v>
      </c>
      <c r="Z1272" t="s">
        <v>107</v>
      </c>
      <c r="AA1272" t="s">
        <v>108</v>
      </c>
      <c r="AB1272" s="1">
        <v>45784</v>
      </c>
      <c r="AC1272" t="s">
        <v>40</v>
      </c>
      <c r="AD1272" t="s">
        <v>40</v>
      </c>
      <c r="AE1272" t="s">
        <v>69</v>
      </c>
      <c r="AF1272" t="s">
        <v>40</v>
      </c>
      <c r="AG1272">
        <v>1</v>
      </c>
      <c r="AH1272" t="s">
        <v>61</v>
      </c>
    </row>
    <row r="1273" spans="1:34" x14ac:dyDescent="0.3">
      <c r="A1273" t="s">
        <v>1943</v>
      </c>
      <c r="B1273" t="s">
        <v>1944</v>
      </c>
      <c r="C1273" t="s">
        <v>89</v>
      </c>
      <c r="D1273" t="s">
        <v>130</v>
      </c>
      <c r="E1273" s="1">
        <v>46068</v>
      </c>
      <c r="F1273" s="1">
        <v>46082</v>
      </c>
      <c r="G1273" t="s">
        <v>38</v>
      </c>
      <c r="H1273">
        <v>3826</v>
      </c>
      <c r="I1273" t="s">
        <v>39</v>
      </c>
      <c r="J1273" t="b">
        <v>0</v>
      </c>
      <c r="K1273">
        <v>14</v>
      </c>
      <c r="L1273">
        <v>3</v>
      </c>
      <c r="M1273">
        <v>2026</v>
      </c>
      <c r="N1273">
        <v>6</v>
      </c>
      <c r="O1273">
        <v>2</v>
      </c>
      <c r="P1273">
        <v>2026</v>
      </c>
      <c r="Q1273">
        <v>6</v>
      </c>
      <c r="R1273" t="s">
        <v>66</v>
      </c>
      <c r="S1273" t="s">
        <v>55</v>
      </c>
      <c r="T1273" t="s">
        <v>42</v>
      </c>
      <c r="U1273" t="s">
        <v>40</v>
      </c>
      <c r="V1273" t="s">
        <v>91</v>
      </c>
      <c r="W1273" t="s">
        <v>92</v>
      </c>
      <c r="X1273" t="s">
        <v>76</v>
      </c>
      <c r="Y1273">
        <v>65</v>
      </c>
      <c r="Z1273" t="s">
        <v>133</v>
      </c>
      <c r="AA1273" t="s">
        <v>134</v>
      </c>
      <c r="AB1273" s="1">
        <v>46082</v>
      </c>
      <c r="AC1273" t="s">
        <v>66</v>
      </c>
      <c r="AD1273" t="s">
        <v>40</v>
      </c>
      <c r="AE1273" t="s">
        <v>60</v>
      </c>
      <c r="AF1273" t="s">
        <v>40</v>
      </c>
      <c r="AG1273">
        <v>0</v>
      </c>
      <c r="AH1273" t="s">
        <v>70</v>
      </c>
    </row>
    <row r="1274" spans="1:34" x14ac:dyDescent="0.3">
      <c r="A1274" t="s">
        <v>1945</v>
      </c>
      <c r="B1274" t="s">
        <v>1790</v>
      </c>
      <c r="C1274" t="s">
        <v>79</v>
      </c>
      <c r="D1274" t="s">
        <v>80</v>
      </c>
      <c r="E1274" s="1">
        <v>45847</v>
      </c>
      <c r="F1274" s="1">
        <v>45997</v>
      </c>
      <c r="G1274" t="s">
        <v>41</v>
      </c>
      <c r="H1274">
        <v>7716</v>
      </c>
      <c r="I1274" t="s">
        <v>39</v>
      </c>
      <c r="J1274" t="b">
        <v>0</v>
      </c>
      <c r="K1274">
        <v>150</v>
      </c>
      <c r="L1274">
        <v>12</v>
      </c>
      <c r="M1274">
        <v>2025</v>
      </c>
      <c r="N1274">
        <v>5</v>
      </c>
      <c r="O1274">
        <v>7</v>
      </c>
      <c r="P1274">
        <v>2025</v>
      </c>
      <c r="Q1274">
        <v>2</v>
      </c>
      <c r="R1274" t="s">
        <v>66</v>
      </c>
      <c r="S1274" t="s">
        <v>67</v>
      </c>
      <c r="T1274" t="s">
        <v>123</v>
      </c>
      <c r="U1274" t="s">
        <v>40</v>
      </c>
      <c r="V1274" t="s">
        <v>82</v>
      </c>
      <c r="W1274" t="s">
        <v>83</v>
      </c>
      <c r="X1274" t="s">
        <v>76</v>
      </c>
      <c r="Y1274">
        <v>100</v>
      </c>
      <c r="Z1274" t="s">
        <v>84</v>
      </c>
      <c r="AA1274" t="s">
        <v>85</v>
      </c>
      <c r="AB1274" s="1">
        <v>45997</v>
      </c>
      <c r="AC1274" t="s">
        <v>66</v>
      </c>
      <c r="AD1274" t="s">
        <v>40</v>
      </c>
      <c r="AE1274" t="s">
        <v>69</v>
      </c>
      <c r="AF1274" t="s">
        <v>40</v>
      </c>
      <c r="AG1274">
        <v>0</v>
      </c>
      <c r="AH1274" t="s">
        <v>49</v>
      </c>
    </row>
    <row r="1275" spans="1:34" x14ac:dyDescent="0.3">
      <c r="A1275" t="s">
        <v>1946</v>
      </c>
      <c r="B1275" t="s">
        <v>1111</v>
      </c>
      <c r="C1275" t="s">
        <v>103</v>
      </c>
      <c r="D1275" t="s">
        <v>37</v>
      </c>
      <c r="E1275" s="1">
        <v>46291</v>
      </c>
      <c r="F1275" s="1">
        <v>46321</v>
      </c>
      <c r="G1275" t="s">
        <v>81</v>
      </c>
      <c r="H1275">
        <v>9058</v>
      </c>
      <c r="I1275" t="s">
        <v>54</v>
      </c>
      <c r="J1275" t="b">
        <v>0</v>
      </c>
      <c r="K1275">
        <v>30</v>
      </c>
      <c r="L1275">
        <v>10</v>
      </c>
      <c r="M1275">
        <v>2026</v>
      </c>
      <c r="N1275">
        <v>0</v>
      </c>
      <c r="O1275">
        <v>9</v>
      </c>
      <c r="P1275">
        <v>2026</v>
      </c>
      <c r="Q1275">
        <v>5</v>
      </c>
      <c r="R1275" t="s">
        <v>40</v>
      </c>
      <c r="S1275" t="s">
        <v>55</v>
      </c>
      <c r="T1275" t="s">
        <v>113</v>
      </c>
      <c r="U1275" t="s">
        <v>40</v>
      </c>
      <c r="V1275" t="s">
        <v>105</v>
      </c>
      <c r="W1275" t="s">
        <v>106</v>
      </c>
      <c r="X1275" t="s">
        <v>45</v>
      </c>
      <c r="Y1275">
        <v>140</v>
      </c>
      <c r="Z1275" t="s">
        <v>46</v>
      </c>
      <c r="AA1275" t="s">
        <v>47</v>
      </c>
      <c r="AB1275" s="1">
        <v>46321</v>
      </c>
      <c r="AC1275" t="s">
        <v>40</v>
      </c>
      <c r="AD1275" t="s">
        <v>40</v>
      </c>
      <c r="AE1275" t="s">
        <v>60</v>
      </c>
      <c r="AF1275" t="s">
        <v>40</v>
      </c>
      <c r="AG1275">
        <v>1</v>
      </c>
      <c r="AH1275" t="s">
        <v>70</v>
      </c>
    </row>
    <row r="1276" spans="1:34" x14ac:dyDescent="0.3">
      <c r="A1276" t="s">
        <v>1947</v>
      </c>
      <c r="B1276" t="s">
        <v>1498</v>
      </c>
      <c r="C1276" t="s">
        <v>155</v>
      </c>
      <c r="D1276" t="s">
        <v>53</v>
      </c>
      <c r="E1276" s="1">
        <v>45979</v>
      </c>
      <c r="F1276" s="1">
        <v>46039</v>
      </c>
      <c r="G1276" t="s">
        <v>64</v>
      </c>
      <c r="H1276">
        <v>2454</v>
      </c>
      <c r="I1276" t="s">
        <v>65</v>
      </c>
      <c r="J1276" t="b">
        <v>0</v>
      </c>
      <c r="K1276">
        <v>60</v>
      </c>
      <c r="L1276">
        <v>1</v>
      </c>
      <c r="M1276">
        <v>2026</v>
      </c>
      <c r="N1276">
        <v>5</v>
      </c>
      <c r="O1276">
        <v>11</v>
      </c>
      <c r="P1276">
        <v>2025</v>
      </c>
      <c r="Q1276">
        <v>1</v>
      </c>
      <c r="R1276" t="s">
        <v>66</v>
      </c>
      <c r="S1276" t="s">
        <v>41</v>
      </c>
      <c r="T1276" t="s">
        <v>42</v>
      </c>
      <c r="U1276" t="s">
        <v>66</v>
      </c>
      <c r="V1276" t="s">
        <v>156</v>
      </c>
      <c r="W1276" t="s">
        <v>157</v>
      </c>
      <c r="X1276" t="s">
        <v>158</v>
      </c>
      <c r="Y1276">
        <v>70</v>
      </c>
      <c r="Z1276" t="s">
        <v>58</v>
      </c>
      <c r="AA1276" t="s">
        <v>59</v>
      </c>
      <c r="AB1276" s="1">
        <v>46039</v>
      </c>
      <c r="AC1276" t="s">
        <v>66</v>
      </c>
      <c r="AD1276" t="s">
        <v>40</v>
      </c>
      <c r="AE1276" t="s">
        <v>86</v>
      </c>
      <c r="AF1276" t="s">
        <v>40</v>
      </c>
      <c r="AG1276">
        <v>0</v>
      </c>
      <c r="AH1276" t="s">
        <v>61</v>
      </c>
    </row>
    <row r="1277" spans="1:34" x14ac:dyDescent="0.3">
      <c r="A1277" t="s">
        <v>1948</v>
      </c>
      <c r="B1277" t="s">
        <v>162</v>
      </c>
      <c r="C1277" t="s">
        <v>73</v>
      </c>
      <c r="D1277" t="s">
        <v>37</v>
      </c>
      <c r="E1277" s="1">
        <v>46048</v>
      </c>
      <c r="F1277" s="1">
        <v>46148</v>
      </c>
      <c r="G1277" t="s">
        <v>64</v>
      </c>
      <c r="H1277">
        <v>2432</v>
      </c>
      <c r="I1277" t="s">
        <v>39</v>
      </c>
      <c r="J1277" t="b">
        <v>0</v>
      </c>
      <c r="K1277">
        <v>100</v>
      </c>
      <c r="L1277">
        <v>5</v>
      </c>
      <c r="M1277">
        <v>2026</v>
      </c>
      <c r="N1277">
        <v>2</v>
      </c>
      <c r="O1277">
        <v>1</v>
      </c>
      <c r="P1277">
        <v>2026</v>
      </c>
      <c r="Q1277">
        <v>0</v>
      </c>
      <c r="R1277" t="s">
        <v>40</v>
      </c>
      <c r="S1277" t="s">
        <v>67</v>
      </c>
      <c r="T1277" t="s">
        <v>42</v>
      </c>
      <c r="U1277" t="s">
        <v>40</v>
      </c>
      <c r="V1277" t="s">
        <v>74</v>
      </c>
      <c r="W1277" t="s">
        <v>75</v>
      </c>
      <c r="X1277" t="s">
        <v>76</v>
      </c>
      <c r="Y1277">
        <v>75</v>
      </c>
      <c r="Z1277" t="s">
        <v>46</v>
      </c>
      <c r="AA1277" t="s">
        <v>47</v>
      </c>
      <c r="AB1277" s="1">
        <v>46148</v>
      </c>
      <c r="AC1277" t="s">
        <v>40</v>
      </c>
      <c r="AD1277" t="s">
        <v>40</v>
      </c>
      <c r="AE1277" t="s">
        <v>69</v>
      </c>
      <c r="AF1277" t="s">
        <v>40</v>
      </c>
      <c r="AG1277">
        <v>0</v>
      </c>
      <c r="AH1277" t="s">
        <v>49</v>
      </c>
    </row>
    <row r="1278" spans="1:34" x14ac:dyDescent="0.3">
      <c r="A1278" t="s">
        <v>1949</v>
      </c>
      <c r="B1278" t="s">
        <v>630</v>
      </c>
      <c r="C1278" t="s">
        <v>146</v>
      </c>
      <c r="D1278" t="s">
        <v>80</v>
      </c>
      <c r="E1278" s="1">
        <v>46062</v>
      </c>
      <c r="F1278" s="1">
        <v>46069</v>
      </c>
      <c r="G1278" t="s">
        <v>81</v>
      </c>
      <c r="H1278">
        <v>7319</v>
      </c>
      <c r="I1278" t="s">
        <v>39</v>
      </c>
      <c r="J1278" t="b">
        <v>0</v>
      </c>
      <c r="K1278">
        <v>7</v>
      </c>
      <c r="L1278">
        <v>2</v>
      </c>
      <c r="M1278">
        <v>2026</v>
      </c>
      <c r="N1278">
        <v>0</v>
      </c>
      <c r="O1278">
        <v>2</v>
      </c>
      <c r="P1278">
        <v>2026</v>
      </c>
      <c r="Q1278">
        <v>0</v>
      </c>
      <c r="R1278" t="s">
        <v>40</v>
      </c>
      <c r="S1278" t="s">
        <v>45</v>
      </c>
      <c r="T1278" t="s">
        <v>42</v>
      </c>
      <c r="U1278" t="s">
        <v>40</v>
      </c>
      <c r="V1278" t="s">
        <v>147</v>
      </c>
      <c r="W1278" t="s">
        <v>148</v>
      </c>
      <c r="X1278" t="s">
        <v>45</v>
      </c>
      <c r="Y1278">
        <v>160</v>
      </c>
      <c r="Z1278" t="s">
        <v>84</v>
      </c>
      <c r="AA1278" t="s">
        <v>85</v>
      </c>
      <c r="AB1278" s="1">
        <v>46069</v>
      </c>
      <c r="AC1278" t="s">
        <v>40</v>
      </c>
      <c r="AD1278" t="s">
        <v>40</v>
      </c>
      <c r="AE1278" t="s">
        <v>60</v>
      </c>
      <c r="AF1278" t="s">
        <v>40</v>
      </c>
      <c r="AG1278">
        <v>0</v>
      </c>
      <c r="AH1278" t="s">
        <v>100</v>
      </c>
    </row>
    <row r="1279" spans="1:34" x14ac:dyDescent="0.3">
      <c r="A1279" t="s">
        <v>1950</v>
      </c>
      <c r="B1279" t="s">
        <v>605</v>
      </c>
      <c r="C1279" t="s">
        <v>122</v>
      </c>
      <c r="D1279" t="s">
        <v>130</v>
      </c>
      <c r="E1279" s="1">
        <v>45708</v>
      </c>
      <c r="F1279" s="1">
        <v>45709</v>
      </c>
      <c r="G1279" t="s">
        <v>81</v>
      </c>
      <c r="H1279">
        <v>11254</v>
      </c>
      <c r="I1279" t="s">
        <v>39</v>
      </c>
      <c r="J1279" t="b">
        <v>0</v>
      </c>
      <c r="K1279">
        <v>1</v>
      </c>
      <c r="L1279">
        <v>2</v>
      </c>
      <c r="M1279">
        <v>2025</v>
      </c>
      <c r="N1279">
        <v>4</v>
      </c>
      <c r="O1279">
        <v>2</v>
      </c>
      <c r="P1279">
        <v>2025</v>
      </c>
      <c r="Q1279">
        <v>3</v>
      </c>
      <c r="R1279" t="s">
        <v>40</v>
      </c>
      <c r="S1279" t="s">
        <v>41</v>
      </c>
      <c r="T1279" t="s">
        <v>42</v>
      </c>
      <c r="U1279" t="s">
        <v>40</v>
      </c>
      <c r="V1279" t="s">
        <v>124</v>
      </c>
      <c r="W1279" t="s">
        <v>125</v>
      </c>
      <c r="X1279" t="s">
        <v>126</v>
      </c>
      <c r="Y1279">
        <v>85</v>
      </c>
      <c r="Z1279" t="s">
        <v>133</v>
      </c>
      <c r="AA1279" t="s">
        <v>134</v>
      </c>
      <c r="AB1279" s="1">
        <v>45709</v>
      </c>
      <c r="AC1279" t="s">
        <v>40</v>
      </c>
      <c r="AD1279" t="s">
        <v>40</v>
      </c>
      <c r="AE1279" t="s">
        <v>60</v>
      </c>
      <c r="AF1279" t="s">
        <v>40</v>
      </c>
      <c r="AG1279">
        <v>0</v>
      </c>
      <c r="AH1279" t="s">
        <v>100</v>
      </c>
    </row>
    <row r="1280" spans="1:34" x14ac:dyDescent="0.3">
      <c r="A1280" t="s">
        <v>1951</v>
      </c>
      <c r="B1280" t="s">
        <v>35</v>
      </c>
      <c r="C1280" t="s">
        <v>129</v>
      </c>
      <c r="D1280" t="s">
        <v>53</v>
      </c>
      <c r="E1280" s="1">
        <v>46228</v>
      </c>
      <c r="F1280" s="1">
        <v>46258</v>
      </c>
      <c r="G1280" t="s">
        <v>41</v>
      </c>
      <c r="H1280">
        <v>8232</v>
      </c>
      <c r="I1280" t="s">
        <v>54</v>
      </c>
      <c r="J1280" t="b">
        <v>0</v>
      </c>
      <c r="K1280">
        <v>30</v>
      </c>
      <c r="L1280">
        <v>8</v>
      </c>
      <c r="M1280">
        <v>2026</v>
      </c>
      <c r="N1280">
        <v>0</v>
      </c>
      <c r="O1280">
        <v>7</v>
      </c>
      <c r="P1280">
        <v>2026</v>
      </c>
      <c r="Q1280">
        <v>5</v>
      </c>
      <c r="R1280" t="s">
        <v>40</v>
      </c>
      <c r="S1280" t="s">
        <v>41</v>
      </c>
      <c r="T1280" t="s">
        <v>42</v>
      </c>
      <c r="U1280" t="s">
        <v>40</v>
      </c>
      <c r="V1280" t="s">
        <v>131</v>
      </c>
      <c r="W1280" t="s">
        <v>132</v>
      </c>
      <c r="X1280" t="s">
        <v>45</v>
      </c>
      <c r="Y1280">
        <v>110</v>
      </c>
      <c r="Z1280" t="s">
        <v>58</v>
      </c>
      <c r="AA1280" t="s">
        <v>59</v>
      </c>
      <c r="AB1280" s="1">
        <v>46258</v>
      </c>
      <c r="AC1280" t="s">
        <v>40</v>
      </c>
      <c r="AD1280" t="s">
        <v>40</v>
      </c>
      <c r="AE1280" t="s">
        <v>86</v>
      </c>
      <c r="AF1280" t="s">
        <v>40</v>
      </c>
      <c r="AG1280">
        <v>1</v>
      </c>
      <c r="AH1280" t="s">
        <v>70</v>
      </c>
    </row>
    <row r="1281" spans="1:34" x14ac:dyDescent="0.3">
      <c r="A1281" t="s">
        <v>1952</v>
      </c>
      <c r="B1281" t="s">
        <v>1953</v>
      </c>
      <c r="C1281" t="s">
        <v>79</v>
      </c>
      <c r="D1281" t="s">
        <v>104</v>
      </c>
      <c r="E1281" s="1">
        <v>46030</v>
      </c>
      <c r="F1281" s="1">
        <v>46060</v>
      </c>
      <c r="G1281" t="s">
        <v>41</v>
      </c>
      <c r="H1281">
        <v>6845</v>
      </c>
      <c r="I1281" t="s">
        <v>39</v>
      </c>
      <c r="J1281" t="b">
        <v>0</v>
      </c>
      <c r="K1281">
        <v>30</v>
      </c>
      <c r="L1281">
        <v>2</v>
      </c>
      <c r="M1281">
        <v>2026</v>
      </c>
      <c r="N1281">
        <v>5</v>
      </c>
      <c r="O1281">
        <v>1</v>
      </c>
      <c r="P1281">
        <v>2026</v>
      </c>
      <c r="Q1281">
        <v>3</v>
      </c>
      <c r="R1281" t="s">
        <v>66</v>
      </c>
      <c r="S1281" t="s">
        <v>55</v>
      </c>
      <c r="T1281" t="s">
        <v>123</v>
      </c>
      <c r="U1281" t="s">
        <v>66</v>
      </c>
      <c r="V1281" t="s">
        <v>82</v>
      </c>
      <c r="W1281" t="s">
        <v>83</v>
      </c>
      <c r="X1281" t="s">
        <v>76</v>
      </c>
      <c r="Y1281">
        <v>100</v>
      </c>
      <c r="Z1281" t="s">
        <v>107</v>
      </c>
      <c r="AA1281" t="s">
        <v>108</v>
      </c>
      <c r="AB1281" s="1">
        <v>46060</v>
      </c>
      <c r="AC1281" t="s">
        <v>66</v>
      </c>
      <c r="AD1281" t="s">
        <v>40</v>
      </c>
      <c r="AE1281" t="s">
        <v>60</v>
      </c>
      <c r="AF1281" t="s">
        <v>40</v>
      </c>
      <c r="AG1281">
        <v>0</v>
      </c>
      <c r="AH1281" t="s">
        <v>70</v>
      </c>
    </row>
    <row r="1282" spans="1:34" x14ac:dyDescent="0.3">
      <c r="A1282" t="s">
        <v>1954</v>
      </c>
      <c r="B1282" t="s">
        <v>342</v>
      </c>
      <c r="C1282" t="s">
        <v>73</v>
      </c>
      <c r="D1282" t="s">
        <v>80</v>
      </c>
      <c r="E1282" s="1">
        <v>46281</v>
      </c>
      <c r="F1282" s="1">
        <v>46282</v>
      </c>
      <c r="G1282" t="s">
        <v>38</v>
      </c>
      <c r="H1282">
        <v>5013</v>
      </c>
      <c r="I1282" t="s">
        <v>39</v>
      </c>
      <c r="J1282" t="b">
        <v>0</v>
      </c>
      <c r="K1282">
        <v>1</v>
      </c>
      <c r="L1282">
        <v>9</v>
      </c>
      <c r="M1282">
        <v>2026</v>
      </c>
      <c r="N1282">
        <v>3</v>
      </c>
      <c r="O1282">
        <v>9</v>
      </c>
      <c r="P1282">
        <v>2026</v>
      </c>
      <c r="Q1282">
        <v>2</v>
      </c>
      <c r="R1282" t="s">
        <v>40</v>
      </c>
      <c r="S1282" t="s">
        <v>55</v>
      </c>
      <c r="T1282" t="s">
        <v>42</v>
      </c>
      <c r="U1282" t="s">
        <v>40</v>
      </c>
      <c r="V1282" t="s">
        <v>74</v>
      </c>
      <c r="W1282" t="s">
        <v>75</v>
      </c>
      <c r="X1282" t="s">
        <v>76</v>
      </c>
      <c r="Y1282">
        <v>75</v>
      </c>
      <c r="Z1282" t="s">
        <v>84</v>
      </c>
      <c r="AA1282" t="s">
        <v>85</v>
      </c>
      <c r="AB1282" s="1">
        <v>46282</v>
      </c>
      <c r="AC1282" t="s">
        <v>40</v>
      </c>
      <c r="AD1282" t="s">
        <v>40</v>
      </c>
      <c r="AE1282" t="s">
        <v>60</v>
      </c>
      <c r="AF1282" t="s">
        <v>40</v>
      </c>
      <c r="AG1282">
        <v>0</v>
      </c>
      <c r="AH1282" t="s">
        <v>100</v>
      </c>
    </row>
    <row r="1283" spans="1:34" x14ac:dyDescent="0.3">
      <c r="A1283" t="s">
        <v>1955</v>
      </c>
      <c r="B1283" t="s">
        <v>1095</v>
      </c>
      <c r="C1283" t="s">
        <v>97</v>
      </c>
      <c r="D1283" t="s">
        <v>104</v>
      </c>
      <c r="E1283" s="1">
        <v>46002</v>
      </c>
      <c r="F1283" s="1">
        <v>46062</v>
      </c>
      <c r="G1283" t="s">
        <v>64</v>
      </c>
      <c r="H1283">
        <v>3012</v>
      </c>
      <c r="I1283" t="s">
        <v>39</v>
      </c>
      <c r="J1283" t="b">
        <v>0</v>
      </c>
      <c r="K1283">
        <v>60</v>
      </c>
      <c r="L1283">
        <v>2</v>
      </c>
      <c r="M1283">
        <v>2026</v>
      </c>
      <c r="N1283">
        <v>0</v>
      </c>
      <c r="O1283">
        <v>12</v>
      </c>
      <c r="P1283">
        <v>2025</v>
      </c>
      <c r="Q1283">
        <v>3</v>
      </c>
      <c r="R1283" t="s">
        <v>40</v>
      </c>
      <c r="S1283" t="s">
        <v>41</v>
      </c>
      <c r="T1283" t="s">
        <v>42</v>
      </c>
      <c r="U1283" t="s">
        <v>40</v>
      </c>
      <c r="V1283" t="s">
        <v>98</v>
      </c>
      <c r="W1283" t="s">
        <v>99</v>
      </c>
      <c r="X1283" t="s">
        <v>76</v>
      </c>
      <c r="Y1283">
        <v>80</v>
      </c>
      <c r="Z1283" t="s">
        <v>107</v>
      </c>
      <c r="AA1283" t="s">
        <v>108</v>
      </c>
      <c r="AB1283" s="1">
        <v>46062</v>
      </c>
      <c r="AC1283" t="s">
        <v>40</v>
      </c>
      <c r="AD1283" t="s">
        <v>40</v>
      </c>
      <c r="AE1283" t="s">
        <v>60</v>
      </c>
      <c r="AF1283" t="s">
        <v>40</v>
      </c>
      <c r="AG1283">
        <v>0</v>
      </c>
      <c r="AH1283" t="s">
        <v>61</v>
      </c>
    </row>
    <row r="1284" spans="1:34" x14ac:dyDescent="0.3">
      <c r="A1284" t="s">
        <v>1956</v>
      </c>
      <c r="B1284" t="s">
        <v>892</v>
      </c>
      <c r="C1284" t="s">
        <v>97</v>
      </c>
      <c r="D1284" t="s">
        <v>90</v>
      </c>
      <c r="E1284" s="1">
        <v>45779</v>
      </c>
      <c r="F1284" s="1">
        <v>45782</v>
      </c>
      <c r="G1284" t="s">
        <v>81</v>
      </c>
      <c r="H1284">
        <v>10007</v>
      </c>
      <c r="I1284" t="s">
        <v>39</v>
      </c>
      <c r="J1284" t="b">
        <v>0</v>
      </c>
      <c r="K1284">
        <v>3</v>
      </c>
      <c r="L1284">
        <v>5</v>
      </c>
      <c r="M1284">
        <v>2025</v>
      </c>
      <c r="N1284">
        <v>0</v>
      </c>
      <c r="O1284">
        <v>5</v>
      </c>
      <c r="P1284">
        <v>2025</v>
      </c>
      <c r="Q1284">
        <v>4</v>
      </c>
      <c r="R1284" t="s">
        <v>40</v>
      </c>
      <c r="S1284" t="s">
        <v>45</v>
      </c>
      <c r="T1284" t="s">
        <v>42</v>
      </c>
      <c r="U1284" t="s">
        <v>40</v>
      </c>
      <c r="V1284" t="s">
        <v>98</v>
      </c>
      <c r="W1284" t="s">
        <v>99</v>
      </c>
      <c r="X1284" t="s">
        <v>76</v>
      </c>
      <c r="Y1284">
        <v>80</v>
      </c>
      <c r="Z1284" t="s">
        <v>93</v>
      </c>
      <c r="AA1284" t="s">
        <v>94</v>
      </c>
      <c r="AB1284" s="1">
        <v>45782</v>
      </c>
      <c r="AC1284" t="s">
        <v>40</v>
      </c>
      <c r="AD1284" t="s">
        <v>40</v>
      </c>
      <c r="AE1284" t="s">
        <v>69</v>
      </c>
      <c r="AF1284" t="s">
        <v>40</v>
      </c>
      <c r="AG1284">
        <v>0</v>
      </c>
      <c r="AH1284" t="s">
        <v>100</v>
      </c>
    </row>
    <row r="1285" spans="1:34" x14ac:dyDescent="0.3">
      <c r="A1285" t="s">
        <v>1957</v>
      </c>
      <c r="B1285" t="s">
        <v>637</v>
      </c>
      <c r="C1285" t="s">
        <v>97</v>
      </c>
      <c r="D1285" t="s">
        <v>53</v>
      </c>
      <c r="E1285" s="1">
        <v>46285</v>
      </c>
      <c r="F1285" s="1">
        <v>46286</v>
      </c>
      <c r="G1285" t="s">
        <v>64</v>
      </c>
      <c r="H1285">
        <v>2361</v>
      </c>
      <c r="I1285" t="s">
        <v>54</v>
      </c>
      <c r="J1285" t="b">
        <v>0</v>
      </c>
      <c r="K1285">
        <v>1</v>
      </c>
      <c r="L1285">
        <v>9</v>
      </c>
      <c r="M1285">
        <v>2026</v>
      </c>
      <c r="N1285">
        <v>0</v>
      </c>
      <c r="O1285">
        <v>9</v>
      </c>
      <c r="P1285">
        <v>2026</v>
      </c>
      <c r="Q1285">
        <v>6</v>
      </c>
      <c r="R1285" t="s">
        <v>40</v>
      </c>
      <c r="S1285" t="s">
        <v>45</v>
      </c>
      <c r="T1285" t="s">
        <v>42</v>
      </c>
      <c r="U1285" t="s">
        <v>40</v>
      </c>
      <c r="V1285" t="s">
        <v>98</v>
      </c>
      <c r="W1285" t="s">
        <v>99</v>
      </c>
      <c r="X1285" t="s">
        <v>76</v>
      </c>
      <c r="Y1285">
        <v>80</v>
      </c>
      <c r="Z1285" t="s">
        <v>58</v>
      </c>
      <c r="AA1285" t="s">
        <v>59</v>
      </c>
      <c r="AB1285" s="1">
        <v>46286</v>
      </c>
      <c r="AC1285" t="s">
        <v>40</v>
      </c>
      <c r="AD1285" t="s">
        <v>40</v>
      </c>
      <c r="AE1285" t="s">
        <v>60</v>
      </c>
      <c r="AF1285" t="s">
        <v>40</v>
      </c>
      <c r="AG1285">
        <v>1</v>
      </c>
      <c r="AH1285" t="s">
        <v>100</v>
      </c>
    </row>
    <row r="1286" spans="1:34" x14ac:dyDescent="0.3">
      <c r="A1286" t="s">
        <v>1958</v>
      </c>
      <c r="B1286" t="s">
        <v>1536</v>
      </c>
      <c r="C1286" t="s">
        <v>169</v>
      </c>
      <c r="D1286" t="s">
        <v>80</v>
      </c>
      <c r="E1286" s="1">
        <v>46187</v>
      </c>
      <c r="F1286" s="1">
        <v>46217</v>
      </c>
      <c r="G1286" t="s">
        <v>64</v>
      </c>
      <c r="H1286">
        <v>3757</v>
      </c>
      <c r="I1286" t="s">
        <v>39</v>
      </c>
      <c r="J1286" t="b">
        <v>0</v>
      </c>
      <c r="K1286">
        <v>30</v>
      </c>
      <c r="L1286">
        <v>7</v>
      </c>
      <c r="M1286">
        <v>2026</v>
      </c>
      <c r="N1286">
        <v>1</v>
      </c>
      <c r="O1286">
        <v>6</v>
      </c>
      <c r="P1286">
        <v>2026</v>
      </c>
      <c r="Q1286">
        <v>6</v>
      </c>
      <c r="R1286" t="s">
        <v>40</v>
      </c>
      <c r="S1286" t="s">
        <v>67</v>
      </c>
      <c r="T1286" t="s">
        <v>286</v>
      </c>
      <c r="U1286" t="s">
        <v>40</v>
      </c>
      <c r="V1286" t="s">
        <v>170</v>
      </c>
      <c r="W1286" t="s">
        <v>171</v>
      </c>
      <c r="X1286" t="s">
        <v>126</v>
      </c>
      <c r="Y1286">
        <v>90</v>
      </c>
      <c r="Z1286" t="s">
        <v>84</v>
      </c>
      <c r="AA1286" t="s">
        <v>85</v>
      </c>
      <c r="AB1286" s="1">
        <v>46217</v>
      </c>
      <c r="AC1286" t="s">
        <v>40</v>
      </c>
      <c r="AD1286" t="s">
        <v>40</v>
      </c>
      <c r="AE1286" t="s">
        <v>86</v>
      </c>
      <c r="AF1286" t="s">
        <v>40</v>
      </c>
      <c r="AG1286">
        <v>0</v>
      </c>
      <c r="AH1286" t="s">
        <v>70</v>
      </c>
    </row>
    <row r="1287" spans="1:34" x14ac:dyDescent="0.3">
      <c r="A1287" t="s">
        <v>1959</v>
      </c>
      <c r="B1287" t="s">
        <v>820</v>
      </c>
      <c r="C1287" t="s">
        <v>146</v>
      </c>
      <c r="D1287" t="s">
        <v>90</v>
      </c>
      <c r="E1287" s="1">
        <v>45858</v>
      </c>
      <c r="F1287" s="1">
        <v>45958</v>
      </c>
      <c r="G1287" t="s">
        <v>38</v>
      </c>
      <c r="H1287">
        <v>4967</v>
      </c>
      <c r="I1287" t="s">
        <v>54</v>
      </c>
      <c r="J1287" t="b">
        <v>0</v>
      </c>
      <c r="K1287">
        <v>100</v>
      </c>
      <c r="L1287">
        <v>10</v>
      </c>
      <c r="M1287">
        <v>2025</v>
      </c>
      <c r="N1287">
        <v>1</v>
      </c>
      <c r="O1287">
        <v>7</v>
      </c>
      <c r="P1287">
        <v>2025</v>
      </c>
      <c r="Q1287">
        <v>6</v>
      </c>
      <c r="R1287" t="s">
        <v>40</v>
      </c>
      <c r="S1287" t="s">
        <v>45</v>
      </c>
      <c r="T1287" t="s">
        <v>42</v>
      </c>
      <c r="U1287" t="s">
        <v>66</v>
      </c>
      <c r="V1287" t="s">
        <v>147</v>
      </c>
      <c r="W1287" t="s">
        <v>148</v>
      </c>
      <c r="X1287" t="s">
        <v>45</v>
      </c>
      <c r="Y1287">
        <v>160</v>
      </c>
      <c r="Z1287" t="s">
        <v>93</v>
      </c>
      <c r="AA1287" t="s">
        <v>94</v>
      </c>
      <c r="AB1287" s="1">
        <v>45958</v>
      </c>
      <c r="AC1287" t="s">
        <v>40</v>
      </c>
      <c r="AD1287" t="s">
        <v>40</v>
      </c>
      <c r="AE1287" t="s">
        <v>60</v>
      </c>
      <c r="AF1287" t="s">
        <v>40</v>
      </c>
      <c r="AG1287">
        <v>1</v>
      </c>
      <c r="AH1287" t="s">
        <v>49</v>
      </c>
    </row>
    <row r="1288" spans="1:34" x14ac:dyDescent="0.3">
      <c r="A1288" t="s">
        <v>1960</v>
      </c>
      <c r="B1288" t="s">
        <v>670</v>
      </c>
      <c r="C1288" t="s">
        <v>122</v>
      </c>
      <c r="D1288" t="s">
        <v>90</v>
      </c>
      <c r="E1288" s="1">
        <v>46076</v>
      </c>
      <c r="F1288" s="1">
        <v>46136</v>
      </c>
      <c r="G1288" t="s">
        <v>38</v>
      </c>
      <c r="H1288">
        <v>4103</v>
      </c>
      <c r="I1288" t="s">
        <v>39</v>
      </c>
      <c r="J1288" t="b">
        <v>0</v>
      </c>
      <c r="K1288">
        <v>60</v>
      </c>
      <c r="L1288">
        <v>4</v>
      </c>
      <c r="M1288">
        <v>2026</v>
      </c>
      <c r="N1288">
        <v>4</v>
      </c>
      <c r="O1288">
        <v>2</v>
      </c>
      <c r="P1288">
        <v>2026</v>
      </c>
      <c r="Q1288">
        <v>0</v>
      </c>
      <c r="R1288" t="s">
        <v>40</v>
      </c>
      <c r="S1288" t="s">
        <v>55</v>
      </c>
      <c r="T1288" t="s">
        <v>42</v>
      </c>
      <c r="U1288" t="s">
        <v>40</v>
      </c>
      <c r="V1288" t="s">
        <v>124</v>
      </c>
      <c r="W1288" t="s">
        <v>125</v>
      </c>
      <c r="X1288" t="s">
        <v>126</v>
      </c>
      <c r="Y1288">
        <v>85</v>
      </c>
      <c r="Z1288" t="s">
        <v>93</v>
      </c>
      <c r="AA1288" t="s">
        <v>94</v>
      </c>
      <c r="AB1288" s="1">
        <v>46136</v>
      </c>
      <c r="AC1288" t="s">
        <v>40</v>
      </c>
      <c r="AD1288" t="s">
        <v>40</v>
      </c>
      <c r="AE1288" t="s">
        <v>69</v>
      </c>
      <c r="AF1288" t="s">
        <v>40</v>
      </c>
      <c r="AG1288">
        <v>0</v>
      </c>
      <c r="AH1288" t="s">
        <v>61</v>
      </c>
    </row>
    <row r="1289" spans="1:34" x14ac:dyDescent="0.3">
      <c r="A1289" t="s">
        <v>1961</v>
      </c>
      <c r="B1289" t="s">
        <v>1683</v>
      </c>
      <c r="C1289" t="s">
        <v>79</v>
      </c>
      <c r="D1289" t="s">
        <v>90</v>
      </c>
      <c r="E1289" s="1">
        <v>46098</v>
      </c>
      <c r="F1289" s="1">
        <v>46112</v>
      </c>
      <c r="G1289" t="s">
        <v>41</v>
      </c>
      <c r="H1289">
        <v>6435</v>
      </c>
      <c r="I1289" t="s">
        <v>39</v>
      </c>
      <c r="J1289" t="b">
        <v>0</v>
      </c>
      <c r="K1289">
        <v>14</v>
      </c>
      <c r="L1289">
        <v>3</v>
      </c>
      <c r="M1289">
        <v>2026</v>
      </c>
      <c r="N1289">
        <v>1</v>
      </c>
      <c r="O1289">
        <v>3</v>
      </c>
      <c r="P1289">
        <v>2026</v>
      </c>
      <c r="Q1289">
        <v>1</v>
      </c>
      <c r="R1289" t="s">
        <v>40</v>
      </c>
      <c r="S1289" t="s">
        <v>67</v>
      </c>
      <c r="T1289" t="s">
        <v>42</v>
      </c>
      <c r="U1289" t="s">
        <v>40</v>
      </c>
      <c r="V1289" t="s">
        <v>82</v>
      </c>
      <c r="W1289" t="s">
        <v>83</v>
      </c>
      <c r="X1289" t="s">
        <v>76</v>
      </c>
      <c r="Y1289">
        <v>100</v>
      </c>
      <c r="Z1289" t="s">
        <v>93</v>
      </c>
      <c r="AA1289" t="s">
        <v>94</v>
      </c>
      <c r="AB1289" s="1">
        <v>46112</v>
      </c>
      <c r="AC1289" t="s">
        <v>40</v>
      </c>
      <c r="AD1289" t="s">
        <v>40</v>
      </c>
      <c r="AE1289" t="s">
        <v>60</v>
      </c>
      <c r="AF1289" t="s">
        <v>40</v>
      </c>
      <c r="AG1289">
        <v>0</v>
      </c>
      <c r="AH1289" t="s">
        <v>70</v>
      </c>
    </row>
    <row r="1290" spans="1:34" x14ac:dyDescent="0.3">
      <c r="A1290" t="s">
        <v>1962</v>
      </c>
      <c r="B1290" t="s">
        <v>1466</v>
      </c>
      <c r="C1290" t="s">
        <v>146</v>
      </c>
      <c r="D1290" t="s">
        <v>90</v>
      </c>
      <c r="E1290" s="1">
        <v>45975</v>
      </c>
      <c r="F1290" s="1">
        <v>45978</v>
      </c>
      <c r="G1290" t="s">
        <v>38</v>
      </c>
      <c r="H1290">
        <v>4537</v>
      </c>
      <c r="I1290" t="s">
        <v>39</v>
      </c>
      <c r="J1290" t="b">
        <v>0</v>
      </c>
      <c r="K1290">
        <v>3</v>
      </c>
      <c r="L1290">
        <v>11</v>
      </c>
      <c r="M1290">
        <v>2025</v>
      </c>
      <c r="N1290">
        <v>0</v>
      </c>
      <c r="O1290">
        <v>11</v>
      </c>
      <c r="P1290">
        <v>2025</v>
      </c>
      <c r="Q1290">
        <v>4</v>
      </c>
      <c r="R1290" t="s">
        <v>40</v>
      </c>
      <c r="S1290" t="s">
        <v>41</v>
      </c>
      <c r="T1290" t="s">
        <v>42</v>
      </c>
      <c r="U1290" t="s">
        <v>66</v>
      </c>
      <c r="V1290" t="s">
        <v>147</v>
      </c>
      <c r="W1290" t="s">
        <v>148</v>
      </c>
      <c r="X1290" t="s">
        <v>45</v>
      </c>
      <c r="Y1290">
        <v>160</v>
      </c>
      <c r="Z1290" t="s">
        <v>93</v>
      </c>
      <c r="AA1290" t="s">
        <v>94</v>
      </c>
      <c r="AB1290" s="1">
        <v>45978</v>
      </c>
      <c r="AC1290" t="s">
        <v>40</v>
      </c>
      <c r="AD1290" t="s">
        <v>40</v>
      </c>
      <c r="AE1290" t="s">
        <v>86</v>
      </c>
      <c r="AF1290" t="s">
        <v>40</v>
      </c>
      <c r="AG1290">
        <v>0</v>
      </c>
      <c r="AH1290" t="s">
        <v>100</v>
      </c>
    </row>
    <row r="1291" spans="1:34" x14ac:dyDescent="0.3">
      <c r="A1291" t="s">
        <v>1963</v>
      </c>
      <c r="B1291" t="s">
        <v>228</v>
      </c>
      <c r="C1291" t="s">
        <v>169</v>
      </c>
      <c r="D1291" t="s">
        <v>53</v>
      </c>
      <c r="E1291" s="1">
        <v>46326</v>
      </c>
      <c r="F1291" s="1">
        <v>46340</v>
      </c>
      <c r="G1291" t="s">
        <v>41</v>
      </c>
      <c r="H1291">
        <v>8463</v>
      </c>
      <c r="I1291" t="s">
        <v>54</v>
      </c>
      <c r="J1291" t="b">
        <v>0</v>
      </c>
      <c r="K1291">
        <v>14</v>
      </c>
      <c r="L1291">
        <v>11</v>
      </c>
      <c r="M1291">
        <v>2026</v>
      </c>
      <c r="N1291">
        <v>5</v>
      </c>
      <c r="O1291">
        <v>10</v>
      </c>
      <c r="P1291">
        <v>2026</v>
      </c>
      <c r="Q1291">
        <v>5</v>
      </c>
      <c r="R1291" t="s">
        <v>66</v>
      </c>
      <c r="S1291" t="s">
        <v>41</v>
      </c>
      <c r="T1291" t="s">
        <v>42</v>
      </c>
      <c r="U1291" t="s">
        <v>40</v>
      </c>
      <c r="V1291" t="s">
        <v>170</v>
      </c>
      <c r="W1291" t="s">
        <v>171</v>
      </c>
      <c r="X1291" t="s">
        <v>126</v>
      </c>
      <c r="Y1291">
        <v>90</v>
      </c>
      <c r="Z1291" t="s">
        <v>58</v>
      </c>
      <c r="AA1291" t="s">
        <v>59</v>
      </c>
      <c r="AB1291" s="1">
        <v>46340</v>
      </c>
      <c r="AC1291" t="s">
        <v>66</v>
      </c>
      <c r="AD1291" t="s">
        <v>40</v>
      </c>
      <c r="AE1291" t="s">
        <v>86</v>
      </c>
      <c r="AF1291" t="s">
        <v>40</v>
      </c>
      <c r="AG1291">
        <v>1</v>
      </c>
      <c r="AH1291" t="s">
        <v>70</v>
      </c>
    </row>
    <row r="1292" spans="1:34" x14ac:dyDescent="0.3">
      <c r="A1292" t="s">
        <v>1964</v>
      </c>
      <c r="B1292" t="s">
        <v>940</v>
      </c>
      <c r="C1292" t="s">
        <v>97</v>
      </c>
      <c r="D1292" t="s">
        <v>37</v>
      </c>
      <c r="E1292" s="1">
        <v>46116</v>
      </c>
      <c r="F1292" s="1">
        <v>46123</v>
      </c>
      <c r="G1292" t="s">
        <v>41</v>
      </c>
      <c r="H1292">
        <v>6795</v>
      </c>
      <c r="I1292" t="s">
        <v>39</v>
      </c>
      <c r="J1292" t="b">
        <v>0</v>
      </c>
      <c r="K1292">
        <v>7</v>
      </c>
      <c r="L1292">
        <v>4</v>
      </c>
      <c r="M1292">
        <v>2026</v>
      </c>
      <c r="N1292">
        <v>5</v>
      </c>
      <c r="O1292">
        <v>4</v>
      </c>
      <c r="P1292">
        <v>2026</v>
      </c>
      <c r="Q1292">
        <v>5</v>
      </c>
      <c r="R1292" t="s">
        <v>66</v>
      </c>
      <c r="S1292" t="s">
        <v>55</v>
      </c>
      <c r="T1292" t="s">
        <v>139</v>
      </c>
      <c r="U1292" t="s">
        <v>40</v>
      </c>
      <c r="V1292" t="s">
        <v>98</v>
      </c>
      <c r="W1292" t="s">
        <v>99</v>
      </c>
      <c r="X1292" t="s">
        <v>76</v>
      </c>
      <c r="Y1292">
        <v>80</v>
      </c>
      <c r="Z1292" t="s">
        <v>46</v>
      </c>
      <c r="AA1292" t="s">
        <v>47</v>
      </c>
      <c r="AB1292" s="1">
        <v>46123</v>
      </c>
      <c r="AC1292" t="s">
        <v>66</v>
      </c>
      <c r="AD1292" t="s">
        <v>40</v>
      </c>
      <c r="AE1292" t="s">
        <v>69</v>
      </c>
      <c r="AF1292" t="s">
        <v>40</v>
      </c>
      <c r="AG1292">
        <v>0</v>
      </c>
      <c r="AH1292" t="s">
        <v>100</v>
      </c>
    </row>
    <row r="1293" spans="1:34" x14ac:dyDescent="0.3">
      <c r="A1293" t="s">
        <v>1965</v>
      </c>
      <c r="B1293" t="s">
        <v>1078</v>
      </c>
      <c r="C1293" t="s">
        <v>129</v>
      </c>
      <c r="D1293" t="s">
        <v>37</v>
      </c>
      <c r="E1293" s="1">
        <v>46352</v>
      </c>
      <c r="F1293" s="1">
        <v>46412</v>
      </c>
      <c r="G1293" t="s">
        <v>41</v>
      </c>
      <c r="H1293">
        <v>7207</v>
      </c>
      <c r="I1293" t="s">
        <v>39</v>
      </c>
      <c r="J1293" t="b">
        <v>0</v>
      </c>
      <c r="K1293">
        <v>60</v>
      </c>
      <c r="L1293">
        <v>1</v>
      </c>
      <c r="M1293">
        <v>2027</v>
      </c>
      <c r="N1293">
        <v>0</v>
      </c>
      <c r="O1293">
        <v>11</v>
      </c>
      <c r="P1293">
        <v>2026</v>
      </c>
      <c r="Q1293">
        <v>3</v>
      </c>
      <c r="R1293" t="s">
        <v>40</v>
      </c>
      <c r="S1293" t="s">
        <v>67</v>
      </c>
      <c r="T1293" t="s">
        <v>42</v>
      </c>
      <c r="U1293" t="s">
        <v>40</v>
      </c>
      <c r="V1293" t="s">
        <v>131</v>
      </c>
      <c r="W1293" t="s">
        <v>132</v>
      </c>
      <c r="X1293" t="s">
        <v>45</v>
      </c>
      <c r="Y1293">
        <v>110</v>
      </c>
      <c r="Z1293" t="s">
        <v>46</v>
      </c>
      <c r="AA1293" t="s">
        <v>47</v>
      </c>
      <c r="AB1293" s="1"/>
      <c r="AC1293" t="s">
        <v>48</v>
      </c>
      <c r="AD1293" t="s">
        <v>48</v>
      </c>
      <c r="AE1293" t="s">
        <v>48</v>
      </c>
      <c r="AF1293" t="s">
        <v>48</v>
      </c>
      <c r="AG1293">
        <v>0</v>
      </c>
      <c r="AH1293" t="s">
        <v>61</v>
      </c>
    </row>
    <row r="1294" spans="1:34" x14ac:dyDescent="0.3">
      <c r="A1294" t="s">
        <v>1966</v>
      </c>
      <c r="B1294" t="s">
        <v>1419</v>
      </c>
      <c r="C1294" t="s">
        <v>79</v>
      </c>
      <c r="D1294" t="s">
        <v>37</v>
      </c>
      <c r="E1294" s="1">
        <v>45670</v>
      </c>
      <c r="F1294" s="1">
        <v>45700</v>
      </c>
      <c r="G1294" t="s">
        <v>64</v>
      </c>
      <c r="H1294">
        <v>3442</v>
      </c>
      <c r="I1294" t="s">
        <v>39</v>
      </c>
      <c r="J1294" t="b">
        <v>0</v>
      </c>
      <c r="K1294">
        <v>30</v>
      </c>
      <c r="L1294">
        <v>2</v>
      </c>
      <c r="M1294">
        <v>2025</v>
      </c>
      <c r="N1294">
        <v>2</v>
      </c>
      <c r="O1294">
        <v>1</v>
      </c>
      <c r="P1294">
        <v>2025</v>
      </c>
      <c r="Q1294">
        <v>0</v>
      </c>
      <c r="R1294" t="s">
        <v>40</v>
      </c>
      <c r="S1294" t="s">
        <v>41</v>
      </c>
      <c r="T1294" t="s">
        <v>42</v>
      </c>
      <c r="U1294" t="s">
        <v>40</v>
      </c>
      <c r="V1294" t="s">
        <v>82</v>
      </c>
      <c r="W1294" t="s">
        <v>83</v>
      </c>
      <c r="X1294" t="s">
        <v>76</v>
      </c>
      <c r="Y1294">
        <v>100</v>
      </c>
      <c r="Z1294" t="s">
        <v>46</v>
      </c>
      <c r="AA1294" t="s">
        <v>47</v>
      </c>
      <c r="AB1294" s="1">
        <v>45700</v>
      </c>
      <c r="AC1294" t="s">
        <v>40</v>
      </c>
      <c r="AD1294" t="s">
        <v>40</v>
      </c>
      <c r="AE1294" t="s">
        <v>60</v>
      </c>
      <c r="AF1294" t="s">
        <v>40</v>
      </c>
      <c r="AG1294">
        <v>0</v>
      </c>
      <c r="AH1294" t="s">
        <v>70</v>
      </c>
    </row>
    <row r="1295" spans="1:34" x14ac:dyDescent="0.3">
      <c r="A1295" t="s">
        <v>1967</v>
      </c>
      <c r="B1295" t="s">
        <v>489</v>
      </c>
      <c r="C1295" t="s">
        <v>103</v>
      </c>
      <c r="D1295" t="s">
        <v>80</v>
      </c>
      <c r="E1295" s="1">
        <v>45893</v>
      </c>
      <c r="F1295" s="1">
        <v>45907</v>
      </c>
      <c r="G1295" t="s">
        <v>38</v>
      </c>
      <c r="H1295">
        <v>4439</v>
      </c>
      <c r="I1295" t="s">
        <v>39</v>
      </c>
      <c r="J1295" t="b">
        <v>0</v>
      </c>
      <c r="K1295">
        <v>14</v>
      </c>
      <c r="L1295">
        <v>9</v>
      </c>
      <c r="M1295">
        <v>2025</v>
      </c>
      <c r="N1295">
        <v>6</v>
      </c>
      <c r="O1295">
        <v>8</v>
      </c>
      <c r="P1295">
        <v>2025</v>
      </c>
      <c r="Q1295">
        <v>6</v>
      </c>
      <c r="R1295" t="s">
        <v>66</v>
      </c>
      <c r="S1295" t="s">
        <v>67</v>
      </c>
      <c r="T1295" t="s">
        <v>42</v>
      </c>
      <c r="U1295" t="s">
        <v>40</v>
      </c>
      <c r="V1295" t="s">
        <v>105</v>
      </c>
      <c r="W1295" t="s">
        <v>106</v>
      </c>
      <c r="X1295" t="s">
        <v>45</v>
      </c>
      <c r="Y1295">
        <v>140</v>
      </c>
      <c r="Z1295" t="s">
        <v>84</v>
      </c>
      <c r="AA1295" t="s">
        <v>85</v>
      </c>
      <c r="AB1295" s="1">
        <v>45907</v>
      </c>
      <c r="AC1295" t="s">
        <v>66</v>
      </c>
      <c r="AD1295" t="s">
        <v>40</v>
      </c>
      <c r="AE1295" t="s">
        <v>60</v>
      </c>
      <c r="AF1295" t="s">
        <v>40</v>
      </c>
      <c r="AG1295">
        <v>0</v>
      </c>
      <c r="AH1295" t="s">
        <v>70</v>
      </c>
    </row>
    <row r="1296" spans="1:34" x14ac:dyDescent="0.3">
      <c r="A1296" t="s">
        <v>1968</v>
      </c>
      <c r="B1296" t="s">
        <v>1969</v>
      </c>
      <c r="C1296" t="s">
        <v>89</v>
      </c>
      <c r="D1296" t="s">
        <v>130</v>
      </c>
      <c r="E1296" s="1">
        <v>46185</v>
      </c>
      <c r="F1296" s="1">
        <v>46186</v>
      </c>
      <c r="G1296" t="s">
        <v>41</v>
      </c>
      <c r="H1296">
        <v>7106</v>
      </c>
      <c r="I1296" t="s">
        <v>39</v>
      </c>
      <c r="J1296" t="b">
        <v>0</v>
      </c>
      <c r="K1296">
        <v>1</v>
      </c>
      <c r="L1296">
        <v>6</v>
      </c>
      <c r="M1296">
        <v>2026</v>
      </c>
      <c r="N1296">
        <v>5</v>
      </c>
      <c r="O1296">
        <v>6</v>
      </c>
      <c r="P1296">
        <v>2026</v>
      </c>
      <c r="Q1296">
        <v>4</v>
      </c>
      <c r="R1296" t="s">
        <v>66</v>
      </c>
      <c r="S1296" t="s">
        <v>45</v>
      </c>
      <c r="T1296" t="s">
        <v>286</v>
      </c>
      <c r="U1296" t="s">
        <v>40</v>
      </c>
      <c r="V1296" t="s">
        <v>91</v>
      </c>
      <c r="W1296" t="s">
        <v>92</v>
      </c>
      <c r="X1296" t="s">
        <v>76</v>
      </c>
      <c r="Y1296">
        <v>65</v>
      </c>
      <c r="Z1296" t="s">
        <v>133</v>
      </c>
      <c r="AA1296" t="s">
        <v>134</v>
      </c>
      <c r="AB1296" s="1">
        <v>46186</v>
      </c>
      <c r="AC1296" t="s">
        <v>66</v>
      </c>
      <c r="AD1296" t="s">
        <v>40</v>
      </c>
      <c r="AE1296" t="s">
        <v>60</v>
      </c>
      <c r="AF1296" t="s">
        <v>40</v>
      </c>
      <c r="AG1296">
        <v>0</v>
      </c>
      <c r="AH1296" t="s">
        <v>100</v>
      </c>
    </row>
    <row r="1297" spans="1:34" x14ac:dyDescent="0.3">
      <c r="A1297" t="s">
        <v>1970</v>
      </c>
      <c r="B1297" t="s">
        <v>1971</v>
      </c>
      <c r="C1297" t="s">
        <v>169</v>
      </c>
      <c r="D1297" t="s">
        <v>53</v>
      </c>
      <c r="E1297" s="1">
        <v>45918</v>
      </c>
      <c r="F1297" s="1">
        <v>46068</v>
      </c>
      <c r="G1297" t="s">
        <v>81</v>
      </c>
      <c r="H1297">
        <v>6938</v>
      </c>
      <c r="I1297" t="s">
        <v>65</v>
      </c>
      <c r="J1297" t="b">
        <v>0</v>
      </c>
      <c r="K1297">
        <v>150</v>
      </c>
      <c r="L1297">
        <v>2</v>
      </c>
      <c r="M1297">
        <v>2026</v>
      </c>
      <c r="N1297">
        <v>6</v>
      </c>
      <c r="O1297">
        <v>9</v>
      </c>
      <c r="P1297">
        <v>2025</v>
      </c>
      <c r="Q1297">
        <v>3</v>
      </c>
      <c r="R1297" t="s">
        <v>66</v>
      </c>
      <c r="S1297" t="s">
        <v>55</v>
      </c>
      <c r="T1297" t="s">
        <v>42</v>
      </c>
      <c r="U1297" t="s">
        <v>66</v>
      </c>
      <c r="V1297" t="s">
        <v>170</v>
      </c>
      <c r="W1297" t="s">
        <v>171</v>
      </c>
      <c r="X1297" t="s">
        <v>126</v>
      </c>
      <c r="Y1297">
        <v>90</v>
      </c>
      <c r="Z1297" t="s">
        <v>58</v>
      </c>
      <c r="AA1297" t="s">
        <v>59</v>
      </c>
      <c r="AB1297" s="1">
        <v>46068</v>
      </c>
      <c r="AC1297" t="s">
        <v>66</v>
      </c>
      <c r="AD1297" t="s">
        <v>40</v>
      </c>
      <c r="AE1297" t="s">
        <v>60</v>
      </c>
      <c r="AF1297" t="s">
        <v>40</v>
      </c>
      <c r="AG1297">
        <v>0</v>
      </c>
      <c r="AH1297" t="s">
        <v>49</v>
      </c>
    </row>
    <row r="1298" spans="1:34" x14ac:dyDescent="0.3">
      <c r="A1298" t="s">
        <v>1972</v>
      </c>
      <c r="B1298" t="s">
        <v>723</v>
      </c>
      <c r="C1298" t="s">
        <v>122</v>
      </c>
      <c r="D1298" t="s">
        <v>80</v>
      </c>
      <c r="E1298" s="1">
        <v>46292</v>
      </c>
      <c r="F1298" s="1">
        <v>46299</v>
      </c>
      <c r="G1298" t="s">
        <v>64</v>
      </c>
      <c r="H1298">
        <v>3514</v>
      </c>
      <c r="I1298" t="s">
        <v>39</v>
      </c>
      <c r="J1298" t="b">
        <v>0</v>
      </c>
      <c r="K1298">
        <v>7</v>
      </c>
      <c r="L1298">
        <v>10</v>
      </c>
      <c r="M1298">
        <v>2026</v>
      </c>
      <c r="N1298">
        <v>6</v>
      </c>
      <c r="O1298">
        <v>9</v>
      </c>
      <c r="P1298">
        <v>2026</v>
      </c>
      <c r="Q1298">
        <v>6</v>
      </c>
      <c r="R1298" t="s">
        <v>66</v>
      </c>
      <c r="S1298" t="s">
        <v>67</v>
      </c>
      <c r="T1298" t="s">
        <v>286</v>
      </c>
      <c r="U1298" t="s">
        <v>66</v>
      </c>
      <c r="V1298" t="s">
        <v>124</v>
      </c>
      <c r="W1298" t="s">
        <v>125</v>
      </c>
      <c r="X1298" t="s">
        <v>126</v>
      </c>
      <c r="Y1298">
        <v>85</v>
      </c>
      <c r="Z1298" t="s">
        <v>84</v>
      </c>
      <c r="AA1298" t="s">
        <v>85</v>
      </c>
      <c r="AB1298" s="1">
        <v>46299</v>
      </c>
      <c r="AC1298" t="s">
        <v>66</v>
      </c>
      <c r="AD1298" t="s">
        <v>40</v>
      </c>
      <c r="AE1298" t="s">
        <v>60</v>
      </c>
      <c r="AF1298" t="s">
        <v>40</v>
      </c>
      <c r="AG1298">
        <v>0</v>
      </c>
      <c r="AH1298" t="s">
        <v>100</v>
      </c>
    </row>
    <row r="1299" spans="1:34" x14ac:dyDescent="0.3">
      <c r="A1299" t="s">
        <v>1973</v>
      </c>
      <c r="B1299" t="s">
        <v>1974</v>
      </c>
      <c r="C1299" t="s">
        <v>146</v>
      </c>
      <c r="D1299" t="s">
        <v>37</v>
      </c>
      <c r="E1299" s="1">
        <v>45919</v>
      </c>
      <c r="F1299" s="1">
        <v>46019</v>
      </c>
      <c r="G1299" t="s">
        <v>41</v>
      </c>
      <c r="H1299">
        <v>7401</v>
      </c>
      <c r="I1299" t="s">
        <v>65</v>
      </c>
      <c r="J1299" t="b">
        <v>0</v>
      </c>
      <c r="K1299">
        <v>100</v>
      </c>
      <c r="L1299">
        <v>12</v>
      </c>
      <c r="M1299">
        <v>2025</v>
      </c>
      <c r="N1299">
        <v>6</v>
      </c>
      <c r="O1299">
        <v>9</v>
      </c>
      <c r="P1299">
        <v>2025</v>
      </c>
      <c r="Q1299">
        <v>4</v>
      </c>
      <c r="R1299" t="s">
        <v>66</v>
      </c>
      <c r="S1299" t="s">
        <v>55</v>
      </c>
      <c r="T1299" t="s">
        <v>42</v>
      </c>
      <c r="U1299" t="s">
        <v>40</v>
      </c>
      <c r="V1299" t="s">
        <v>147</v>
      </c>
      <c r="W1299" t="s">
        <v>148</v>
      </c>
      <c r="X1299" t="s">
        <v>45</v>
      </c>
      <c r="Y1299">
        <v>160</v>
      </c>
      <c r="Z1299" t="s">
        <v>46</v>
      </c>
      <c r="AA1299" t="s">
        <v>47</v>
      </c>
      <c r="AB1299" s="1">
        <v>46019</v>
      </c>
      <c r="AC1299" t="s">
        <v>66</v>
      </c>
      <c r="AD1299" t="s">
        <v>40</v>
      </c>
      <c r="AE1299" t="s">
        <v>69</v>
      </c>
      <c r="AF1299" t="s">
        <v>40</v>
      </c>
      <c r="AG1299">
        <v>0</v>
      </c>
      <c r="AH1299" t="s">
        <v>49</v>
      </c>
    </row>
    <row r="1300" spans="1:34" x14ac:dyDescent="0.3">
      <c r="A1300" t="s">
        <v>1975</v>
      </c>
      <c r="B1300" t="s">
        <v>1387</v>
      </c>
      <c r="C1300" t="s">
        <v>52</v>
      </c>
      <c r="D1300" t="s">
        <v>53</v>
      </c>
      <c r="E1300" s="1">
        <v>45980</v>
      </c>
      <c r="F1300" s="1">
        <v>45994</v>
      </c>
      <c r="G1300" t="s">
        <v>38</v>
      </c>
      <c r="H1300">
        <v>4623</v>
      </c>
      <c r="I1300" t="s">
        <v>39</v>
      </c>
      <c r="J1300" t="b">
        <v>0</v>
      </c>
      <c r="K1300">
        <v>14</v>
      </c>
      <c r="L1300">
        <v>12</v>
      </c>
      <c r="M1300">
        <v>2025</v>
      </c>
      <c r="N1300">
        <v>2</v>
      </c>
      <c r="O1300">
        <v>11</v>
      </c>
      <c r="P1300">
        <v>2025</v>
      </c>
      <c r="Q1300">
        <v>2</v>
      </c>
      <c r="R1300" t="s">
        <v>40</v>
      </c>
      <c r="S1300" t="s">
        <v>67</v>
      </c>
      <c r="T1300" t="s">
        <v>42</v>
      </c>
      <c r="U1300" t="s">
        <v>40</v>
      </c>
      <c r="V1300" t="s">
        <v>56</v>
      </c>
      <c r="W1300" t="s">
        <v>57</v>
      </c>
      <c r="X1300" t="s">
        <v>45</v>
      </c>
      <c r="Y1300">
        <v>120</v>
      </c>
      <c r="Z1300" t="s">
        <v>58</v>
      </c>
      <c r="AA1300" t="s">
        <v>59</v>
      </c>
      <c r="AB1300" s="1">
        <v>45994</v>
      </c>
      <c r="AC1300" t="s">
        <v>40</v>
      </c>
      <c r="AD1300" t="s">
        <v>40</v>
      </c>
      <c r="AE1300" t="s">
        <v>69</v>
      </c>
      <c r="AF1300" t="s">
        <v>40</v>
      </c>
      <c r="AG1300">
        <v>0</v>
      </c>
      <c r="AH1300" t="s">
        <v>70</v>
      </c>
    </row>
    <row r="1301" spans="1:34" x14ac:dyDescent="0.3">
      <c r="A1301" t="s">
        <v>1976</v>
      </c>
      <c r="B1301" t="s">
        <v>817</v>
      </c>
      <c r="C1301" t="s">
        <v>89</v>
      </c>
      <c r="D1301" t="s">
        <v>80</v>
      </c>
      <c r="E1301" s="1">
        <v>46211</v>
      </c>
      <c r="F1301" s="1">
        <v>46271</v>
      </c>
      <c r="G1301" t="s">
        <v>41</v>
      </c>
      <c r="H1301">
        <v>8705</v>
      </c>
      <c r="I1301" t="s">
        <v>39</v>
      </c>
      <c r="J1301" t="b">
        <v>0</v>
      </c>
      <c r="K1301">
        <v>60</v>
      </c>
      <c r="L1301">
        <v>9</v>
      </c>
      <c r="M1301">
        <v>2026</v>
      </c>
      <c r="N1301">
        <v>6</v>
      </c>
      <c r="O1301">
        <v>7</v>
      </c>
      <c r="P1301">
        <v>2026</v>
      </c>
      <c r="Q1301">
        <v>2</v>
      </c>
      <c r="R1301" t="s">
        <v>66</v>
      </c>
      <c r="S1301" t="s">
        <v>67</v>
      </c>
      <c r="T1301" t="s">
        <v>42</v>
      </c>
      <c r="U1301" t="s">
        <v>66</v>
      </c>
      <c r="V1301" t="s">
        <v>91</v>
      </c>
      <c r="W1301" t="s">
        <v>92</v>
      </c>
      <c r="X1301" t="s">
        <v>76</v>
      </c>
      <c r="Y1301">
        <v>65</v>
      </c>
      <c r="Z1301" t="s">
        <v>84</v>
      </c>
      <c r="AA1301" t="s">
        <v>85</v>
      </c>
      <c r="AB1301" s="1">
        <v>46271</v>
      </c>
      <c r="AC1301" t="s">
        <v>66</v>
      </c>
      <c r="AD1301" t="s">
        <v>40</v>
      </c>
      <c r="AE1301" t="s">
        <v>60</v>
      </c>
      <c r="AF1301" t="s">
        <v>40</v>
      </c>
      <c r="AG1301">
        <v>0</v>
      </c>
      <c r="AH1301" t="s">
        <v>61</v>
      </c>
    </row>
    <row r="1302" spans="1:34" x14ac:dyDescent="0.3">
      <c r="A1302" t="s">
        <v>1977</v>
      </c>
      <c r="B1302" t="s">
        <v>688</v>
      </c>
      <c r="C1302" t="s">
        <v>97</v>
      </c>
      <c r="D1302" t="s">
        <v>80</v>
      </c>
      <c r="E1302" s="1">
        <v>45899</v>
      </c>
      <c r="F1302" s="1">
        <v>45906</v>
      </c>
      <c r="G1302" t="s">
        <v>64</v>
      </c>
      <c r="H1302">
        <v>4198</v>
      </c>
      <c r="I1302" t="s">
        <v>54</v>
      </c>
      <c r="J1302" t="b">
        <v>0</v>
      </c>
      <c r="K1302">
        <v>7</v>
      </c>
      <c r="L1302">
        <v>9</v>
      </c>
      <c r="M1302">
        <v>2025</v>
      </c>
      <c r="N1302">
        <v>5</v>
      </c>
      <c r="O1302">
        <v>8</v>
      </c>
      <c r="P1302">
        <v>2025</v>
      </c>
      <c r="Q1302">
        <v>5</v>
      </c>
      <c r="R1302" t="s">
        <v>66</v>
      </c>
      <c r="S1302" t="s">
        <v>67</v>
      </c>
      <c r="T1302" t="s">
        <v>286</v>
      </c>
      <c r="U1302" t="s">
        <v>40</v>
      </c>
      <c r="V1302" t="s">
        <v>98</v>
      </c>
      <c r="W1302" t="s">
        <v>99</v>
      </c>
      <c r="X1302" t="s">
        <v>76</v>
      </c>
      <c r="Y1302">
        <v>80</v>
      </c>
      <c r="Z1302" t="s">
        <v>84</v>
      </c>
      <c r="AA1302" t="s">
        <v>85</v>
      </c>
      <c r="AB1302" s="1">
        <v>45906</v>
      </c>
      <c r="AC1302" t="s">
        <v>66</v>
      </c>
      <c r="AD1302" t="s">
        <v>40</v>
      </c>
      <c r="AE1302" t="s">
        <v>60</v>
      </c>
      <c r="AF1302" t="s">
        <v>40</v>
      </c>
      <c r="AG1302">
        <v>1</v>
      </c>
      <c r="AH1302" t="s">
        <v>100</v>
      </c>
    </row>
    <row r="1303" spans="1:34" x14ac:dyDescent="0.3">
      <c r="A1303" t="s">
        <v>1978</v>
      </c>
      <c r="B1303" t="s">
        <v>1441</v>
      </c>
      <c r="C1303" t="s">
        <v>155</v>
      </c>
      <c r="D1303" t="s">
        <v>90</v>
      </c>
      <c r="E1303" s="1">
        <v>45834</v>
      </c>
      <c r="F1303" s="1">
        <v>45864</v>
      </c>
      <c r="G1303" t="s">
        <v>64</v>
      </c>
      <c r="H1303">
        <v>3340</v>
      </c>
      <c r="I1303" t="s">
        <v>39</v>
      </c>
      <c r="J1303" t="b">
        <v>0</v>
      </c>
      <c r="K1303">
        <v>30</v>
      </c>
      <c r="L1303">
        <v>7</v>
      </c>
      <c r="M1303">
        <v>2025</v>
      </c>
      <c r="N1303">
        <v>5</v>
      </c>
      <c r="O1303">
        <v>6</v>
      </c>
      <c r="P1303">
        <v>2025</v>
      </c>
      <c r="Q1303">
        <v>3</v>
      </c>
      <c r="R1303" t="s">
        <v>66</v>
      </c>
      <c r="S1303" t="s">
        <v>45</v>
      </c>
      <c r="T1303" t="s">
        <v>42</v>
      </c>
      <c r="U1303" t="s">
        <v>40</v>
      </c>
      <c r="V1303" t="s">
        <v>156</v>
      </c>
      <c r="W1303" t="s">
        <v>157</v>
      </c>
      <c r="X1303" t="s">
        <v>158</v>
      </c>
      <c r="Y1303">
        <v>70</v>
      </c>
      <c r="Z1303" t="s">
        <v>93</v>
      </c>
      <c r="AA1303" t="s">
        <v>94</v>
      </c>
      <c r="AB1303" s="1">
        <v>45864</v>
      </c>
      <c r="AC1303" t="s">
        <v>66</v>
      </c>
      <c r="AD1303" t="s">
        <v>40</v>
      </c>
      <c r="AE1303" t="s">
        <v>86</v>
      </c>
      <c r="AF1303" t="s">
        <v>40</v>
      </c>
      <c r="AG1303">
        <v>0</v>
      </c>
      <c r="AH1303" t="s">
        <v>70</v>
      </c>
    </row>
    <row r="1304" spans="1:34" x14ac:dyDescent="0.3">
      <c r="A1304" t="s">
        <v>1979</v>
      </c>
      <c r="B1304" t="s">
        <v>710</v>
      </c>
      <c r="C1304" t="s">
        <v>97</v>
      </c>
      <c r="D1304" t="s">
        <v>130</v>
      </c>
      <c r="E1304" s="1">
        <v>45674</v>
      </c>
      <c r="F1304" s="1">
        <v>45675</v>
      </c>
      <c r="G1304" t="s">
        <v>41</v>
      </c>
      <c r="H1304">
        <v>5185</v>
      </c>
      <c r="I1304" t="s">
        <v>39</v>
      </c>
      <c r="J1304" t="b">
        <v>0</v>
      </c>
      <c r="K1304">
        <v>1</v>
      </c>
      <c r="L1304">
        <v>1</v>
      </c>
      <c r="M1304">
        <v>2025</v>
      </c>
      <c r="N1304">
        <v>5</v>
      </c>
      <c r="O1304">
        <v>1</v>
      </c>
      <c r="P1304">
        <v>2025</v>
      </c>
      <c r="Q1304">
        <v>4</v>
      </c>
      <c r="R1304" t="s">
        <v>66</v>
      </c>
      <c r="S1304" t="s">
        <v>55</v>
      </c>
      <c r="T1304" t="s">
        <v>113</v>
      </c>
      <c r="U1304" t="s">
        <v>40</v>
      </c>
      <c r="V1304" t="s">
        <v>98</v>
      </c>
      <c r="W1304" t="s">
        <v>99</v>
      </c>
      <c r="X1304" t="s">
        <v>76</v>
      </c>
      <c r="Y1304">
        <v>80</v>
      </c>
      <c r="Z1304" t="s">
        <v>133</v>
      </c>
      <c r="AA1304" t="s">
        <v>134</v>
      </c>
      <c r="AB1304" s="1">
        <v>45675</v>
      </c>
      <c r="AC1304" t="s">
        <v>66</v>
      </c>
      <c r="AD1304" t="s">
        <v>40</v>
      </c>
      <c r="AE1304" t="s">
        <v>86</v>
      </c>
      <c r="AF1304" t="s">
        <v>40</v>
      </c>
      <c r="AG1304">
        <v>0</v>
      </c>
      <c r="AH1304" t="s">
        <v>100</v>
      </c>
    </row>
    <row r="1305" spans="1:34" x14ac:dyDescent="0.3">
      <c r="A1305" t="s">
        <v>1980</v>
      </c>
      <c r="B1305" t="s">
        <v>187</v>
      </c>
      <c r="C1305" t="s">
        <v>129</v>
      </c>
      <c r="D1305" t="s">
        <v>104</v>
      </c>
      <c r="E1305" s="1">
        <v>46053</v>
      </c>
      <c r="F1305" s="1">
        <v>46056</v>
      </c>
      <c r="G1305" t="s">
        <v>64</v>
      </c>
      <c r="H1305">
        <v>2587</v>
      </c>
      <c r="I1305" t="s">
        <v>54</v>
      </c>
      <c r="J1305" t="b">
        <v>0</v>
      </c>
      <c r="K1305">
        <v>3</v>
      </c>
      <c r="L1305">
        <v>2</v>
      </c>
      <c r="M1305">
        <v>2026</v>
      </c>
      <c r="N1305">
        <v>1</v>
      </c>
      <c r="O1305">
        <v>1</v>
      </c>
      <c r="P1305">
        <v>2026</v>
      </c>
      <c r="Q1305">
        <v>5</v>
      </c>
      <c r="R1305" t="s">
        <v>40</v>
      </c>
      <c r="S1305" t="s">
        <v>41</v>
      </c>
      <c r="T1305" t="s">
        <v>42</v>
      </c>
      <c r="U1305" t="s">
        <v>40</v>
      </c>
      <c r="V1305" t="s">
        <v>131</v>
      </c>
      <c r="W1305" t="s">
        <v>132</v>
      </c>
      <c r="X1305" t="s">
        <v>45</v>
      </c>
      <c r="Y1305">
        <v>110</v>
      </c>
      <c r="Z1305" t="s">
        <v>107</v>
      </c>
      <c r="AA1305" t="s">
        <v>108</v>
      </c>
      <c r="AB1305" s="1">
        <v>46056</v>
      </c>
      <c r="AC1305" t="s">
        <v>40</v>
      </c>
      <c r="AD1305" t="s">
        <v>40</v>
      </c>
      <c r="AE1305" t="s">
        <v>60</v>
      </c>
      <c r="AF1305" t="s">
        <v>40</v>
      </c>
      <c r="AG1305">
        <v>1</v>
      </c>
      <c r="AH1305" t="s">
        <v>100</v>
      </c>
    </row>
    <row r="1306" spans="1:34" x14ac:dyDescent="0.3">
      <c r="A1306" t="s">
        <v>1981</v>
      </c>
      <c r="B1306" t="s">
        <v>1402</v>
      </c>
      <c r="C1306" t="s">
        <v>146</v>
      </c>
      <c r="D1306" t="s">
        <v>53</v>
      </c>
      <c r="E1306" s="1">
        <v>45984</v>
      </c>
      <c r="F1306" s="1">
        <v>46014</v>
      </c>
      <c r="G1306" t="s">
        <v>64</v>
      </c>
      <c r="H1306">
        <v>3245</v>
      </c>
      <c r="I1306" t="s">
        <v>65</v>
      </c>
      <c r="J1306" t="b">
        <v>0</v>
      </c>
      <c r="K1306">
        <v>30</v>
      </c>
      <c r="L1306">
        <v>12</v>
      </c>
      <c r="M1306">
        <v>2025</v>
      </c>
      <c r="N1306">
        <v>1</v>
      </c>
      <c r="O1306">
        <v>11</v>
      </c>
      <c r="P1306">
        <v>2025</v>
      </c>
      <c r="Q1306">
        <v>6</v>
      </c>
      <c r="R1306" t="s">
        <v>40</v>
      </c>
      <c r="S1306" t="s">
        <v>55</v>
      </c>
      <c r="T1306" t="s">
        <v>68</v>
      </c>
      <c r="U1306" t="s">
        <v>40</v>
      </c>
      <c r="V1306" t="s">
        <v>147</v>
      </c>
      <c r="W1306" t="s">
        <v>148</v>
      </c>
      <c r="X1306" t="s">
        <v>45</v>
      </c>
      <c r="Y1306">
        <v>160</v>
      </c>
      <c r="Z1306" t="s">
        <v>58</v>
      </c>
      <c r="AA1306" t="s">
        <v>59</v>
      </c>
      <c r="AB1306" s="1">
        <v>46014</v>
      </c>
      <c r="AC1306" t="s">
        <v>40</v>
      </c>
      <c r="AD1306" t="s">
        <v>40</v>
      </c>
      <c r="AE1306" t="s">
        <v>69</v>
      </c>
      <c r="AF1306" t="s">
        <v>40</v>
      </c>
      <c r="AG1306">
        <v>0</v>
      </c>
      <c r="AH1306" t="s">
        <v>70</v>
      </c>
    </row>
    <row r="1307" spans="1:34" x14ac:dyDescent="0.3">
      <c r="A1307" t="s">
        <v>1982</v>
      </c>
      <c r="B1307" t="s">
        <v>203</v>
      </c>
      <c r="C1307" t="s">
        <v>73</v>
      </c>
      <c r="D1307" t="s">
        <v>53</v>
      </c>
      <c r="E1307" s="1">
        <v>45974</v>
      </c>
      <c r="F1307" s="1">
        <v>45988</v>
      </c>
      <c r="G1307" t="s">
        <v>81</v>
      </c>
      <c r="H1307">
        <v>8126</v>
      </c>
      <c r="I1307" t="s">
        <v>54</v>
      </c>
      <c r="J1307" t="b">
        <v>0</v>
      </c>
      <c r="K1307">
        <v>14</v>
      </c>
      <c r="L1307">
        <v>11</v>
      </c>
      <c r="M1307">
        <v>2025</v>
      </c>
      <c r="N1307">
        <v>3</v>
      </c>
      <c r="O1307">
        <v>11</v>
      </c>
      <c r="P1307">
        <v>2025</v>
      </c>
      <c r="Q1307">
        <v>3</v>
      </c>
      <c r="R1307" t="s">
        <v>40</v>
      </c>
      <c r="S1307" t="s">
        <v>41</v>
      </c>
      <c r="T1307" t="s">
        <v>42</v>
      </c>
      <c r="U1307" t="s">
        <v>66</v>
      </c>
      <c r="V1307" t="s">
        <v>74</v>
      </c>
      <c r="W1307" t="s">
        <v>75</v>
      </c>
      <c r="X1307" t="s">
        <v>76</v>
      </c>
      <c r="Y1307">
        <v>75</v>
      </c>
      <c r="Z1307" t="s">
        <v>58</v>
      </c>
      <c r="AA1307" t="s">
        <v>59</v>
      </c>
      <c r="AB1307" s="1">
        <v>45988</v>
      </c>
      <c r="AC1307" t="s">
        <v>40</v>
      </c>
      <c r="AD1307" t="s">
        <v>40</v>
      </c>
      <c r="AE1307" t="s">
        <v>86</v>
      </c>
      <c r="AF1307" t="s">
        <v>40</v>
      </c>
      <c r="AG1307">
        <v>1</v>
      </c>
      <c r="AH1307" t="s">
        <v>70</v>
      </c>
    </row>
    <row r="1308" spans="1:34" x14ac:dyDescent="0.3">
      <c r="A1308" t="s">
        <v>1983</v>
      </c>
      <c r="B1308" t="s">
        <v>350</v>
      </c>
      <c r="C1308" t="s">
        <v>97</v>
      </c>
      <c r="D1308" t="s">
        <v>130</v>
      </c>
      <c r="E1308" s="1">
        <v>46036</v>
      </c>
      <c r="F1308" s="1">
        <v>46136</v>
      </c>
      <c r="G1308" t="s">
        <v>81</v>
      </c>
      <c r="H1308">
        <v>9606</v>
      </c>
      <c r="I1308" t="s">
        <v>65</v>
      </c>
      <c r="J1308" t="b">
        <v>0</v>
      </c>
      <c r="K1308">
        <v>100</v>
      </c>
      <c r="L1308">
        <v>4</v>
      </c>
      <c r="M1308">
        <v>2026</v>
      </c>
      <c r="N1308">
        <v>4</v>
      </c>
      <c r="O1308">
        <v>1</v>
      </c>
      <c r="P1308">
        <v>2026</v>
      </c>
      <c r="Q1308">
        <v>2</v>
      </c>
      <c r="R1308" t="s">
        <v>40</v>
      </c>
      <c r="S1308" t="s">
        <v>55</v>
      </c>
      <c r="T1308" t="s">
        <v>42</v>
      </c>
      <c r="U1308" t="s">
        <v>40</v>
      </c>
      <c r="V1308" t="s">
        <v>98</v>
      </c>
      <c r="W1308" t="s">
        <v>99</v>
      </c>
      <c r="X1308" t="s">
        <v>76</v>
      </c>
      <c r="Y1308">
        <v>80</v>
      </c>
      <c r="Z1308" t="s">
        <v>133</v>
      </c>
      <c r="AA1308" t="s">
        <v>134</v>
      </c>
      <c r="AB1308" s="1">
        <v>46136</v>
      </c>
      <c r="AC1308" t="s">
        <v>40</v>
      </c>
      <c r="AD1308" t="s">
        <v>40</v>
      </c>
      <c r="AE1308" t="s">
        <v>69</v>
      </c>
      <c r="AF1308" t="s">
        <v>40</v>
      </c>
      <c r="AG1308">
        <v>0</v>
      </c>
      <c r="AH1308" t="s">
        <v>49</v>
      </c>
    </row>
    <row r="1309" spans="1:34" x14ac:dyDescent="0.3">
      <c r="A1309" t="s">
        <v>1984</v>
      </c>
      <c r="B1309" t="s">
        <v>1375</v>
      </c>
      <c r="C1309" t="s">
        <v>89</v>
      </c>
      <c r="D1309" t="s">
        <v>90</v>
      </c>
      <c r="E1309" s="1">
        <v>45946</v>
      </c>
      <c r="F1309" s="1">
        <v>45947</v>
      </c>
      <c r="G1309" t="s">
        <v>41</v>
      </c>
      <c r="H1309">
        <v>7515</v>
      </c>
      <c r="I1309" t="s">
        <v>39</v>
      </c>
      <c r="J1309" t="b">
        <v>0</v>
      </c>
      <c r="K1309">
        <v>1</v>
      </c>
      <c r="L1309">
        <v>10</v>
      </c>
      <c r="M1309">
        <v>2025</v>
      </c>
      <c r="N1309">
        <v>4</v>
      </c>
      <c r="O1309">
        <v>10</v>
      </c>
      <c r="P1309">
        <v>2025</v>
      </c>
      <c r="Q1309">
        <v>3</v>
      </c>
      <c r="R1309" t="s">
        <v>40</v>
      </c>
      <c r="S1309" t="s">
        <v>55</v>
      </c>
      <c r="T1309" t="s">
        <v>42</v>
      </c>
      <c r="U1309" t="s">
        <v>40</v>
      </c>
      <c r="V1309" t="s">
        <v>91</v>
      </c>
      <c r="W1309" t="s">
        <v>92</v>
      </c>
      <c r="X1309" t="s">
        <v>76</v>
      </c>
      <c r="Y1309">
        <v>65</v>
      </c>
      <c r="Z1309" t="s">
        <v>93</v>
      </c>
      <c r="AA1309" t="s">
        <v>94</v>
      </c>
      <c r="AB1309" s="1">
        <v>45947</v>
      </c>
      <c r="AC1309" t="s">
        <v>40</v>
      </c>
      <c r="AD1309" t="s">
        <v>40</v>
      </c>
      <c r="AE1309" t="s">
        <v>60</v>
      </c>
      <c r="AF1309" t="s">
        <v>40</v>
      </c>
      <c r="AG1309">
        <v>0</v>
      </c>
      <c r="AH1309" t="s">
        <v>100</v>
      </c>
    </row>
    <row r="1310" spans="1:34" x14ac:dyDescent="0.3">
      <c r="A1310" t="s">
        <v>1985</v>
      </c>
      <c r="B1310" t="s">
        <v>391</v>
      </c>
      <c r="C1310" t="s">
        <v>122</v>
      </c>
      <c r="D1310" t="s">
        <v>130</v>
      </c>
      <c r="E1310" s="1">
        <v>46193</v>
      </c>
      <c r="F1310" s="1">
        <v>46223</v>
      </c>
      <c r="G1310" t="s">
        <v>81</v>
      </c>
      <c r="H1310">
        <v>10021</v>
      </c>
      <c r="I1310" t="s">
        <v>39</v>
      </c>
      <c r="J1310" t="b">
        <v>0</v>
      </c>
      <c r="K1310">
        <v>30</v>
      </c>
      <c r="L1310">
        <v>7</v>
      </c>
      <c r="M1310">
        <v>2026</v>
      </c>
      <c r="N1310">
        <v>0</v>
      </c>
      <c r="O1310">
        <v>6</v>
      </c>
      <c r="P1310">
        <v>2026</v>
      </c>
      <c r="Q1310">
        <v>5</v>
      </c>
      <c r="R1310" t="s">
        <v>40</v>
      </c>
      <c r="S1310" t="s">
        <v>55</v>
      </c>
      <c r="T1310" t="s">
        <v>42</v>
      </c>
      <c r="U1310" t="s">
        <v>40</v>
      </c>
      <c r="V1310" t="s">
        <v>124</v>
      </c>
      <c r="W1310" t="s">
        <v>125</v>
      </c>
      <c r="X1310" t="s">
        <v>126</v>
      </c>
      <c r="Y1310">
        <v>85</v>
      </c>
      <c r="Z1310" t="s">
        <v>133</v>
      </c>
      <c r="AA1310" t="s">
        <v>134</v>
      </c>
      <c r="AB1310" s="1">
        <v>46223</v>
      </c>
      <c r="AC1310" t="s">
        <v>40</v>
      </c>
      <c r="AD1310" t="s">
        <v>40</v>
      </c>
      <c r="AE1310" t="s">
        <v>86</v>
      </c>
      <c r="AF1310" t="s">
        <v>40</v>
      </c>
      <c r="AG1310">
        <v>0</v>
      </c>
      <c r="AH1310" t="s">
        <v>70</v>
      </c>
    </row>
    <row r="1311" spans="1:34" x14ac:dyDescent="0.3">
      <c r="A1311" t="s">
        <v>1986</v>
      </c>
      <c r="B1311" t="s">
        <v>1280</v>
      </c>
      <c r="C1311" t="s">
        <v>89</v>
      </c>
      <c r="D1311" t="s">
        <v>80</v>
      </c>
      <c r="E1311" s="1">
        <v>46236</v>
      </c>
      <c r="F1311" s="1">
        <v>46266</v>
      </c>
      <c r="G1311" t="s">
        <v>38</v>
      </c>
      <c r="H1311">
        <v>5380</v>
      </c>
      <c r="I1311" t="s">
        <v>39</v>
      </c>
      <c r="J1311" t="b">
        <v>0</v>
      </c>
      <c r="K1311">
        <v>30</v>
      </c>
      <c r="L1311">
        <v>9</v>
      </c>
      <c r="M1311">
        <v>2026</v>
      </c>
      <c r="N1311">
        <v>1</v>
      </c>
      <c r="O1311">
        <v>8</v>
      </c>
      <c r="P1311">
        <v>2026</v>
      </c>
      <c r="Q1311">
        <v>6</v>
      </c>
      <c r="R1311" t="s">
        <v>40</v>
      </c>
      <c r="S1311" t="s">
        <v>55</v>
      </c>
      <c r="T1311" t="s">
        <v>42</v>
      </c>
      <c r="U1311" t="s">
        <v>40</v>
      </c>
      <c r="V1311" t="s">
        <v>91</v>
      </c>
      <c r="W1311" t="s">
        <v>92</v>
      </c>
      <c r="X1311" t="s">
        <v>76</v>
      </c>
      <c r="Y1311">
        <v>65</v>
      </c>
      <c r="Z1311" t="s">
        <v>84</v>
      </c>
      <c r="AA1311" t="s">
        <v>85</v>
      </c>
      <c r="AB1311" s="1">
        <v>46266</v>
      </c>
      <c r="AC1311" t="s">
        <v>40</v>
      </c>
      <c r="AD1311" t="s">
        <v>40</v>
      </c>
      <c r="AE1311" t="s">
        <v>60</v>
      </c>
      <c r="AF1311" t="s">
        <v>40</v>
      </c>
      <c r="AG1311">
        <v>0</v>
      </c>
      <c r="AH1311" t="s">
        <v>70</v>
      </c>
    </row>
    <row r="1312" spans="1:34" x14ac:dyDescent="0.3">
      <c r="A1312" t="s">
        <v>1987</v>
      </c>
      <c r="B1312" t="s">
        <v>1988</v>
      </c>
      <c r="C1312" t="s">
        <v>36</v>
      </c>
      <c r="D1312" t="s">
        <v>104</v>
      </c>
      <c r="E1312" s="1">
        <v>46199</v>
      </c>
      <c r="F1312" s="1">
        <v>46419</v>
      </c>
      <c r="G1312" t="s">
        <v>41</v>
      </c>
      <c r="H1312">
        <v>6519</v>
      </c>
      <c r="I1312" t="s">
        <v>39</v>
      </c>
      <c r="J1312" t="b">
        <v>0</v>
      </c>
      <c r="K1312">
        <v>220</v>
      </c>
      <c r="L1312">
        <v>2</v>
      </c>
      <c r="M1312">
        <v>2027</v>
      </c>
      <c r="N1312">
        <v>0</v>
      </c>
      <c r="O1312">
        <v>6</v>
      </c>
      <c r="P1312">
        <v>2026</v>
      </c>
      <c r="Q1312">
        <v>4</v>
      </c>
      <c r="R1312" t="s">
        <v>40</v>
      </c>
      <c r="S1312" t="s">
        <v>55</v>
      </c>
      <c r="T1312" t="s">
        <v>42</v>
      </c>
      <c r="U1312" t="s">
        <v>40</v>
      </c>
      <c r="V1312" t="s">
        <v>43</v>
      </c>
      <c r="W1312" t="s">
        <v>44</v>
      </c>
      <c r="X1312" t="s">
        <v>45</v>
      </c>
      <c r="Y1312">
        <v>150</v>
      </c>
      <c r="Z1312" t="s">
        <v>107</v>
      </c>
      <c r="AA1312" t="s">
        <v>108</v>
      </c>
      <c r="AB1312" s="1"/>
      <c r="AC1312" t="s">
        <v>48</v>
      </c>
      <c r="AD1312" t="s">
        <v>48</v>
      </c>
      <c r="AE1312" t="s">
        <v>48</v>
      </c>
      <c r="AF1312" t="s">
        <v>48</v>
      </c>
      <c r="AG1312">
        <v>0</v>
      </c>
      <c r="AH1312" t="s">
        <v>142</v>
      </c>
    </row>
    <row r="1313" spans="1:34" x14ac:dyDescent="0.3">
      <c r="A1313" t="s">
        <v>1989</v>
      </c>
      <c r="B1313" t="s">
        <v>920</v>
      </c>
      <c r="C1313" t="s">
        <v>155</v>
      </c>
      <c r="D1313" t="s">
        <v>104</v>
      </c>
      <c r="E1313" s="1">
        <v>46044</v>
      </c>
      <c r="F1313" s="1">
        <v>46045</v>
      </c>
      <c r="G1313" t="s">
        <v>38</v>
      </c>
      <c r="H1313">
        <v>3856</v>
      </c>
      <c r="I1313" t="s">
        <v>39</v>
      </c>
      <c r="J1313" t="b">
        <v>0</v>
      </c>
      <c r="K1313">
        <v>1</v>
      </c>
      <c r="L1313">
        <v>1</v>
      </c>
      <c r="M1313">
        <v>2026</v>
      </c>
      <c r="N1313">
        <v>4</v>
      </c>
      <c r="O1313">
        <v>1</v>
      </c>
      <c r="P1313">
        <v>2026</v>
      </c>
      <c r="Q1313">
        <v>3</v>
      </c>
      <c r="R1313" t="s">
        <v>40</v>
      </c>
      <c r="S1313" t="s">
        <v>55</v>
      </c>
      <c r="T1313" t="s">
        <v>42</v>
      </c>
      <c r="U1313" t="s">
        <v>40</v>
      </c>
      <c r="V1313" t="s">
        <v>156</v>
      </c>
      <c r="W1313" t="s">
        <v>157</v>
      </c>
      <c r="X1313" t="s">
        <v>158</v>
      </c>
      <c r="Y1313">
        <v>70</v>
      </c>
      <c r="Z1313" t="s">
        <v>107</v>
      </c>
      <c r="AA1313" t="s">
        <v>108</v>
      </c>
      <c r="AB1313" s="1">
        <v>46045</v>
      </c>
      <c r="AC1313" t="s">
        <v>40</v>
      </c>
      <c r="AD1313" t="s">
        <v>40</v>
      </c>
      <c r="AE1313" t="s">
        <v>86</v>
      </c>
      <c r="AF1313" t="s">
        <v>40</v>
      </c>
      <c r="AG1313">
        <v>0</v>
      </c>
      <c r="AH1313" t="s">
        <v>100</v>
      </c>
    </row>
    <row r="1314" spans="1:34" x14ac:dyDescent="0.3">
      <c r="A1314" t="s">
        <v>1990</v>
      </c>
      <c r="B1314" t="s">
        <v>809</v>
      </c>
      <c r="C1314" t="s">
        <v>146</v>
      </c>
      <c r="D1314" t="s">
        <v>80</v>
      </c>
      <c r="E1314" s="1">
        <v>46230</v>
      </c>
      <c r="F1314" s="1">
        <v>46330</v>
      </c>
      <c r="G1314" t="s">
        <v>38</v>
      </c>
      <c r="H1314">
        <v>4739</v>
      </c>
      <c r="I1314" t="s">
        <v>212</v>
      </c>
      <c r="J1314" t="b">
        <v>0</v>
      </c>
      <c r="K1314">
        <v>100</v>
      </c>
      <c r="L1314">
        <v>11</v>
      </c>
      <c r="M1314">
        <v>2026</v>
      </c>
      <c r="N1314">
        <v>2</v>
      </c>
      <c r="O1314">
        <v>7</v>
      </c>
      <c r="P1314">
        <v>2026</v>
      </c>
      <c r="Q1314">
        <v>0</v>
      </c>
      <c r="R1314" t="s">
        <v>40</v>
      </c>
      <c r="S1314" t="s">
        <v>67</v>
      </c>
      <c r="T1314" t="s">
        <v>42</v>
      </c>
      <c r="U1314" t="s">
        <v>40</v>
      </c>
      <c r="V1314" t="s">
        <v>147</v>
      </c>
      <c r="W1314" t="s">
        <v>148</v>
      </c>
      <c r="X1314" t="s">
        <v>45</v>
      </c>
      <c r="Y1314">
        <v>160</v>
      </c>
      <c r="Z1314" t="s">
        <v>84</v>
      </c>
      <c r="AA1314" t="s">
        <v>85</v>
      </c>
      <c r="AB1314" s="1">
        <v>46330</v>
      </c>
      <c r="AC1314" t="s">
        <v>40</v>
      </c>
      <c r="AD1314" t="s">
        <v>40</v>
      </c>
      <c r="AE1314" t="s">
        <v>86</v>
      </c>
      <c r="AF1314" t="s">
        <v>40</v>
      </c>
      <c r="AG1314">
        <v>0</v>
      </c>
      <c r="AH1314" t="s">
        <v>49</v>
      </c>
    </row>
    <row r="1315" spans="1:34" x14ac:dyDescent="0.3">
      <c r="A1315" t="s">
        <v>1991</v>
      </c>
      <c r="B1315" t="s">
        <v>1992</v>
      </c>
      <c r="C1315" t="s">
        <v>79</v>
      </c>
      <c r="D1315" t="s">
        <v>90</v>
      </c>
      <c r="E1315" s="1">
        <v>45732</v>
      </c>
      <c r="F1315" s="1">
        <v>45792</v>
      </c>
      <c r="G1315" t="s">
        <v>81</v>
      </c>
      <c r="H1315">
        <v>7464</v>
      </c>
      <c r="I1315" t="s">
        <v>39</v>
      </c>
      <c r="J1315" t="b">
        <v>0</v>
      </c>
      <c r="K1315">
        <v>60</v>
      </c>
      <c r="L1315">
        <v>5</v>
      </c>
      <c r="M1315">
        <v>2025</v>
      </c>
      <c r="N1315">
        <v>3</v>
      </c>
      <c r="O1315">
        <v>3</v>
      </c>
      <c r="P1315">
        <v>2025</v>
      </c>
      <c r="Q1315">
        <v>6</v>
      </c>
      <c r="R1315" t="s">
        <v>40</v>
      </c>
      <c r="S1315" t="s">
        <v>67</v>
      </c>
      <c r="T1315" t="s">
        <v>42</v>
      </c>
      <c r="U1315" t="s">
        <v>40</v>
      </c>
      <c r="V1315" t="s">
        <v>82</v>
      </c>
      <c r="W1315" t="s">
        <v>83</v>
      </c>
      <c r="X1315" t="s">
        <v>76</v>
      </c>
      <c r="Y1315">
        <v>100</v>
      </c>
      <c r="Z1315" t="s">
        <v>93</v>
      </c>
      <c r="AA1315" t="s">
        <v>94</v>
      </c>
      <c r="AB1315" s="1">
        <v>45792</v>
      </c>
      <c r="AC1315" t="s">
        <v>40</v>
      </c>
      <c r="AD1315" t="s">
        <v>40</v>
      </c>
      <c r="AE1315" t="s">
        <v>69</v>
      </c>
      <c r="AF1315" t="s">
        <v>40</v>
      </c>
      <c r="AG1315">
        <v>0</v>
      </c>
      <c r="AH1315" t="s">
        <v>61</v>
      </c>
    </row>
    <row r="1316" spans="1:34" x14ac:dyDescent="0.3">
      <c r="A1316" t="s">
        <v>1993</v>
      </c>
      <c r="B1316" t="s">
        <v>203</v>
      </c>
      <c r="C1316" t="s">
        <v>122</v>
      </c>
      <c r="D1316" t="s">
        <v>53</v>
      </c>
      <c r="E1316" s="1">
        <v>46052</v>
      </c>
      <c r="F1316" s="1">
        <v>46082</v>
      </c>
      <c r="G1316" t="s">
        <v>64</v>
      </c>
      <c r="H1316">
        <v>3309</v>
      </c>
      <c r="I1316" t="s">
        <v>39</v>
      </c>
      <c r="J1316" t="b">
        <v>0</v>
      </c>
      <c r="K1316">
        <v>30</v>
      </c>
      <c r="L1316">
        <v>3</v>
      </c>
      <c r="M1316">
        <v>2026</v>
      </c>
      <c r="N1316">
        <v>6</v>
      </c>
      <c r="O1316">
        <v>1</v>
      </c>
      <c r="P1316">
        <v>2026</v>
      </c>
      <c r="Q1316">
        <v>4</v>
      </c>
      <c r="R1316" t="s">
        <v>66</v>
      </c>
      <c r="S1316" t="s">
        <v>41</v>
      </c>
      <c r="T1316" t="s">
        <v>42</v>
      </c>
      <c r="U1316" t="s">
        <v>66</v>
      </c>
      <c r="V1316" t="s">
        <v>124</v>
      </c>
      <c r="W1316" t="s">
        <v>125</v>
      </c>
      <c r="X1316" t="s">
        <v>126</v>
      </c>
      <c r="Y1316">
        <v>85</v>
      </c>
      <c r="Z1316" t="s">
        <v>58</v>
      </c>
      <c r="AA1316" t="s">
        <v>59</v>
      </c>
      <c r="AB1316" s="1">
        <v>46082</v>
      </c>
      <c r="AC1316" t="s">
        <v>66</v>
      </c>
      <c r="AD1316" t="s">
        <v>40</v>
      </c>
      <c r="AE1316" t="s">
        <v>60</v>
      </c>
      <c r="AF1316" t="s">
        <v>40</v>
      </c>
      <c r="AG1316">
        <v>0</v>
      </c>
      <c r="AH1316" t="s">
        <v>70</v>
      </c>
    </row>
    <row r="1317" spans="1:34" x14ac:dyDescent="0.3">
      <c r="A1317" t="s">
        <v>1994</v>
      </c>
      <c r="B1317" t="s">
        <v>203</v>
      </c>
      <c r="C1317" t="s">
        <v>103</v>
      </c>
      <c r="D1317" t="s">
        <v>53</v>
      </c>
      <c r="E1317" s="1">
        <v>45839</v>
      </c>
      <c r="F1317" s="1">
        <v>45842</v>
      </c>
      <c r="G1317" t="s">
        <v>41</v>
      </c>
      <c r="H1317">
        <v>6840</v>
      </c>
      <c r="I1317" t="s">
        <v>212</v>
      </c>
      <c r="J1317" t="b">
        <v>0</v>
      </c>
      <c r="K1317">
        <v>3</v>
      </c>
      <c r="L1317">
        <v>7</v>
      </c>
      <c r="M1317">
        <v>2025</v>
      </c>
      <c r="N1317">
        <v>4</v>
      </c>
      <c r="O1317">
        <v>7</v>
      </c>
      <c r="P1317">
        <v>2025</v>
      </c>
      <c r="Q1317">
        <v>1</v>
      </c>
      <c r="R1317" t="s">
        <v>40</v>
      </c>
      <c r="S1317" t="s">
        <v>41</v>
      </c>
      <c r="T1317" t="s">
        <v>42</v>
      </c>
      <c r="U1317" t="s">
        <v>66</v>
      </c>
      <c r="V1317" t="s">
        <v>105</v>
      </c>
      <c r="W1317" t="s">
        <v>106</v>
      </c>
      <c r="X1317" t="s">
        <v>45</v>
      </c>
      <c r="Y1317">
        <v>140</v>
      </c>
      <c r="Z1317" t="s">
        <v>58</v>
      </c>
      <c r="AA1317" t="s">
        <v>59</v>
      </c>
      <c r="AB1317" s="1">
        <v>45842</v>
      </c>
      <c r="AC1317" t="s">
        <v>40</v>
      </c>
      <c r="AD1317" t="s">
        <v>40</v>
      </c>
      <c r="AE1317" t="s">
        <v>86</v>
      </c>
      <c r="AF1317" t="s">
        <v>40</v>
      </c>
      <c r="AG1317">
        <v>0</v>
      </c>
      <c r="AH1317" t="s">
        <v>100</v>
      </c>
    </row>
    <row r="1318" spans="1:34" x14ac:dyDescent="0.3">
      <c r="A1318" t="s">
        <v>1995</v>
      </c>
      <c r="B1318" t="s">
        <v>1923</v>
      </c>
      <c r="C1318" t="s">
        <v>89</v>
      </c>
      <c r="D1318" t="s">
        <v>37</v>
      </c>
      <c r="E1318" s="1">
        <v>46033</v>
      </c>
      <c r="F1318" s="1">
        <v>46040</v>
      </c>
      <c r="G1318" t="s">
        <v>38</v>
      </c>
      <c r="H1318">
        <v>5767</v>
      </c>
      <c r="I1318" t="s">
        <v>65</v>
      </c>
      <c r="J1318" t="b">
        <v>0</v>
      </c>
      <c r="K1318">
        <v>7</v>
      </c>
      <c r="L1318">
        <v>1</v>
      </c>
      <c r="M1318">
        <v>2026</v>
      </c>
      <c r="N1318">
        <v>6</v>
      </c>
      <c r="O1318">
        <v>1</v>
      </c>
      <c r="P1318">
        <v>2026</v>
      </c>
      <c r="Q1318">
        <v>6</v>
      </c>
      <c r="R1318" t="s">
        <v>66</v>
      </c>
      <c r="S1318" t="s">
        <v>45</v>
      </c>
      <c r="T1318" t="s">
        <v>42</v>
      </c>
      <c r="U1318" t="s">
        <v>66</v>
      </c>
      <c r="V1318" t="s">
        <v>91</v>
      </c>
      <c r="W1318" t="s">
        <v>92</v>
      </c>
      <c r="X1318" t="s">
        <v>76</v>
      </c>
      <c r="Y1318">
        <v>65</v>
      </c>
      <c r="Z1318" t="s">
        <v>46</v>
      </c>
      <c r="AA1318" t="s">
        <v>47</v>
      </c>
      <c r="AB1318" s="1">
        <v>46040</v>
      </c>
      <c r="AC1318" t="s">
        <v>66</v>
      </c>
      <c r="AD1318" t="s">
        <v>40</v>
      </c>
      <c r="AE1318" t="s">
        <v>86</v>
      </c>
      <c r="AF1318" t="s">
        <v>40</v>
      </c>
      <c r="AG1318">
        <v>0</v>
      </c>
      <c r="AH1318" t="s">
        <v>100</v>
      </c>
    </row>
    <row r="1319" spans="1:34" x14ac:dyDescent="0.3">
      <c r="A1319" t="s">
        <v>1996</v>
      </c>
      <c r="B1319" t="s">
        <v>309</v>
      </c>
      <c r="C1319" t="s">
        <v>103</v>
      </c>
      <c r="D1319" t="s">
        <v>80</v>
      </c>
      <c r="E1319" s="1">
        <v>45787</v>
      </c>
      <c r="F1319" s="1">
        <v>45788</v>
      </c>
      <c r="G1319" t="s">
        <v>38</v>
      </c>
      <c r="H1319">
        <v>29892</v>
      </c>
      <c r="I1319" t="s">
        <v>54</v>
      </c>
      <c r="J1319" t="b">
        <v>1</v>
      </c>
      <c r="K1319">
        <v>1</v>
      </c>
      <c r="L1319">
        <v>5</v>
      </c>
      <c r="M1319">
        <v>2025</v>
      </c>
      <c r="N1319">
        <v>6</v>
      </c>
      <c r="O1319">
        <v>5</v>
      </c>
      <c r="P1319">
        <v>2025</v>
      </c>
      <c r="Q1319">
        <v>5</v>
      </c>
      <c r="R1319" t="s">
        <v>66</v>
      </c>
      <c r="S1319" t="s">
        <v>55</v>
      </c>
      <c r="T1319" t="s">
        <v>42</v>
      </c>
      <c r="U1319" t="s">
        <v>66</v>
      </c>
      <c r="V1319" t="s">
        <v>105</v>
      </c>
      <c r="W1319" t="s">
        <v>106</v>
      </c>
      <c r="X1319" t="s">
        <v>45</v>
      </c>
      <c r="Y1319">
        <v>140</v>
      </c>
      <c r="Z1319" t="s">
        <v>84</v>
      </c>
      <c r="AA1319" t="s">
        <v>85</v>
      </c>
      <c r="AB1319" s="1">
        <v>45788</v>
      </c>
      <c r="AC1319" t="s">
        <v>66</v>
      </c>
      <c r="AD1319" t="s">
        <v>40</v>
      </c>
      <c r="AE1319" t="s">
        <v>69</v>
      </c>
      <c r="AF1319" t="s">
        <v>40</v>
      </c>
      <c r="AG1319">
        <v>1</v>
      </c>
      <c r="AH1319" t="s">
        <v>100</v>
      </c>
    </row>
    <row r="1320" spans="1:34" x14ac:dyDescent="0.3">
      <c r="A1320" t="s">
        <v>1997</v>
      </c>
      <c r="B1320" t="s">
        <v>591</v>
      </c>
      <c r="C1320" t="s">
        <v>36</v>
      </c>
      <c r="D1320" t="s">
        <v>37</v>
      </c>
      <c r="E1320" s="1">
        <v>46066</v>
      </c>
      <c r="F1320" s="1">
        <v>46073</v>
      </c>
      <c r="G1320" t="s">
        <v>81</v>
      </c>
      <c r="H1320">
        <v>10263</v>
      </c>
      <c r="I1320" t="s">
        <v>65</v>
      </c>
      <c r="J1320" t="b">
        <v>0</v>
      </c>
      <c r="K1320">
        <v>7</v>
      </c>
      <c r="L1320">
        <v>2</v>
      </c>
      <c r="M1320">
        <v>2026</v>
      </c>
      <c r="N1320">
        <v>4</v>
      </c>
      <c r="O1320">
        <v>2</v>
      </c>
      <c r="P1320">
        <v>2026</v>
      </c>
      <c r="Q1320">
        <v>4</v>
      </c>
      <c r="R1320" t="s">
        <v>40</v>
      </c>
      <c r="S1320" t="s">
        <v>67</v>
      </c>
      <c r="T1320" t="s">
        <v>42</v>
      </c>
      <c r="U1320" t="s">
        <v>40</v>
      </c>
      <c r="V1320" t="s">
        <v>43</v>
      </c>
      <c r="W1320" t="s">
        <v>44</v>
      </c>
      <c r="X1320" t="s">
        <v>45</v>
      </c>
      <c r="Y1320">
        <v>150</v>
      </c>
      <c r="Z1320" t="s">
        <v>46</v>
      </c>
      <c r="AA1320" t="s">
        <v>47</v>
      </c>
      <c r="AB1320" s="1">
        <v>46073</v>
      </c>
      <c r="AC1320" t="s">
        <v>40</v>
      </c>
      <c r="AD1320" t="s">
        <v>40</v>
      </c>
      <c r="AE1320" t="s">
        <v>60</v>
      </c>
      <c r="AF1320" t="s">
        <v>40</v>
      </c>
      <c r="AG1320">
        <v>0</v>
      </c>
      <c r="AH1320" t="s">
        <v>100</v>
      </c>
    </row>
    <row r="1321" spans="1:34" x14ac:dyDescent="0.3">
      <c r="A1321" t="s">
        <v>1998</v>
      </c>
      <c r="B1321" t="s">
        <v>780</v>
      </c>
      <c r="C1321" t="s">
        <v>97</v>
      </c>
      <c r="D1321" t="s">
        <v>80</v>
      </c>
      <c r="E1321" s="1">
        <v>45824</v>
      </c>
      <c r="F1321" s="1">
        <v>45974</v>
      </c>
      <c r="G1321" t="s">
        <v>81</v>
      </c>
      <c r="H1321">
        <v>7228</v>
      </c>
      <c r="I1321" t="s">
        <v>65</v>
      </c>
      <c r="J1321" t="b">
        <v>0</v>
      </c>
      <c r="K1321">
        <v>150</v>
      </c>
      <c r="L1321">
        <v>11</v>
      </c>
      <c r="M1321">
        <v>2025</v>
      </c>
      <c r="N1321">
        <v>3</v>
      </c>
      <c r="O1321">
        <v>6</v>
      </c>
      <c r="P1321">
        <v>2025</v>
      </c>
      <c r="Q1321">
        <v>0</v>
      </c>
      <c r="R1321" t="s">
        <v>40</v>
      </c>
      <c r="S1321" t="s">
        <v>41</v>
      </c>
      <c r="T1321" t="s">
        <v>42</v>
      </c>
      <c r="U1321" t="s">
        <v>40</v>
      </c>
      <c r="V1321" t="s">
        <v>98</v>
      </c>
      <c r="W1321" t="s">
        <v>99</v>
      </c>
      <c r="X1321" t="s">
        <v>76</v>
      </c>
      <c r="Y1321">
        <v>80</v>
      </c>
      <c r="Z1321" t="s">
        <v>84</v>
      </c>
      <c r="AA1321" t="s">
        <v>85</v>
      </c>
      <c r="AB1321" s="1">
        <v>45974</v>
      </c>
      <c r="AC1321" t="s">
        <v>40</v>
      </c>
      <c r="AD1321" t="s">
        <v>40</v>
      </c>
      <c r="AE1321" t="s">
        <v>86</v>
      </c>
      <c r="AF1321" t="s">
        <v>40</v>
      </c>
      <c r="AG1321">
        <v>0</v>
      </c>
      <c r="AH1321" t="s">
        <v>49</v>
      </c>
    </row>
    <row r="1322" spans="1:34" x14ac:dyDescent="0.3">
      <c r="A1322" t="s">
        <v>1999</v>
      </c>
      <c r="B1322" t="s">
        <v>1921</v>
      </c>
      <c r="C1322" t="s">
        <v>97</v>
      </c>
      <c r="D1322" t="s">
        <v>37</v>
      </c>
      <c r="E1322" s="1">
        <v>45926</v>
      </c>
      <c r="F1322" s="1">
        <v>45986</v>
      </c>
      <c r="G1322" t="s">
        <v>38</v>
      </c>
      <c r="H1322">
        <v>5219</v>
      </c>
      <c r="I1322" t="s">
        <v>65</v>
      </c>
      <c r="J1322" t="b">
        <v>0</v>
      </c>
      <c r="K1322">
        <v>60</v>
      </c>
      <c r="L1322">
        <v>11</v>
      </c>
      <c r="M1322">
        <v>2025</v>
      </c>
      <c r="N1322">
        <v>1</v>
      </c>
      <c r="O1322">
        <v>9</v>
      </c>
      <c r="P1322">
        <v>2025</v>
      </c>
      <c r="Q1322">
        <v>4</v>
      </c>
      <c r="R1322" t="s">
        <v>40</v>
      </c>
      <c r="S1322" t="s">
        <v>55</v>
      </c>
      <c r="T1322" t="s">
        <v>42</v>
      </c>
      <c r="U1322" t="s">
        <v>40</v>
      </c>
      <c r="V1322" t="s">
        <v>98</v>
      </c>
      <c r="W1322" t="s">
        <v>99</v>
      </c>
      <c r="X1322" t="s">
        <v>76</v>
      </c>
      <c r="Y1322">
        <v>80</v>
      </c>
      <c r="Z1322" t="s">
        <v>46</v>
      </c>
      <c r="AA1322" t="s">
        <v>47</v>
      </c>
      <c r="AB1322" s="1">
        <v>45986</v>
      </c>
      <c r="AC1322" t="s">
        <v>40</v>
      </c>
      <c r="AD1322" t="s">
        <v>40</v>
      </c>
      <c r="AE1322" t="s">
        <v>86</v>
      </c>
      <c r="AF1322" t="s">
        <v>40</v>
      </c>
      <c r="AG1322">
        <v>0</v>
      </c>
      <c r="AH1322" t="s">
        <v>61</v>
      </c>
    </row>
    <row r="1323" spans="1:34" x14ac:dyDescent="0.3">
      <c r="A1323" t="s">
        <v>2000</v>
      </c>
      <c r="B1323" t="s">
        <v>1003</v>
      </c>
      <c r="C1323" t="s">
        <v>52</v>
      </c>
      <c r="D1323" t="s">
        <v>104</v>
      </c>
      <c r="E1323" s="1">
        <v>45725</v>
      </c>
      <c r="F1323" s="1">
        <v>45726</v>
      </c>
      <c r="G1323" t="s">
        <v>81</v>
      </c>
      <c r="H1323">
        <v>7249</v>
      </c>
      <c r="I1323" t="s">
        <v>39</v>
      </c>
      <c r="J1323" t="b">
        <v>0</v>
      </c>
      <c r="K1323">
        <v>1</v>
      </c>
      <c r="L1323">
        <v>3</v>
      </c>
      <c r="M1323">
        <v>2025</v>
      </c>
      <c r="N1323">
        <v>0</v>
      </c>
      <c r="O1323">
        <v>3</v>
      </c>
      <c r="P1323">
        <v>2025</v>
      </c>
      <c r="Q1323">
        <v>6</v>
      </c>
      <c r="R1323" t="s">
        <v>40</v>
      </c>
      <c r="S1323" t="s">
        <v>41</v>
      </c>
      <c r="T1323" t="s">
        <v>42</v>
      </c>
      <c r="U1323" t="s">
        <v>66</v>
      </c>
      <c r="V1323" t="s">
        <v>56</v>
      </c>
      <c r="W1323" t="s">
        <v>57</v>
      </c>
      <c r="X1323" t="s">
        <v>45</v>
      </c>
      <c r="Y1323">
        <v>120</v>
      </c>
      <c r="Z1323" t="s">
        <v>107</v>
      </c>
      <c r="AA1323" t="s">
        <v>108</v>
      </c>
      <c r="AB1323" s="1">
        <v>45726</v>
      </c>
      <c r="AC1323" t="s">
        <v>40</v>
      </c>
      <c r="AD1323" t="s">
        <v>40</v>
      </c>
      <c r="AE1323" t="s">
        <v>60</v>
      </c>
      <c r="AF1323" t="s">
        <v>40</v>
      </c>
      <c r="AG1323">
        <v>0</v>
      </c>
      <c r="AH1323" t="s">
        <v>100</v>
      </c>
    </row>
    <row r="1324" spans="1:34" x14ac:dyDescent="0.3">
      <c r="A1324" t="s">
        <v>2001</v>
      </c>
      <c r="B1324" t="s">
        <v>1080</v>
      </c>
      <c r="C1324" t="s">
        <v>36</v>
      </c>
      <c r="D1324" t="s">
        <v>37</v>
      </c>
      <c r="E1324" s="1">
        <v>45746</v>
      </c>
      <c r="F1324" s="1">
        <v>45753</v>
      </c>
      <c r="G1324" t="s">
        <v>41</v>
      </c>
      <c r="H1324">
        <v>5931</v>
      </c>
      <c r="I1324" t="s">
        <v>39</v>
      </c>
      <c r="J1324" t="b">
        <v>0</v>
      </c>
      <c r="K1324">
        <v>7</v>
      </c>
      <c r="L1324">
        <v>4</v>
      </c>
      <c r="M1324">
        <v>2025</v>
      </c>
      <c r="N1324">
        <v>6</v>
      </c>
      <c r="O1324">
        <v>3</v>
      </c>
      <c r="P1324">
        <v>2025</v>
      </c>
      <c r="Q1324">
        <v>6</v>
      </c>
      <c r="R1324" t="s">
        <v>66</v>
      </c>
      <c r="S1324" t="s">
        <v>67</v>
      </c>
      <c r="T1324" t="s">
        <v>42</v>
      </c>
      <c r="U1324" t="s">
        <v>40</v>
      </c>
      <c r="V1324" t="s">
        <v>43</v>
      </c>
      <c r="W1324" t="s">
        <v>44</v>
      </c>
      <c r="X1324" t="s">
        <v>45</v>
      </c>
      <c r="Y1324">
        <v>150</v>
      </c>
      <c r="Z1324" t="s">
        <v>46</v>
      </c>
      <c r="AA1324" t="s">
        <v>47</v>
      </c>
      <c r="AB1324" s="1">
        <v>45753</v>
      </c>
      <c r="AC1324" t="s">
        <v>66</v>
      </c>
      <c r="AD1324" t="s">
        <v>40</v>
      </c>
      <c r="AE1324" t="s">
        <v>69</v>
      </c>
      <c r="AF1324" t="s">
        <v>40</v>
      </c>
      <c r="AG1324">
        <v>0</v>
      </c>
      <c r="AH1324" t="s">
        <v>100</v>
      </c>
    </row>
    <row r="1325" spans="1:34" x14ac:dyDescent="0.3">
      <c r="A1325" t="s">
        <v>2002</v>
      </c>
      <c r="B1325" t="s">
        <v>542</v>
      </c>
      <c r="C1325" t="s">
        <v>97</v>
      </c>
      <c r="D1325" t="s">
        <v>90</v>
      </c>
      <c r="E1325" s="1">
        <v>45702</v>
      </c>
      <c r="F1325" s="1">
        <v>45703</v>
      </c>
      <c r="G1325" t="s">
        <v>64</v>
      </c>
      <c r="H1325">
        <v>3415</v>
      </c>
      <c r="I1325" t="s">
        <v>65</v>
      </c>
      <c r="J1325" t="b">
        <v>0</v>
      </c>
      <c r="K1325">
        <v>1</v>
      </c>
      <c r="L1325">
        <v>2</v>
      </c>
      <c r="M1325">
        <v>2025</v>
      </c>
      <c r="N1325">
        <v>5</v>
      </c>
      <c r="O1325">
        <v>2</v>
      </c>
      <c r="P1325">
        <v>2025</v>
      </c>
      <c r="Q1325">
        <v>4</v>
      </c>
      <c r="R1325" t="s">
        <v>66</v>
      </c>
      <c r="S1325" t="s">
        <v>55</v>
      </c>
      <c r="T1325" t="s">
        <v>42</v>
      </c>
      <c r="U1325" t="s">
        <v>40</v>
      </c>
      <c r="V1325" t="s">
        <v>98</v>
      </c>
      <c r="W1325" t="s">
        <v>99</v>
      </c>
      <c r="X1325" t="s">
        <v>76</v>
      </c>
      <c r="Y1325">
        <v>80</v>
      </c>
      <c r="Z1325" t="s">
        <v>93</v>
      </c>
      <c r="AA1325" t="s">
        <v>94</v>
      </c>
      <c r="AB1325" s="1">
        <v>45703</v>
      </c>
      <c r="AC1325" t="s">
        <v>66</v>
      </c>
      <c r="AD1325" t="s">
        <v>40</v>
      </c>
      <c r="AE1325" t="s">
        <v>60</v>
      </c>
      <c r="AF1325" t="s">
        <v>40</v>
      </c>
      <c r="AG1325">
        <v>0</v>
      </c>
      <c r="AH1325" t="s">
        <v>100</v>
      </c>
    </row>
    <row r="1326" spans="1:34" x14ac:dyDescent="0.3">
      <c r="A1326" t="s">
        <v>2003</v>
      </c>
      <c r="B1326" t="s">
        <v>2004</v>
      </c>
      <c r="C1326" t="s">
        <v>146</v>
      </c>
      <c r="D1326" t="s">
        <v>80</v>
      </c>
      <c r="E1326" s="1">
        <v>45977</v>
      </c>
      <c r="F1326" s="1">
        <v>46007</v>
      </c>
      <c r="G1326" t="s">
        <v>81</v>
      </c>
      <c r="H1326">
        <v>11148</v>
      </c>
      <c r="I1326" t="s">
        <v>39</v>
      </c>
      <c r="J1326" t="b">
        <v>0</v>
      </c>
      <c r="K1326">
        <v>30</v>
      </c>
      <c r="L1326">
        <v>12</v>
      </c>
      <c r="M1326">
        <v>2025</v>
      </c>
      <c r="N1326">
        <v>1</v>
      </c>
      <c r="O1326">
        <v>11</v>
      </c>
      <c r="P1326">
        <v>2025</v>
      </c>
      <c r="Q1326">
        <v>6</v>
      </c>
      <c r="R1326" t="s">
        <v>40</v>
      </c>
      <c r="S1326" t="s">
        <v>41</v>
      </c>
      <c r="T1326" t="s">
        <v>113</v>
      </c>
      <c r="U1326" t="s">
        <v>40</v>
      </c>
      <c r="V1326" t="s">
        <v>147</v>
      </c>
      <c r="W1326" t="s">
        <v>148</v>
      </c>
      <c r="X1326" t="s">
        <v>45</v>
      </c>
      <c r="Y1326">
        <v>160</v>
      </c>
      <c r="Z1326" t="s">
        <v>84</v>
      </c>
      <c r="AA1326" t="s">
        <v>85</v>
      </c>
      <c r="AB1326" s="1">
        <v>46007</v>
      </c>
      <c r="AC1326" t="s">
        <v>40</v>
      </c>
      <c r="AD1326" t="s">
        <v>40</v>
      </c>
      <c r="AE1326" t="s">
        <v>69</v>
      </c>
      <c r="AF1326" t="s">
        <v>40</v>
      </c>
      <c r="AG1326">
        <v>0</v>
      </c>
      <c r="AH1326" t="s">
        <v>70</v>
      </c>
    </row>
    <row r="1327" spans="1:34" x14ac:dyDescent="0.3">
      <c r="A1327" t="s">
        <v>2005</v>
      </c>
      <c r="B1327" t="s">
        <v>665</v>
      </c>
      <c r="C1327" t="s">
        <v>79</v>
      </c>
      <c r="D1327" t="s">
        <v>90</v>
      </c>
      <c r="E1327" s="1">
        <v>46267</v>
      </c>
      <c r="F1327" s="1">
        <v>46274</v>
      </c>
      <c r="G1327" t="s">
        <v>41</v>
      </c>
      <c r="H1327">
        <v>8248</v>
      </c>
      <c r="I1327" t="s">
        <v>212</v>
      </c>
      <c r="J1327" t="b">
        <v>0</v>
      </c>
      <c r="K1327">
        <v>7</v>
      </c>
      <c r="L1327">
        <v>9</v>
      </c>
      <c r="M1327">
        <v>2026</v>
      </c>
      <c r="N1327">
        <v>2</v>
      </c>
      <c r="O1327">
        <v>9</v>
      </c>
      <c r="P1327">
        <v>2026</v>
      </c>
      <c r="Q1327">
        <v>2</v>
      </c>
      <c r="R1327" t="s">
        <v>40</v>
      </c>
      <c r="S1327" t="s">
        <v>45</v>
      </c>
      <c r="T1327" t="s">
        <v>42</v>
      </c>
      <c r="U1327" t="s">
        <v>66</v>
      </c>
      <c r="V1327" t="s">
        <v>82</v>
      </c>
      <c r="W1327" t="s">
        <v>83</v>
      </c>
      <c r="X1327" t="s">
        <v>76</v>
      </c>
      <c r="Y1327">
        <v>100</v>
      </c>
      <c r="Z1327" t="s">
        <v>93</v>
      </c>
      <c r="AA1327" t="s">
        <v>94</v>
      </c>
      <c r="AB1327" s="1">
        <v>46274</v>
      </c>
      <c r="AC1327" t="s">
        <v>40</v>
      </c>
      <c r="AD1327" t="s">
        <v>40</v>
      </c>
      <c r="AE1327" t="s">
        <v>60</v>
      </c>
      <c r="AF1327" t="s">
        <v>40</v>
      </c>
      <c r="AG1327">
        <v>0</v>
      </c>
      <c r="AH1327" t="s">
        <v>100</v>
      </c>
    </row>
    <row r="1328" spans="1:34" x14ac:dyDescent="0.3">
      <c r="A1328" t="s">
        <v>2006</v>
      </c>
      <c r="B1328" t="s">
        <v>577</v>
      </c>
      <c r="C1328" t="s">
        <v>169</v>
      </c>
      <c r="D1328" t="s">
        <v>80</v>
      </c>
      <c r="E1328" s="1">
        <v>45742</v>
      </c>
      <c r="F1328" s="1">
        <v>45749</v>
      </c>
      <c r="G1328" t="s">
        <v>64</v>
      </c>
      <c r="H1328">
        <v>2728</v>
      </c>
      <c r="I1328" t="s">
        <v>39</v>
      </c>
      <c r="J1328" t="b">
        <v>0</v>
      </c>
      <c r="K1328">
        <v>7</v>
      </c>
      <c r="L1328">
        <v>4</v>
      </c>
      <c r="M1328">
        <v>2025</v>
      </c>
      <c r="N1328">
        <v>2</v>
      </c>
      <c r="O1328">
        <v>3</v>
      </c>
      <c r="P1328">
        <v>2025</v>
      </c>
      <c r="Q1328">
        <v>2</v>
      </c>
      <c r="R1328" t="s">
        <v>40</v>
      </c>
      <c r="S1328" t="s">
        <v>55</v>
      </c>
      <c r="T1328" t="s">
        <v>42</v>
      </c>
      <c r="U1328" t="s">
        <v>66</v>
      </c>
      <c r="V1328" t="s">
        <v>170</v>
      </c>
      <c r="W1328" t="s">
        <v>171</v>
      </c>
      <c r="X1328" t="s">
        <v>126</v>
      </c>
      <c r="Y1328">
        <v>90</v>
      </c>
      <c r="Z1328" t="s">
        <v>84</v>
      </c>
      <c r="AA1328" t="s">
        <v>85</v>
      </c>
      <c r="AB1328" s="1">
        <v>45749</v>
      </c>
      <c r="AC1328" t="s">
        <v>40</v>
      </c>
      <c r="AD1328" t="s">
        <v>40</v>
      </c>
      <c r="AE1328" t="s">
        <v>69</v>
      </c>
      <c r="AF1328" t="s">
        <v>40</v>
      </c>
      <c r="AG1328">
        <v>0</v>
      </c>
      <c r="AH1328" t="s">
        <v>100</v>
      </c>
    </row>
    <row r="1329" spans="1:34" x14ac:dyDescent="0.3">
      <c r="A1329" t="s">
        <v>2007</v>
      </c>
      <c r="B1329" t="s">
        <v>548</v>
      </c>
      <c r="C1329" t="s">
        <v>129</v>
      </c>
      <c r="D1329" t="s">
        <v>90</v>
      </c>
      <c r="E1329" s="1">
        <v>45728</v>
      </c>
      <c r="F1329" s="1">
        <v>45742</v>
      </c>
      <c r="G1329" t="s">
        <v>81</v>
      </c>
      <c r="H1329">
        <v>10086</v>
      </c>
      <c r="I1329" t="s">
        <v>39</v>
      </c>
      <c r="J1329" t="b">
        <v>0</v>
      </c>
      <c r="K1329">
        <v>14</v>
      </c>
      <c r="L1329">
        <v>3</v>
      </c>
      <c r="M1329">
        <v>2025</v>
      </c>
      <c r="N1329">
        <v>2</v>
      </c>
      <c r="O1329">
        <v>3</v>
      </c>
      <c r="P1329">
        <v>2025</v>
      </c>
      <c r="Q1329">
        <v>2</v>
      </c>
      <c r="R1329" t="s">
        <v>40</v>
      </c>
      <c r="S1329" t="s">
        <v>55</v>
      </c>
      <c r="T1329" t="s">
        <v>42</v>
      </c>
      <c r="U1329" t="s">
        <v>66</v>
      </c>
      <c r="V1329" t="s">
        <v>131</v>
      </c>
      <c r="W1329" t="s">
        <v>132</v>
      </c>
      <c r="X1329" t="s">
        <v>45</v>
      </c>
      <c r="Y1329">
        <v>110</v>
      </c>
      <c r="Z1329" t="s">
        <v>93</v>
      </c>
      <c r="AA1329" t="s">
        <v>94</v>
      </c>
      <c r="AB1329" s="1">
        <v>45742</v>
      </c>
      <c r="AC1329" t="s">
        <v>40</v>
      </c>
      <c r="AD1329" t="s">
        <v>40</v>
      </c>
      <c r="AE1329" t="s">
        <v>60</v>
      </c>
      <c r="AF1329" t="s">
        <v>40</v>
      </c>
      <c r="AG1329">
        <v>0</v>
      </c>
      <c r="AH1329" t="s">
        <v>70</v>
      </c>
    </row>
    <row r="1330" spans="1:34" x14ac:dyDescent="0.3">
      <c r="A1330" t="s">
        <v>2008</v>
      </c>
      <c r="B1330" t="s">
        <v>1314</v>
      </c>
      <c r="C1330" t="s">
        <v>103</v>
      </c>
      <c r="D1330" t="s">
        <v>80</v>
      </c>
      <c r="E1330" s="1">
        <v>45719</v>
      </c>
      <c r="F1330" s="1">
        <v>45733</v>
      </c>
      <c r="G1330" t="s">
        <v>81</v>
      </c>
      <c r="H1330">
        <v>10016</v>
      </c>
      <c r="I1330" t="s">
        <v>212</v>
      </c>
      <c r="J1330" t="b">
        <v>0</v>
      </c>
      <c r="K1330">
        <v>14</v>
      </c>
      <c r="L1330">
        <v>3</v>
      </c>
      <c r="M1330">
        <v>2025</v>
      </c>
      <c r="N1330">
        <v>0</v>
      </c>
      <c r="O1330">
        <v>3</v>
      </c>
      <c r="P1330">
        <v>2025</v>
      </c>
      <c r="Q1330">
        <v>0</v>
      </c>
      <c r="R1330" t="s">
        <v>40</v>
      </c>
      <c r="S1330" t="s">
        <v>55</v>
      </c>
      <c r="T1330" t="s">
        <v>42</v>
      </c>
      <c r="U1330" t="s">
        <v>40</v>
      </c>
      <c r="V1330" t="s">
        <v>105</v>
      </c>
      <c r="W1330" t="s">
        <v>106</v>
      </c>
      <c r="X1330" t="s">
        <v>45</v>
      </c>
      <c r="Y1330">
        <v>140</v>
      </c>
      <c r="Z1330" t="s">
        <v>84</v>
      </c>
      <c r="AA1330" t="s">
        <v>85</v>
      </c>
      <c r="AB1330" s="1">
        <v>45733</v>
      </c>
      <c r="AC1330" t="s">
        <v>40</v>
      </c>
      <c r="AD1330" t="s">
        <v>40</v>
      </c>
      <c r="AE1330" t="s">
        <v>60</v>
      </c>
      <c r="AF1330" t="s">
        <v>40</v>
      </c>
      <c r="AG1330">
        <v>0</v>
      </c>
      <c r="AH1330" t="s">
        <v>70</v>
      </c>
    </row>
    <row r="1331" spans="1:34" x14ac:dyDescent="0.3">
      <c r="A1331" t="s">
        <v>2009</v>
      </c>
      <c r="B1331" t="s">
        <v>673</v>
      </c>
      <c r="C1331" t="s">
        <v>169</v>
      </c>
      <c r="D1331" t="s">
        <v>80</v>
      </c>
      <c r="E1331" s="1">
        <v>46173</v>
      </c>
      <c r="F1331" s="1">
        <v>46180</v>
      </c>
      <c r="G1331" t="s">
        <v>81</v>
      </c>
      <c r="H1331">
        <v>9634</v>
      </c>
      <c r="I1331" t="s">
        <v>212</v>
      </c>
      <c r="J1331" t="b">
        <v>0</v>
      </c>
      <c r="K1331">
        <v>7</v>
      </c>
      <c r="L1331">
        <v>6</v>
      </c>
      <c r="M1331">
        <v>2026</v>
      </c>
      <c r="N1331">
        <v>6</v>
      </c>
      <c r="O1331">
        <v>5</v>
      </c>
      <c r="P1331">
        <v>2026</v>
      </c>
      <c r="Q1331">
        <v>6</v>
      </c>
      <c r="R1331" t="s">
        <v>66</v>
      </c>
      <c r="S1331" t="s">
        <v>55</v>
      </c>
      <c r="T1331" t="s">
        <v>42</v>
      </c>
      <c r="U1331" t="s">
        <v>40</v>
      </c>
      <c r="V1331" t="s">
        <v>170</v>
      </c>
      <c r="W1331" t="s">
        <v>171</v>
      </c>
      <c r="X1331" t="s">
        <v>126</v>
      </c>
      <c r="Y1331">
        <v>90</v>
      </c>
      <c r="Z1331" t="s">
        <v>84</v>
      </c>
      <c r="AA1331" t="s">
        <v>85</v>
      </c>
      <c r="AB1331" s="1">
        <v>46180</v>
      </c>
      <c r="AC1331" t="s">
        <v>66</v>
      </c>
      <c r="AD1331" t="s">
        <v>40</v>
      </c>
      <c r="AE1331" t="s">
        <v>60</v>
      </c>
      <c r="AF1331" t="s">
        <v>40</v>
      </c>
      <c r="AG1331">
        <v>0</v>
      </c>
      <c r="AH1331" t="s">
        <v>100</v>
      </c>
    </row>
    <row r="1332" spans="1:34" x14ac:dyDescent="0.3">
      <c r="A1332" t="s">
        <v>2010</v>
      </c>
      <c r="B1332" t="s">
        <v>888</v>
      </c>
      <c r="C1332" t="s">
        <v>103</v>
      </c>
      <c r="D1332" t="s">
        <v>90</v>
      </c>
      <c r="E1332" s="1">
        <v>46211</v>
      </c>
      <c r="F1332" s="1">
        <v>46212</v>
      </c>
      <c r="G1332" t="s">
        <v>81</v>
      </c>
      <c r="H1332">
        <v>8766</v>
      </c>
      <c r="I1332" t="s">
        <v>39</v>
      </c>
      <c r="J1332" t="b">
        <v>0</v>
      </c>
      <c r="K1332">
        <v>1</v>
      </c>
      <c r="L1332">
        <v>7</v>
      </c>
      <c r="M1332">
        <v>2026</v>
      </c>
      <c r="N1332">
        <v>3</v>
      </c>
      <c r="O1332">
        <v>7</v>
      </c>
      <c r="P1332">
        <v>2026</v>
      </c>
      <c r="Q1332">
        <v>2</v>
      </c>
      <c r="R1332" t="s">
        <v>40</v>
      </c>
      <c r="S1332" t="s">
        <v>55</v>
      </c>
      <c r="T1332" t="s">
        <v>42</v>
      </c>
      <c r="U1332" t="s">
        <v>40</v>
      </c>
      <c r="V1332" t="s">
        <v>105</v>
      </c>
      <c r="W1332" t="s">
        <v>106</v>
      </c>
      <c r="X1332" t="s">
        <v>45</v>
      </c>
      <c r="Y1332">
        <v>140</v>
      </c>
      <c r="Z1332" t="s">
        <v>93</v>
      </c>
      <c r="AA1332" t="s">
        <v>94</v>
      </c>
      <c r="AB1332" s="1">
        <v>46212</v>
      </c>
      <c r="AC1332" t="s">
        <v>40</v>
      </c>
      <c r="AD1332" t="s">
        <v>40</v>
      </c>
      <c r="AE1332" t="s">
        <v>86</v>
      </c>
      <c r="AF1332" t="s">
        <v>40</v>
      </c>
      <c r="AG1332">
        <v>0</v>
      </c>
      <c r="AH1332" t="s">
        <v>100</v>
      </c>
    </row>
    <row r="1333" spans="1:34" x14ac:dyDescent="0.3">
      <c r="A1333" t="s">
        <v>2011</v>
      </c>
      <c r="B1333" t="s">
        <v>572</v>
      </c>
      <c r="C1333" t="s">
        <v>36</v>
      </c>
      <c r="D1333" t="s">
        <v>53</v>
      </c>
      <c r="E1333" s="1">
        <v>46064</v>
      </c>
      <c r="F1333" s="1">
        <v>46067</v>
      </c>
      <c r="G1333" t="s">
        <v>38</v>
      </c>
      <c r="H1333">
        <v>3639</v>
      </c>
      <c r="I1333" t="s">
        <v>39</v>
      </c>
      <c r="J1333" t="b">
        <v>0</v>
      </c>
      <c r="K1333">
        <v>3</v>
      </c>
      <c r="L1333">
        <v>2</v>
      </c>
      <c r="M1333">
        <v>2026</v>
      </c>
      <c r="N1333">
        <v>5</v>
      </c>
      <c r="O1333">
        <v>2</v>
      </c>
      <c r="P1333">
        <v>2026</v>
      </c>
      <c r="Q1333">
        <v>2</v>
      </c>
      <c r="R1333" t="s">
        <v>66</v>
      </c>
      <c r="S1333" t="s">
        <v>45</v>
      </c>
      <c r="T1333" t="s">
        <v>48</v>
      </c>
      <c r="U1333" t="s">
        <v>40</v>
      </c>
      <c r="V1333" t="s">
        <v>43</v>
      </c>
      <c r="W1333" t="s">
        <v>44</v>
      </c>
      <c r="X1333" t="s">
        <v>45</v>
      </c>
      <c r="Y1333">
        <v>150</v>
      </c>
      <c r="Z1333" t="s">
        <v>58</v>
      </c>
      <c r="AA1333" t="s">
        <v>59</v>
      </c>
      <c r="AB1333" s="1">
        <v>46067</v>
      </c>
      <c r="AC1333" t="s">
        <v>66</v>
      </c>
      <c r="AD1333" t="s">
        <v>40</v>
      </c>
      <c r="AE1333" t="s">
        <v>60</v>
      </c>
      <c r="AF1333" t="s">
        <v>40</v>
      </c>
      <c r="AG1333">
        <v>0</v>
      </c>
      <c r="AH1333" t="s">
        <v>100</v>
      </c>
    </row>
    <row r="1334" spans="1:34" x14ac:dyDescent="0.3">
      <c r="A1334" t="s">
        <v>2012</v>
      </c>
      <c r="B1334" t="s">
        <v>769</v>
      </c>
      <c r="C1334" t="s">
        <v>129</v>
      </c>
      <c r="D1334" t="s">
        <v>37</v>
      </c>
      <c r="E1334" s="1">
        <v>45974</v>
      </c>
      <c r="F1334" s="1">
        <v>46034</v>
      </c>
      <c r="G1334" t="s">
        <v>64</v>
      </c>
      <c r="H1334">
        <v>2404</v>
      </c>
      <c r="I1334" t="s">
        <v>39</v>
      </c>
      <c r="J1334" t="b">
        <v>0</v>
      </c>
      <c r="K1334">
        <v>60</v>
      </c>
      <c r="L1334">
        <v>1</v>
      </c>
      <c r="M1334">
        <v>2026</v>
      </c>
      <c r="N1334">
        <v>0</v>
      </c>
      <c r="O1334">
        <v>11</v>
      </c>
      <c r="P1334">
        <v>2025</v>
      </c>
      <c r="Q1334">
        <v>3</v>
      </c>
      <c r="R1334" t="s">
        <v>40</v>
      </c>
      <c r="S1334" t="s">
        <v>41</v>
      </c>
      <c r="T1334" t="s">
        <v>42</v>
      </c>
      <c r="U1334" t="s">
        <v>40</v>
      </c>
      <c r="V1334" t="s">
        <v>131</v>
      </c>
      <c r="W1334" t="s">
        <v>132</v>
      </c>
      <c r="X1334" t="s">
        <v>45</v>
      </c>
      <c r="Y1334">
        <v>110</v>
      </c>
      <c r="Z1334" t="s">
        <v>46</v>
      </c>
      <c r="AA1334" t="s">
        <v>47</v>
      </c>
      <c r="AB1334" s="1">
        <v>46034</v>
      </c>
      <c r="AC1334" t="s">
        <v>40</v>
      </c>
      <c r="AD1334" t="s">
        <v>40</v>
      </c>
      <c r="AE1334" t="s">
        <v>86</v>
      </c>
      <c r="AF1334" t="s">
        <v>40</v>
      </c>
      <c r="AG1334">
        <v>0</v>
      </c>
      <c r="AH1334" t="s">
        <v>61</v>
      </c>
    </row>
    <row r="1335" spans="1:34" x14ac:dyDescent="0.3">
      <c r="A1335" t="s">
        <v>2013</v>
      </c>
      <c r="B1335" t="s">
        <v>536</v>
      </c>
      <c r="C1335" t="s">
        <v>97</v>
      </c>
      <c r="D1335" t="s">
        <v>53</v>
      </c>
      <c r="E1335" s="1">
        <v>45960</v>
      </c>
      <c r="F1335" s="1">
        <v>46020</v>
      </c>
      <c r="G1335" t="s">
        <v>41</v>
      </c>
      <c r="H1335">
        <v>7596</v>
      </c>
      <c r="I1335" t="s">
        <v>39</v>
      </c>
      <c r="J1335" t="b">
        <v>0</v>
      </c>
      <c r="K1335">
        <v>60</v>
      </c>
      <c r="L1335">
        <v>12</v>
      </c>
      <c r="M1335">
        <v>2025</v>
      </c>
      <c r="N1335">
        <v>0</v>
      </c>
      <c r="O1335">
        <v>10</v>
      </c>
      <c r="P1335">
        <v>2025</v>
      </c>
      <c r="Q1335">
        <v>3</v>
      </c>
      <c r="R1335" t="s">
        <v>40</v>
      </c>
      <c r="S1335" t="s">
        <v>41</v>
      </c>
      <c r="T1335" t="s">
        <v>42</v>
      </c>
      <c r="U1335" t="s">
        <v>40</v>
      </c>
      <c r="V1335" t="s">
        <v>98</v>
      </c>
      <c r="W1335" t="s">
        <v>99</v>
      </c>
      <c r="X1335" t="s">
        <v>76</v>
      </c>
      <c r="Y1335">
        <v>80</v>
      </c>
      <c r="Z1335" t="s">
        <v>58</v>
      </c>
      <c r="AA1335" t="s">
        <v>59</v>
      </c>
      <c r="AB1335" s="1">
        <v>46020</v>
      </c>
      <c r="AC1335" t="s">
        <v>40</v>
      </c>
      <c r="AD1335" t="s">
        <v>40</v>
      </c>
      <c r="AE1335" t="s">
        <v>69</v>
      </c>
      <c r="AF1335" t="s">
        <v>40</v>
      </c>
      <c r="AG1335">
        <v>0</v>
      </c>
      <c r="AH1335" t="s">
        <v>61</v>
      </c>
    </row>
    <row r="1336" spans="1:34" x14ac:dyDescent="0.3">
      <c r="A1336" t="s">
        <v>2014</v>
      </c>
      <c r="B1336" t="s">
        <v>2015</v>
      </c>
      <c r="C1336" t="s">
        <v>79</v>
      </c>
      <c r="D1336" t="s">
        <v>53</v>
      </c>
      <c r="E1336" s="1">
        <v>45743</v>
      </c>
      <c r="F1336" s="1">
        <v>45803</v>
      </c>
      <c r="G1336" t="s">
        <v>64</v>
      </c>
      <c r="H1336">
        <v>3565</v>
      </c>
      <c r="I1336" t="s">
        <v>65</v>
      </c>
      <c r="J1336" t="b">
        <v>0</v>
      </c>
      <c r="K1336">
        <v>60</v>
      </c>
      <c r="L1336">
        <v>5</v>
      </c>
      <c r="M1336">
        <v>2025</v>
      </c>
      <c r="N1336">
        <v>0</v>
      </c>
      <c r="O1336">
        <v>3</v>
      </c>
      <c r="P1336">
        <v>2025</v>
      </c>
      <c r="Q1336">
        <v>3</v>
      </c>
      <c r="R1336" t="s">
        <v>40</v>
      </c>
      <c r="S1336" t="s">
        <v>45</v>
      </c>
      <c r="T1336" t="s">
        <v>42</v>
      </c>
      <c r="U1336" t="s">
        <v>66</v>
      </c>
      <c r="V1336" t="s">
        <v>82</v>
      </c>
      <c r="W1336" t="s">
        <v>83</v>
      </c>
      <c r="X1336" t="s">
        <v>76</v>
      </c>
      <c r="Y1336">
        <v>100</v>
      </c>
      <c r="Z1336" t="s">
        <v>58</v>
      </c>
      <c r="AA1336" t="s">
        <v>59</v>
      </c>
      <c r="AB1336" s="1">
        <v>45803</v>
      </c>
      <c r="AC1336" t="s">
        <v>40</v>
      </c>
      <c r="AD1336" t="s">
        <v>40</v>
      </c>
      <c r="AE1336" t="s">
        <v>69</v>
      </c>
      <c r="AF1336" t="s">
        <v>40</v>
      </c>
      <c r="AG1336">
        <v>0</v>
      </c>
      <c r="AH1336" t="s">
        <v>61</v>
      </c>
    </row>
    <row r="1337" spans="1:34" x14ac:dyDescent="0.3">
      <c r="A1337" t="s">
        <v>2016</v>
      </c>
      <c r="B1337" t="s">
        <v>1553</v>
      </c>
      <c r="C1337" t="s">
        <v>52</v>
      </c>
      <c r="D1337" t="s">
        <v>130</v>
      </c>
      <c r="E1337" s="1">
        <v>45819</v>
      </c>
      <c r="F1337" s="1">
        <v>45919</v>
      </c>
      <c r="G1337" t="s">
        <v>64</v>
      </c>
      <c r="H1337">
        <v>2854</v>
      </c>
      <c r="I1337" t="s">
        <v>65</v>
      </c>
      <c r="J1337" t="b">
        <v>0</v>
      </c>
      <c r="K1337">
        <v>100</v>
      </c>
      <c r="L1337">
        <v>9</v>
      </c>
      <c r="M1337">
        <v>2025</v>
      </c>
      <c r="N1337">
        <v>4</v>
      </c>
      <c r="O1337">
        <v>6</v>
      </c>
      <c r="P1337">
        <v>2025</v>
      </c>
      <c r="Q1337">
        <v>2</v>
      </c>
      <c r="R1337" t="s">
        <v>40</v>
      </c>
      <c r="S1337" t="s">
        <v>41</v>
      </c>
      <c r="T1337" t="s">
        <v>123</v>
      </c>
      <c r="U1337" t="s">
        <v>40</v>
      </c>
      <c r="V1337" t="s">
        <v>56</v>
      </c>
      <c r="W1337" t="s">
        <v>57</v>
      </c>
      <c r="X1337" t="s">
        <v>45</v>
      </c>
      <c r="Y1337">
        <v>120</v>
      </c>
      <c r="Z1337" t="s">
        <v>133</v>
      </c>
      <c r="AA1337" t="s">
        <v>134</v>
      </c>
      <c r="AB1337" s="1">
        <v>45919</v>
      </c>
      <c r="AC1337" t="s">
        <v>40</v>
      </c>
      <c r="AD1337" t="s">
        <v>40</v>
      </c>
      <c r="AE1337" t="s">
        <v>60</v>
      </c>
      <c r="AF1337" t="s">
        <v>40</v>
      </c>
      <c r="AG1337">
        <v>0</v>
      </c>
      <c r="AH1337" t="s">
        <v>49</v>
      </c>
    </row>
    <row r="1338" spans="1:34" x14ac:dyDescent="0.3">
      <c r="A1338" t="s">
        <v>2017</v>
      </c>
      <c r="B1338" t="s">
        <v>531</v>
      </c>
      <c r="C1338" t="s">
        <v>129</v>
      </c>
      <c r="D1338" t="s">
        <v>37</v>
      </c>
      <c r="E1338" s="1">
        <v>46260</v>
      </c>
      <c r="F1338" s="1">
        <v>46267</v>
      </c>
      <c r="G1338" t="s">
        <v>81</v>
      </c>
      <c r="H1338">
        <v>6859</v>
      </c>
      <c r="I1338" t="s">
        <v>54</v>
      </c>
      <c r="J1338" t="b">
        <v>0</v>
      </c>
      <c r="K1338">
        <v>7</v>
      </c>
      <c r="L1338">
        <v>9</v>
      </c>
      <c r="M1338">
        <v>2026</v>
      </c>
      <c r="N1338">
        <v>2</v>
      </c>
      <c r="O1338">
        <v>8</v>
      </c>
      <c r="P1338">
        <v>2026</v>
      </c>
      <c r="Q1338">
        <v>2</v>
      </c>
      <c r="R1338" t="s">
        <v>40</v>
      </c>
      <c r="S1338" t="s">
        <v>55</v>
      </c>
      <c r="T1338" t="s">
        <v>42</v>
      </c>
      <c r="U1338" t="s">
        <v>40</v>
      </c>
      <c r="V1338" t="s">
        <v>131</v>
      </c>
      <c r="W1338" t="s">
        <v>132</v>
      </c>
      <c r="X1338" t="s">
        <v>45</v>
      </c>
      <c r="Y1338">
        <v>110</v>
      </c>
      <c r="Z1338" t="s">
        <v>46</v>
      </c>
      <c r="AA1338" t="s">
        <v>47</v>
      </c>
      <c r="AB1338" s="1">
        <v>46267</v>
      </c>
      <c r="AC1338" t="s">
        <v>40</v>
      </c>
      <c r="AD1338" t="s">
        <v>40</v>
      </c>
      <c r="AE1338" t="s">
        <v>60</v>
      </c>
      <c r="AF1338" t="s">
        <v>40</v>
      </c>
      <c r="AG1338">
        <v>1</v>
      </c>
      <c r="AH1338" t="s">
        <v>100</v>
      </c>
    </row>
    <row r="1339" spans="1:34" x14ac:dyDescent="0.3">
      <c r="A1339" t="s">
        <v>2018</v>
      </c>
      <c r="B1339" t="s">
        <v>1437</v>
      </c>
      <c r="C1339" t="s">
        <v>89</v>
      </c>
      <c r="D1339" t="s">
        <v>90</v>
      </c>
      <c r="E1339" s="1">
        <v>45790</v>
      </c>
      <c r="F1339" s="1">
        <v>45804</v>
      </c>
      <c r="G1339" t="s">
        <v>64</v>
      </c>
      <c r="H1339">
        <v>3650</v>
      </c>
      <c r="I1339" t="s">
        <v>65</v>
      </c>
      <c r="J1339" t="b">
        <v>0</v>
      </c>
      <c r="K1339">
        <v>14</v>
      </c>
      <c r="L1339">
        <v>5</v>
      </c>
      <c r="M1339">
        <v>2025</v>
      </c>
      <c r="N1339">
        <v>1</v>
      </c>
      <c r="O1339">
        <v>5</v>
      </c>
      <c r="P1339">
        <v>2025</v>
      </c>
      <c r="Q1339">
        <v>1</v>
      </c>
      <c r="R1339" t="s">
        <v>40</v>
      </c>
      <c r="S1339" t="s">
        <v>45</v>
      </c>
      <c r="T1339" t="s">
        <v>42</v>
      </c>
      <c r="U1339" t="s">
        <v>40</v>
      </c>
      <c r="V1339" t="s">
        <v>91</v>
      </c>
      <c r="W1339" t="s">
        <v>92</v>
      </c>
      <c r="X1339" t="s">
        <v>76</v>
      </c>
      <c r="Y1339">
        <v>65</v>
      </c>
      <c r="Z1339" t="s">
        <v>93</v>
      </c>
      <c r="AA1339" t="s">
        <v>94</v>
      </c>
      <c r="AB1339" s="1">
        <v>45804</v>
      </c>
      <c r="AC1339" t="s">
        <v>40</v>
      </c>
      <c r="AD1339" t="s">
        <v>40</v>
      </c>
      <c r="AE1339" t="s">
        <v>69</v>
      </c>
      <c r="AF1339" t="s">
        <v>40</v>
      </c>
      <c r="AG1339">
        <v>0</v>
      </c>
      <c r="AH1339" t="s">
        <v>70</v>
      </c>
    </row>
    <row r="1340" spans="1:34" x14ac:dyDescent="0.3">
      <c r="A1340" t="s">
        <v>2019</v>
      </c>
      <c r="B1340" t="s">
        <v>723</v>
      </c>
      <c r="C1340" t="s">
        <v>52</v>
      </c>
      <c r="D1340" t="s">
        <v>130</v>
      </c>
      <c r="E1340" s="1">
        <v>46060</v>
      </c>
      <c r="F1340" s="1">
        <v>46067</v>
      </c>
      <c r="G1340" t="s">
        <v>38</v>
      </c>
      <c r="H1340">
        <v>3549</v>
      </c>
      <c r="I1340" t="s">
        <v>39</v>
      </c>
      <c r="J1340" t="b">
        <v>0</v>
      </c>
      <c r="K1340">
        <v>7</v>
      </c>
      <c r="L1340">
        <v>2</v>
      </c>
      <c r="M1340">
        <v>2026</v>
      </c>
      <c r="N1340">
        <v>5</v>
      </c>
      <c r="O1340">
        <v>2</v>
      </c>
      <c r="P1340">
        <v>2026</v>
      </c>
      <c r="Q1340">
        <v>5</v>
      </c>
      <c r="R1340" t="s">
        <v>66</v>
      </c>
      <c r="S1340" t="s">
        <v>67</v>
      </c>
      <c r="T1340" t="s">
        <v>286</v>
      </c>
      <c r="U1340" t="s">
        <v>66</v>
      </c>
      <c r="V1340" t="s">
        <v>56</v>
      </c>
      <c r="W1340" t="s">
        <v>57</v>
      </c>
      <c r="X1340" t="s">
        <v>45</v>
      </c>
      <c r="Y1340">
        <v>120</v>
      </c>
      <c r="Z1340" t="s">
        <v>133</v>
      </c>
      <c r="AA1340" t="s">
        <v>134</v>
      </c>
      <c r="AB1340" s="1">
        <v>46067</v>
      </c>
      <c r="AC1340" t="s">
        <v>66</v>
      </c>
      <c r="AD1340" t="s">
        <v>40</v>
      </c>
      <c r="AE1340" t="s">
        <v>60</v>
      </c>
      <c r="AF1340" t="s">
        <v>40</v>
      </c>
      <c r="AG1340">
        <v>0</v>
      </c>
      <c r="AH1340" t="s">
        <v>100</v>
      </c>
    </row>
    <row r="1341" spans="1:34" x14ac:dyDescent="0.3">
      <c r="A1341" t="s">
        <v>2020</v>
      </c>
      <c r="B1341" t="s">
        <v>322</v>
      </c>
      <c r="C1341" t="s">
        <v>52</v>
      </c>
      <c r="D1341" t="s">
        <v>90</v>
      </c>
      <c r="E1341" s="1">
        <v>46096</v>
      </c>
      <c r="F1341" s="1">
        <v>46097</v>
      </c>
      <c r="G1341" t="s">
        <v>81</v>
      </c>
      <c r="H1341">
        <v>8956</v>
      </c>
      <c r="I1341" t="s">
        <v>54</v>
      </c>
      <c r="J1341" t="b">
        <v>0</v>
      </c>
      <c r="K1341">
        <v>1</v>
      </c>
      <c r="L1341">
        <v>3</v>
      </c>
      <c r="M1341">
        <v>2026</v>
      </c>
      <c r="N1341">
        <v>0</v>
      </c>
      <c r="O1341">
        <v>3</v>
      </c>
      <c r="P1341">
        <v>2026</v>
      </c>
      <c r="Q1341">
        <v>6</v>
      </c>
      <c r="R1341" t="s">
        <v>40</v>
      </c>
      <c r="S1341" t="s">
        <v>45</v>
      </c>
      <c r="T1341" t="s">
        <v>68</v>
      </c>
      <c r="U1341" t="s">
        <v>40</v>
      </c>
      <c r="V1341" t="s">
        <v>56</v>
      </c>
      <c r="W1341" t="s">
        <v>57</v>
      </c>
      <c r="X1341" t="s">
        <v>45</v>
      </c>
      <c r="Y1341">
        <v>120</v>
      </c>
      <c r="Z1341" t="s">
        <v>93</v>
      </c>
      <c r="AA1341" t="s">
        <v>94</v>
      </c>
      <c r="AB1341" s="1">
        <v>46097</v>
      </c>
      <c r="AC1341" t="s">
        <v>40</v>
      </c>
      <c r="AD1341" t="s">
        <v>40</v>
      </c>
      <c r="AE1341" t="s">
        <v>60</v>
      </c>
      <c r="AF1341" t="s">
        <v>40</v>
      </c>
      <c r="AG1341">
        <v>1</v>
      </c>
      <c r="AH1341" t="s">
        <v>100</v>
      </c>
    </row>
    <row r="1342" spans="1:34" x14ac:dyDescent="0.3">
      <c r="A1342" t="s">
        <v>2021</v>
      </c>
      <c r="B1342" t="s">
        <v>342</v>
      </c>
      <c r="C1342" t="s">
        <v>129</v>
      </c>
      <c r="D1342" t="s">
        <v>53</v>
      </c>
      <c r="E1342" s="1">
        <v>46288</v>
      </c>
      <c r="F1342" s="1">
        <v>46318</v>
      </c>
      <c r="G1342" t="s">
        <v>38</v>
      </c>
      <c r="H1342">
        <v>4917</v>
      </c>
      <c r="I1342" t="s">
        <v>39</v>
      </c>
      <c r="J1342" t="b">
        <v>0</v>
      </c>
      <c r="K1342">
        <v>30</v>
      </c>
      <c r="L1342">
        <v>10</v>
      </c>
      <c r="M1342">
        <v>2026</v>
      </c>
      <c r="N1342">
        <v>4</v>
      </c>
      <c r="O1342">
        <v>9</v>
      </c>
      <c r="P1342">
        <v>2026</v>
      </c>
      <c r="Q1342">
        <v>2</v>
      </c>
      <c r="R1342" t="s">
        <v>40</v>
      </c>
      <c r="S1342" t="s">
        <v>55</v>
      </c>
      <c r="T1342" t="s">
        <v>42</v>
      </c>
      <c r="U1342" t="s">
        <v>40</v>
      </c>
      <c r="V1342" t="s">
        <v>131</v>
      </c>
      <c r="W1342" t="s">
        <v>132</v>
      </c>
      <c r="X1342" t="s">
        <v>45</v>
      </c>
      <c r="Y1342">
        <v>110</v>
      </c>
      <c r="Z1342" t="s">
        <v>58</v>
      </c>
      <c r="AA1342" t="s">
        <v>59</v>
      </c>
      <c r="AB1342" s="1">
        <v>46318</v>
      </c>
      <c r="AC1342" t="s">
        <v>40</v>
      </c>
      <c r="AD1342" t="s">
        <v>40</v>
      </c>
      <c r="AE1342" t="s">
        <v>60</v>
      </c>
      <c r="AF1342" t="s">
        <v>40</v>
      </c>
      <c r="AG1342">
        <v>0</v>
      </c>
      <c r="AH1342" t="s">
        <v>70</v>
      </c>
    </row>
    <row r="1343" spans="1:34" x14ac:dyDescent="0.3">
      <c r="A1343" t="s">
        <v>2022</v>
      </c>
      <c r="B1343" t="s">
        <v>749</v>
      </c>
      <c r="C1343" t="s">
        <v>103</v>
      </c>
      <c r="D1343" t="s">
        <v>130</v>
      </c>
      <c r="E1343" s="1">
        <v>45692</v>
      </c>
      <c r="F1343" s="1">
        <v>45693</v>
      </c>
      <c r="G1343" t="s">
        <v>41</v>
      </c>
      <c r="H1343">
        <v>7638</v>
      </c>
      <c r="I1343" t="s">
        <v>212</v>
      </c>
      <c r="J1343" t="b">
        <v>0</v>
      </c>
      <c r="K1343">
        <v>1</v>
      </c>
      <c r="L1343">
        <v>2</v>
      </c>
      <c r="M1343">
        <v>2025</v>
      </c>
      <c r="N1343">
        <v>2</v>
      </c>
      <c r="O1343">
        <v>2</v>
      </c>
      <c r="P1343">
        <v>2025</v>
      </c>
      <c r="Q1343">
        <v>1</v>
      </c>
      <c r="R1343" t="s">
        <v>40</v>
      </c>
      <c r="S1343" t="s">
        <v>45</v>
      </c>
      <c r="T1343" t="s">
        <v>42</v>
      </c>
      <c r="U1343" t="s">
        <v>40</v>
      </c>
      <c r="V1343" t="s">
        <v>105</v>
      </c>
      <c r="W1343" t="s">
        <v>106</v>
      </c>
      <c r="X1343" t="s">
        <v>45</v>
      </c>
      <c r="Y1343">
        <v>140</v>
      </c>
      <c r="Z1343" t="s">
        <v>133</v>
      </c>
      <c r="AA1343" t="s">
        <v>134</v>
      </c>
      <c r="AB1343" s="1">
        <v>45693</v>
      </c>
      <c r="AC1343" t="s">
        <v>40</v>
      </c>
      <c r="AD1343" t="s">
        <v>40</v>
      </c>
      <c r="AE1343" t="s">
        <v>60</v>
      </c>
      <c r="AF1343" t="s">
        <v>40</v>
      </c>
      <c r="AG1343">
        <v>0</v>
      </c>
      <c r="AH1343" t="s">
        <v>100</v>
      </c>
    </row>
    <row r="1344" spans="1:34" x14ac:dyDescent="0.3">
      <c r="A1344" t="s">
        <v>2023</v>
      </c>
      <c r="B1344" t="s">
        <v>395</v>
      </c>
      <c r="C1344" t="s">
        <v>52</v>
      </c>
      <c r="D1344" t="s">
        <v>130</v>
      </c>
      <c r="E1344" s="1">
        <v>46217</v>
      </c>
      <c r="F1344" s="1">
        <v>46231</v>
      </c>
      <c r="G1344" t="s">
        <v>41</v>
      </c>
      <c r="H1344">
        <v>6961</v>
      </c>
      <c r="I1344" t="s">
        <v>39</v>
      </c>
      <c r="J1344" t="b">
        <v>0</v>
      </c>
      <c r="K1344">
        <v>14</v>
      </c>
      <c r="L1344">
        <v>7</v>
      </c>
      <c r="M1344">
        <v>2026</v>
      </c>
      <c r="N1344">
        <v>1</v>
      </c>
      <c r="O1344">
        <v>7</v>
      </c>
      <c r="P1344">
        <v>2026</v>
      </c>
      <c r="Q1344">
        <v>1</v>
      </c>
      <c r="R1344" t="s">
        <v>40</v>
      </c>
      <c r="S1344" t="s">
        <v>45</v>
      </c>
      <c r="T1344" t="s">
        <v>123</v>
      </c>
      <c r="U1344" t="s">
        <v>40</v>
      </c>
      <c r="V1344" t="s">
        <v>56</v>
      </c>
      <c r="W1344" t="s">
        <v>57</v>
      </c>
      <c r="X1344" t="s">
        <v>45</v>
      </c>
      <c r="Y1344">
        <v>120</v>
      </c>
      <c r="Z1344" t="s">
        <v>133</v>
      </c>
      <c r="AA1344" t="s">
        <v>134</v>
      </c>
      <c r="AB1344" s="1">
        <v>46231</v>
      </c>
      <c r="AC1344" t="s">
        <v>40</v>
      </c>
      <c r="AD1344" t="s">
        <v>40</v>
      </c>
      <c r="AE1344" t="s">
        <v>86</v>
      </c>
      <c r="AF1344" t="s">
        <v>40</v>
      </c>
      <c r="AG1344">
        <v>0</v>
      </c>
      <c r="AH1344" t="s">
        <v>70</v>
      </c>
    </row>
    <row r="1345" spans="1:34" x14ac:dyDescent="0.3">
      <c r="A1345" t="s">
        <v>2024</v>
      </c>
      <c r="B1345" t="s">
        <v>211</v>
      </c>
      <c r="C1345" t="s">
        <v>129</v>
      </c>
      <c r="D1345" t="s">
        <v>90</v>
      </c>
      <c r="E1345" s="1">
        <v>46241</v>
      </c>
      <c r="F1345" s="1">
        <v>46341</v>
      </c>
      <c r="G1345" t="s">
        <v>81</v>
      </c>
      <c r="H1345">
        <v>39808</v>
      </c>
      <c r="I1345" t="s">
        <v>65</v>
      </c>
      <c r="J1345" t="b">
        <v>1</v>
      </c>
      <c r="K1345">
        <v>100</v>
      </c>
      <c r="L1345">
        <v>11</v>
      </c>
      <c r="M1345">
        <v>2026</v>
      </c>
      <c r="N1345">
        <v>6</v>
      </c>
      <c r="O1345">
        <v>8</v>
      </c>
      <c r="P1345">
        <v>2026</v>
      </c>
      <c r="Q1345">
        <v>4</v>
      </c>
      <c r="R1345" t="s">
        <v>66</v>
      </c>
      <c r="S1345" t="s">
        <v>45</v>
      </c>
      <c r="T1345" t="s">
        <v>42</v>
      </c>
      <c r="U1345" t="s">
        <v>40</v>
      </c>
      <c r="V1345" t="s">
        <v>131</v>
      </c>
      <c r="W1345" t="s">
        <v>132</v>
      </c>
      <c r="X1345" t="s">
        <v>45</v>
      </c>
      <c r="Y1345">
        <v>110</v>
      </c>
      <c r="Z1345" t="s">
        <v>93</v>
      </c>
      <c r="AA1345" t="s">
        <v>94</v>
      </c>
      <c r="AB1345" s="1">
        <v>46341</v>
      </c>
      <c r="AC1345" t="s">
        <v>66</v>
      </c>
      <c r="AD1345" t="s">
        <v>40</v>
      </c>
      <c r="AE1345" t="s">
        <v>86</v>
      </c>
      <c r="AF1345" t="s">
        <v>40</v>
      </c>
      <c r="AG1345">
        <v>0</v>
      </c>
      <c r="AH1345" t="s">
        <v>49</v>
      </c>
    </row>
    <row r="1346" spans="1:34" x14ac:dyDescent="0.3">
      <c r="A1346" t="s">
        <v>2025</v>
      </c>
      <c r="B1346" t="s">
        <v>1441</v>
      </c>
      <c r="C1346" t="s">
        <v>79</v>
      </c>
      <c r="D1346" t="s">
        <v>53</v>
      </c>
      <c r="E1346" s="1">
        <v>45666</v>
      </c>
      <c r="F1346" s="1">
        <v>45673</v>
      </c>
      <c r="G1346" t="s">
        <v>81</v>
      </c>
      <c r="H1346">
        <v>8240</v>
      </c>
      <c r="I1346" t="s">
        <v>54</v>
      </c>
      <c r="J1346" t="b">
        <v>0</v>
      </c>
      <c r="K1346">
        <v>7</v>
      </c>
      <c r="L1346">
        <v>1</v>
      </c>
      <c r="M1346">
        <v>2025</v>
      </c>
      <c r="N1346">
        <v>3</v>
      </c>
      <c r="O1346">
        <v>1</v>
      </c>
      <c r="P1346">
        <v>2025</v>
      </c>
      <c r="Q1346">
        <v>3</v>
      </c>
      <c r="R1346" t="s">
        <v>40</v>
      </c>
      <c r="S1346" t="s">
        <v>45</v>
      </c>
      <c r="T1346" t="s">
        <v>42</v>
      </c>
      <c r="U1346" t="s">
        <v>40</v>
      </c>
      <c r="V1346" t="s">
        <v>82</v>
      </c>
      <c r="W1346" t="s">
        <v>83</v>
      </c>
      <c r="X1346" t="s">
        <v>76</v>
      </c>
      <c r="Y1346">
        <v>100</v>
      </c>
      <c r="Z1346" t="s">
        <v>58</v>
      </c>
      <c r="AA1346" t="s">
        <v>59</v>
      </c>
      <c r="AB1346" s="1">
        <v>45673</v>
      </c>
      <c r="AC1346" t="s">
        <v>40</v>
      </c>
      <c r="AD1346" t="s">
        <v>40</v>
      </c>
      <c r="AE1346" t="s">
        <v>86</v>
      </c>
      <c r="AF1346" t="s">
        <v>40</v>
      </c>
      <c r="AG1346">
        <v>1</v>
      </c>
      <c r="AH1346" t="s">
        <v>100</v>
      </c>
    </row>
    <row r="1347" spans="1:34" x14ac:dyDescent="0.3">
      <c r="A1347" t="s">
        <v>2026</v>
      </c>
      <c r="B1347" t="s">
        <v>245</v>
      </c>
      <c r="C1347" t="s">
        <v>97</v>
      </c>
      <c r="D1347" t="s">
        <v>53</v>
      </c>
      <c r="E1347" s="1">
        <v>45766</v>
      </c>
      <c r="F1347" s="1">
        <v>45780</v>
      </c>
      <c r="G1347" t="s">
        <v>81</v>
      </c>
      <c r="H1347">
        <v>11642</v>
      </c>
      <c r="I1347" t="s">
        <v>65</v>
      </c>
      <c r="J1347" t="b">
        <v>0</v>
      </c>
      <c r="K1347">
        <v>14</v>
      </c>
      <c r="L1347">
        <v>5</v>
      </c>
      <c r="M1347">
        <v>2025</v>
      </c>
      <c r="N1347">
        <v>5</v>
      </c>
      <c r="O1347">
        <v>4</v>
      </c>
      <c r="P1347">
        <v>2025</v>
      </c>
      <c r="Q1347">
        <v>5</v>
      </c>
      <c r="R1347" t="s">
        <v>66</v>
      </c>
      <c r="S1347" t="s">
        <v>41</v>
      </c>
      <c r="T1347" t="s">
        <v>42</v>
      </c>
      <c r="U1347" t="s">
        <v>40</v>
      </c>
      <c r="V1347" t="s">
        <v>98</v>
      </c>
      <c r="W1347" t="s">
        <v>99</v>
      </c>
      <c r="X1347" t="s">
        <v>76</v>
      </c>
      <c r="Y1347">
        <v>80</v>
      </c>
      <c r="Z1347" t="s">
        <v>58</v>
      </c>
      <c r="AA1347" t="s">
        <v>59</v>
      </c>
      <c r="AB1347" s="1">
        <v>45780</v>
      </c>
      <c r="AC1347" t="s">
        <v>66</v>
      </c>
      <c r="AD1347" t="s">
        <v>40</v>
      </c>
      <c r="AE1347" t="s">
        <v>69</v>
      </c>
      <c r="AF1347" t="s">
        <v>40</v>
      </c>
      <c r="AG1347">
        <v>0</v>
      </c>
      <c r="AH1347" t="s">
        <v>70</v>
      </c>
    </row>
    <row r="1348" spans="1:34" x14ac:dyDescent="0.3">
      <c r="A1348" t="s">
        <v>2027</v>
      </c>
      <c r="B1348" t="s">
        <v>288</v>
      </c>
      <c r="C1348" t="s">
        <v>73</v>
      </c>
      <c r="D1348" t="s">
        <v>53</v>
      </c>
      <c r="E1348" s="1">
        <v>45996</v>
      </c>
      <c r="F1348" s="1">
        <v>46096</v>
      </c>
      <c r="G1348" t="s">
        <v>64</v>
      </c>
      <c r="H1348">
        <v>3709</v>
      </c>
      <c r="I1348" t="s">
        <v>65</v>
      </c>
      <c r="J1348" t="b">
        <v>0</v>
      </c>
      <c r="K1348">
        <v>100</v>
      </c>
      <c r="L1348">
        <v>3</v>
      </c>
      <c r="M1348">
        <v>2026</v>
      </c>
      <c r="N1348">
        <v>6</v>
      </c>
      <c r="O1348">
        <v>12</v>
      </c>
      <c r="P1348">
        <v>2025</v>
      </c>
      <c r="Q1348">
        <v>4</v>
      </c>
      <c r="R1348" t="s">
        <v>66</v>
      </c>
      <c r="S1348" t="s">
        <v>67</v>
      </c>
      <c r="T1348" t="s">
        <v>42</v>
      </c>
      <c r="U1348" t="s">
        <v>40</v>
      </c>
      <c r="V1348" t="s">
        <v>74</v>
      </c>
      <c r="W1348" t="s">
        <v>75</v>
      </c>
      <c r="X1348" t="s">
        <v>76</v>
      </c>
      <c r="Y1348">
        <v>75</v>
      </c>
      <c r="Z1348" t="s">
        <v>58</v>
      </c>
      <c r="AA1348" t="s">
        <v>59</v>
      </c>
      <c r="AB1348" s="1">
        <v>46096</v>
      </c>
      <c r="AC1348" t="s">
        <v>66</v>
      </c>
      <c r="AD1348" t="s">
        <v>40</v>
      </c>
      <c r="AE1348" t="s">
        <v>60</v>
      </c>
      <c r="AF1348" t="s">
        <v>40</v>
      </c>
      <c r="AG1348">
        <v>0</v>
      </c>
      <c r="AH1348" t="s">
        <v>49</v>
      </c>
    </row>
    <row r="1349" spans="1:34" x14ac:dyDescent="0.3">
      <c r="A1349" t="s">
        <v>2028</v>
      </c>
      <c r="B1349" t="s">
        <v>2029</v>
      </c>
      <c r="C1349" t="s">
        <v>79</v>
      </c>
      <c r="D1349" t="s">
        <v>90</v>
      </c>
      <c r="E1349" s="1">
        <v>45663</v>
      </c>
      <c r="F1349" s="1">
        <v>45693</v>
      </c>
      <c r="G1349" t="s">
        <v>41</v>
      </c>
      <c r="H1349">
        <v>5620</v>
      </c>
      <c r="I1349" t="s">
        <v>54</v>
      </c>
      <c r="J1349" t="b">
        <v>0</v>
      </c>
      <c r="K1349">
        <v>30</v>
      </c>
      <c r="L1349">
        <v>2</v>
      </c>
      <c r="M1349">
        <v>2025</v>
      </c>
      <c r="N1349">
        <v>2</v>
      </c>
      <c r="O1349">
        <v>1</v>
      </c>
      <c r="P1349">
        <v>2025</v>
      </c>
      <c r="Q1349">
        <v>0</v>
      </c>
      <c r="R1349" t="s">
        <v>40</v>
      </c>
      <c r="S1349" t="s">
        <v>45</v>
      </c>
      <c r="T1349" t="s">
        <v>42</v>
      </c>
      <c r="U1349" t="s">
        <v>40</v>
      </c>
      <c r="V1349" t="s">
        <v>82</v>
      </c>
      <c r="W1349" t="s">
        <v>83</v>
      </c>
      <c r="X1349" t="s">
        <v>76</v>
      </c>
      <c r="Y1349">
        <v>100</v>
      </c>
      <c r="Z1349" t="s">
        <v>93</v>
      </c>
      <c r="AA1349" t="s">
        <v>94</v>
      </c>
      <c r="AB1349" s="1">
        <v>45693</v>
      </c>
      <c r="AC1349" t="s">
        <v>40</v>
      </c>
      <c r="AD1349" t="s">
        <v>40</v>
      </c>
      <c r="AE1349" t="s">
        <v>60</v>
      </c>
      <c r="AF1349" t="s">
        <v>40</v>
      </c>
      <c r="AG1349">
        <v>1</v>
      </c>
      <c r="AH1349" t="s">
        <v>70</v>
      </c>
    </row>
    <row r="1350" spans="1:34" x14ac:dyDescent="0.3">
      <c r="A1350" t="s">
        <v>2030</v>
      </c>
      <c r="B1350" t="s">
        <v>649</v>
      </c>
      <c r="C1350" t="s">
        <v>103</v>
      </c>
      <c r="D1350" t="s">
        <v>104</v>
      </c>
      <c r="E1350" s="1">
        <v>45883</v>
      </c>
      <c r="F1350" s="1">
        <v>45943</v>
      </c>
      <c r="G1350" t="s">
        <v>64</v>
      </c>
      <c r="H1350">
        <v>4035</v>
      </c>
      <c r="I1350" t="s">
        <v>39</v>
      </c>
      <c r="J1350" t="b">
        <v>0</v>
      </c>
      <c r="K1350">
        <v>60</v>
      </c>
      <c r="L1350">
        <v>10</v>
      </c>
      <c r="M1350">
        <v>2025</v>
      </c>
      <c r="N1350">
        <v>0</v>
      </c>
      <c r="O1350">
        <v>8</v>
      </c>
      <c r="P1350">
        <v>2025</v>
      </c>
      <c r="Q1350">
        <v>3</v>
      </c>
      <c r="R1350" t="s">
        <v>40</v>
      </c>
      <c r="S1350" t="s">
        <v>45</v>
      </c>
      <c r="T1350" t="s">
        <v>286</v>
      </c>
      <c r="U1350" t="s">
        <v>40</v>
      </c>
      <c r="V1350" t="s">
        <v>105</v>
      </c>
      <c r="W1350" t="s">
        <v>106</v>
      </c>
      <c r="X1350" t="s">
        <v>45</v>
      </c>
      <c r="Y1350">
        <v>140</v>
      </c>
      <c r="Z1350" t="s">
        <v>107</v>
      </c>
      <c r="AA1350" t="s">
        <v>108</v>
      </c>
      <c r="AB1350" s="1">
        <v>45943</v>
      </c>
      <c r="AC1350" t="s">
        <v>40</v>
      </c>
      <c r="AD1350" t="s">
        <v>40</v>
      </c>
      <c r="AE1350" t="s">
        <v>60</v>
      </c>
      <c r="AF1350" t="s">
        <v>40</v>
      </c>
      <c r="AG1350">
        <v>0</v>
      </c>
      <c r="AH1350" t="s">
        <v>61</v>
      </c>
    </row>
    <row r="1351" spans="1:34" x14ac:dyDescent="0.3">
      <c r="A1351" t="s">
        <v>2031</v>
      </c>
      <c r="B1351" t="s">
        <v>285</v>
      </c>
      <c r="C1351" t="s">
        <v>122</v>
      </c>
      <c r="D1351" t="s">
        <v>53</v>
      </c>
      <c r="E1351" s="1">
        <v>46237</v>
      </c>
      <c r="F1351" s="1">
        <v>46337</v>
      </c>
      <c r="G1351" t="s">
        <v>64</v>
      </c>
      <c r="H1351">
        <v>3415</v>
      </c>
      <c r="I1351" t="s">
        <v>54</v>
      </c>
      <c r="J1351" t="b">
        <v>0</v>
      </c>
      <c r="K1351">
        <v>100</v>
      </c>
      <c r="L1351">
        <v>11</v>
      </c>
      <c r="M1351">
        <v>2026</v>
      </c>
      <c r="N1351">
        <v>2</v>
      </c>
      <c r="O1351">
        <v>8</v>
      </c>
      <c r="P1351">
        <v>2026</v>
      </c>
      <c r="Q1351">
        <v>0</v>
      </c>
      <c r="R1351" t="s">
        <v>40</v>
      </c>
      <c r="S1351" t="s">
        <v>45</v>
      </c>
      <c r="T1351" t="s">
        <v>286</v>
      </c>
      <c r="U1351" t="s">
        <v>40</v>
      </c>
      <c r="V1351" t="s">
        <v>124</v>
      </c>
      <c r="W1351" t="s">
        <v>125</v>
      </c>
      <c r="X1351" t="s">
        <v>126</v>
      </c>
      <c r="Y1351">
        <v>85</v>
      </c>
      <c r="Z1351" t="s">
        <v>58</v>
      </c>
      <c r="AA1351" t="s">
        <v>59</v>
      </c>
      <c r="AB1351" s="1">
        <v>46337</v>
      </c>
      <c r="AC1351" t="s">
        <v>40</v>
      </c>
      <c r="AD1351" t="s">
        <v>40</v>
      </c>
      <c r="AE1351" t="s">
        <v>86</v>
      </c>
      <c r="AF1351" t="s">
        <v>40</v>
      </c>
      <c r="AG1351">
        <v>1</v>
      </c>
      <c r="AH1351" t="s">
        <v>49</v>
      </c>
    </row>
    <row r="1352" spans="1:34" x14ac:dyDescent="0.3">
      <c r="A1352" t="s">
        <v>2032</v>
      </c>
      <c r="B1352" t="s">
        <v>290</v>
      </c>
      <c r="C1352" t="s">
        <v>103</v>
      </c>
      <c r="D1352" t="s">
        <v>37</v>
      </c>
      <c r="E1352" s="1">
        <v>45841</v>
      </c>
      <c r="F1352" s="1">
        <v>45901</v>
      </c>
      <c r="G1352" t="s">
        <v>38</v>
      </c>
      <c r="H1352">
        <v>4948</v>
      </c>
      <c r="I1352" t="s">
        <v>39</v>
      </c>
      <c r="J1352" t="b">
        <v>0</v>
      </c>
      <c r="K1352">
        <v>60</v>
      </c>
      <c r="L1352">
        <v>9</v>
      </c>
      <c r="M1352">
        <v>2025</v>
      </c>
      <c r="N1352">
        <v>0</v>
      </c>
      <c r="O1352">
        <v>7</v>
      </c>
      <c r="P1352">
        <v>2025</v>
      </c>
      <c r="Q1352">
        <v>3</v>
      </c>
      <c r="R1352" t="s">
        <v>40</v>
      </c>
      <c r="S1352" t="s">
        <v>55</v>
      </c>
      <c r="T1352" t="s">
        <v>42</v>
      </c>
      <c r="U1352" t="s">
        <v>40</v>
      </c>
      <c r="V1352" t="s">
        <v>105</v>
      </c>
      <c r="W1352" t="s">
        <v>106</v>
      </c>
      <c r="X1352" t="s">
        <v>45</v>
      </c>
      <c r="Y1352">
        <v>140</v>
      </c>
      <c r="Z1352" t="s">
        <v>46</v>
      </c>
      <c r="AA1352" t="s">
        <v>47</v>
      </c>
      <c r="AB1352" s="1">
        <v>45901</v>
      </c>
      <c r="AC1352" t="s">
        <v>40</v>
      </c>
      <c r="AD1352" t="s">
        <v>40</v>
      </c>
      <c r="AE1352" t="s">
        <v>60</v>
      </c>
      <c r="AF1352" t="s">
        <v>40</v>
      </c>
      <c r="AG1352">
        <v>0</v>
      </c>
      <c r="AH1352" t="s">
        <v>61</v>
      </c>
    </row>
    <row r="1353" spans="1:34" x14ac:dyDescent="0.3">
      <c r="A1353" t="s">
        <v>2033</v>
      </c>
      <c r="B1353" t="s">
        <v>733</v>
      </c>
      <c r="C1353" t="s">
        <v>89</v>
      </c>
      <c r="D1353" t="s">
        <v>80</v>
      </c>
      <c r="E1353" s="1">
        <v>45787</v>
      </c>
      <c r="F1353" s="1">
        <v>45788</v>
      </c>
      <c r="G1353" t="s">
        <v>41</v>
      </c>
      <c r="H1353">
        <v>5924</v>
      </c>
      <c r="I1353" t="s">
        <v>39</v>
      </c>
      <c r="J1353" t="b">
        <v>0</v>
      </c>
      <c r="K1353">
        <v>1</v>
      </c>
      <c r="L1353">
        <v>5</v>
      </c>
      <c r="M1353">
        <v>2025</v>
      </c>
      <c r="N1353">
        <v>6</v>
      </c>
      <c r="O1353">
        <v>5</v>
      </c>
      <c r="P1353">
        <v>2025</v>
      </c>
      <c r="Q1353">
        <v>5</v>
      </c>
      <c r="R1353" t="s">
        <v>66</v>
      </c>
      <c r="S1353" t="s">
        <v>45</v>
      </c>
      <c r="T1353" t="s">
        <v>139</v>
      </c>
      <c r="U1353" t="s">
        <v>40</v>
      </c>
      <c r="V1353" t="s">
        <v>91</v>
      </c>
      <c r="W1353" t="s">
        <v>92</v>
      </c>
      <c r="X1353" t="s">
        <v>76</v>
      </c>
      <c r="Y1353">
        <v>65</v>
      </c>
      <c r="Z1353" t="s">
        <v>84</v>
      </c>
      <c r="AA1353" t="s">
        <v>85</v>
      </c>
      <c r="AB1353" s="1">
        <v>45788</v>
      </c>
      <c r="AC1353" t="s">
        <v>66</v>
      </c>
      <c r="AD1353" t="s">
        <v>40</v>
      </c>
      <c r="AE1353" t="s">
        <v>69</v>
      </c>
      <c r="AF1353" t="s">
        <v>40</v>
      </c>
      <c r="AG1353">
        <v>0</v>
      </c>
      <c r="AH1353" t="s">
        <v>100</v>
      </c>
    </row>
    <row r="1354" spans="1:34" x14ac:dyDescent="0.3">
      <c r="A1354" t="s">
        <v>2034</v>
      </c>
      <c r="B1354" t="s">
        <v>462</v>
      </c>
      <c r="C1354" t="s">
        <v>89</v>
      </c>
      <c r="D1354" t="s">
        <v>90</v>
      </c>
      <c r="E1354" s="1">
        <v>45759</v>
      </c>
      <c r="F1354" s="1">
        <v>45789</v>
      </c>
      <c r="G1354" t="s">
        <v>38</v>
      </c>
      <c r="H1354">
        <v>5648</v>
      </c>
      <c r="I1354" t="s">
        <v>39</v>
      </c>
      <c r="J1354" t="b">
        <v>0</v>
      </c>
      <c r="K1354">
        <v>30</v>
      </c>
      <c r="L1354">
        <v>5</v>
      </c>
      <c r="M1354">
        <v>2025</v>
      </c>
      <c r="N1354">
        <v>0</v>
      </c>
      <c r="O1354">
        <v>4</v>
      </c>
      <c r="P1354">
        <v>2025</v>
      </c>
      <c r="Q1354">
        <v>5</v>
      </c>
      <c r="R1354" t="s">
        <v>40</v>
      </c>
      <c r="S1354" t="s">
        <v>55</v>
      </c>
      <c r="T1354" t="s">
        <v>123</v>
      </c>
      <c r="U1354" t="s">
        <v>66</v>
      </c>
      <c r="V1354" t="s">
        <v>91</v>
      </c>
      <c r="W1354" t="s">
        <v>92</v>
      </c>
      <c r="X1354" t="s">
        <v>76</v>
      </c>
      <c r="Y1354">
        <v>65</v>
      </c>
      <c r="Z1354" t="s">
        <v>93</v>
      </c>
      <c r="AA1354" t="s">
        <v>94</v>
      </c>
      <c r="AB1354" s="1">
        <v>45789</v>
      </c>
      <c r="AC1354" t="s">
        <v>40</v>
      </c>
      <c r="AD1354" t="s">
        <v>40</v>
      </c>
      <c r="AE1354" t="s">
        <v>69</v>
      </c>
      <c r="AF1354" t="s">
        <v>40</v>
      </c>
      <c r="AG1354">
        <v>0</v>
      </c>
      <c r="AH1354" t="s">
        <v>70</v>
      </c>
    </row>
    <row r="1355" spans="1:34" x14ac:dyDescent="0.3">
      <c r="A1355" t="s">
        <v>2035</v>
      </c>
      <c r="B1355" t="s">
        <v>2036</v>
      </c>
      <c r="C1355" t="s">
        <v>155</v>
      </c>
      <c r="D1355" t="s">
        <v>130</v>
      </c>
      <c r="E1355" s="1">
        <v>46102</v>
      </c>
      <c r="F1355" s="1">
        <v>46105</v>
      </c>
      <c r="G1355" t="s">
        <v>64</v>
      </c>
      <c r="H1355">
        <v>3094</v>
      </c>
      <c r="I1355" t="s">
        <v>65</v>
      </c>
      <c r="J1355" t="b">
        <v>0</v>
      </c>
      <c r="K1355">
        <v>3</v>
      </c>
      <c r="L1355">
        <v>3</v>
      </c>
      <c r="M1355">
        <v>2026</v>
      </c>
      <c r="N1355">
        <v>1</v>
      </c>
      <c r="O1355">
        <v>3</v>
      </c>
      <c r="P1355">
        <v>2026</v>
      </c>
      <c r="Q1355">
        <v>5</v>
      </c>
      <c r="R1355" t="s">
        <v>40</v>
      </c>
      <c r="S1355" t="s">
        <v>41</v>
      </c>
      <c r="T1355" t="s">
        <v>42</v>
      </c>
      <c r="U1355" t="s">
        <v>40</v>
      </c>
      <c r="V1355" t="s">
        <v>156</v>
      </c>
      <c r="W1355" t="s">
        <v>157</v>
      </c>
      <c r="X1355" t="s">
        <v>158</v>
      </c>
      <c r="Y1355">
        <v>70</v>
      </c>
      <c r="Z1355" t="s">
        <v>133</v>
      </c>
      <c r="AA1355" t="s">
        <v>134</v>
      </c>
      <c r="AB1355" s="1">
        <v>46105</v>
      </c>
      <c r="AC1355" t="s">
        <v>40</v>
      </c>
      <c r="AD1355" t="s">
        <v>40</v>
      </c>
      <c r="AE1355" t="s">
        <v>60</v>
      </c>
      <c r="AF1355" t="s">
        <v>40</v>
      </c>
      <c r="AG1355">
        <v>0</v>
      </c>
      <c r="AH1355" t="s">
        <v>100</v>
      </c>
    </row>
    <row r="1356" spans="1:34" x14ac:dyDescent="0.3">
      <c r="A1356" t="s">
        <v>2037</v>
      </c>
      <c r="B1356" t="s">
        <v>411</v>
      </c>
      <c r="C1356" t="s">
        <v>155</v>
      </c>
      <c r="D1356" t="s">
        <v>37</v>
      </c>
      <c r="E1356" s="1">
        <v>46132</v>
      </c>
      <c r="F1356" s="1">
        <v>46192</v>
      </c>
      <c r="G1356" t="s">
        <v>41</v>
      </c>
      <c r="H1356">
        <v>7277</v>
      </c>
      <c r="I1356" t="s">
        <v>65</v>
      </c>
      <c r="J1356" t="b">
        <v>0</v>
      </c>
      <c r="K1356">
        <v>60</v>
      </c>
      <c r="L1356">
        <v>6</v>
      </c>
      <c r="M1356">
        <v>2026</v>
      </c>
      <c r="N1356">
        <v>4</v>
      </c>
      <c r="O1356">
        <v>4</v>
      </c>
      <c r="P1356">
        <v>2026</v>
      </c>
      <c r="Q1356">
        <v>0</v>
      </c>
      <c r="R1356" t="s">
        <v>40</v>
      </c>
      <c r="S1356" t="s">
        <v>41</v>
      </c>
      <c r="T1356" t="s">
        <v>42</v>
      </c>
      <c r="U1356" t="s">
        <v>40</v>
      </c>
      <c r="V1356" t="s">
        <v>156</v>
      </c>
      <c r="W1356" t="s">
        <v>157</v>
      </c>
      <c r="X1356" t="s">
        <v>158</v>
      </c>
      <c r="Y1356">
        <v>70</v>
      </c>
      <c r="Z1356" t="s">
        <v>46</v>
      </c>
      <c r="AA1356" t="s">
        <v>47</v>
      </c>
      <c r="AB1356" s="1">
        <v>46192</v>
      </c>
      <c r="AC1356" t="s">
        <v>40</v>
      </c>
      <c r="AD1356" t="s">
        <v>40</v>
      </c>
      <c r="AE1356" t="s">
        <v>60</v>
      </c>
      <c r="AF1356" t="s">
        <v>40</v>
      </c>
      <c r="AG1356">
        <v>0</v>
      </c>
      <c r="AH1356" t="s">
        <v>61</v>
      </c>
    </row>
    <row r="1357" spans="1:34" x14ac:dyDescent="0.3">
      <c r="A1357" t="s">
        <v>2038</v>
      </c>
      <c r="B1357" t="s">
        <v>864</v>
      </c>
      <c r="C1357" t="s">
        <v>73</v>
      </c>
      <c r="D1357" t="s">
        <v>104</v>
      </c>
      <c r="E1357" s="1">
        <v>46205</v>
      </c>
      <c r="F1357" s="1">
        <v>46265</v>
      </c>
      <c r="G1357" t="s">
        <v>38</v>
      </c>
      <c r="H1357">
        <v>5037</v>
      </c>
      <c r="I1357" t="s">
        <v>39</v>
      </c>
      <c r="J1357" t="b">
        <v>0</v>
      </c>
      <c r="K1357">
        <v>60</v>
      </c>
      <c r="L1357">
        <v>8</v>
      </c>
      <c r="M1357">
        <v>2026</v>
      </c>
      <c r="N1357">
        <v>0</v>
      </c>
      <c r="O1357">
        <v>7</v>
      </c>
      <c r="P1357">
        <v>2026</v>
      </c>
      <c r="Q1357">
        <v>3</v>
      </c>
      <c r="R1357" t="s">
        <v>40</v>
      </c>
      <c r="S1357" t="s">
        <v>45</v>
      </c>
      <c r="T1357" t="s">
        <v>113</v>
      </c>
      <c r="U1357" t="s">
        <v>40</v>
      </c>
      <c r="V1357" t="s">
        <v>74</v>
      </c>
      <c r="W1357" t="s">
        <v>75</v>
      </c>
      <c r="X1357" t="s">
        <v>76</v>
      </c>
      <c r="Y1357">
        <v>75</v>
      </c>
      <c r="Z1357" t="s">
        <v>107</v>
      </c>
      <c r="AA1357" t="s">
        <v>108</v>
      </c>
      <c r="AB1357" s="1">
        <v>46265</v>
      </c>
      <c r="AC1357" t="s">
        <v>40</v>
      </c>
      <c r="AD1357" t="s">
        <v>40</v>
      </c>
      <c r="AE1357" t="s">
        <v>86</v>
      </c>
      <c r="AF1357" t="s">
        <v>40</v>
      </c>
      <c r="AG1357">
        <v>0</v>
      </c>
      <c r="AH1357" t="s">
        <v>61</v>
      </c>
    </row>
    <row r="1358" spans="1:34" x14ac:dyDescent="0.3">
      <c r="A1358" t="s">
        <v>2039</v>
      </c>
      <c r="B1358" t="s">
        <v>1971</v>
      </c>
      <c r="C1358" t="s">
        <v>146</v>
      </c>
      <c r="D1358" t="s">
        <v>53</v>
      </c>
      <c r="E1358" s="1">
        <v>45997</v>
      </c>
      <c r="F1358" s="1">
        <v>46147</v>
      </c>
      <c r="G1358" t="s">
        <v>81</v>
      </c>
      <c r="H1358">
        <v>10709</v>
      </c>
      <c r="I1358" t="s">
        <v>39</v>
      </c>
      <c r="J1358" t="b">
        <v>0</v>
      </c>
      <c r="K1358">
        <v>150</v>
      </c>
      <c r="L1358">
        <v>5</v>
      </c>
      <c r="M1358">
        <v>2026</v>
      </c>
      <c r="N1358">
        <v>1</v>
      </c>
      <c r="O1358">
        <v>12</v>
      </c>
      <c r="P1358">
        <v>2025</v>
      </c>
      <c r="Q1358">
        <v>5</v>
      </c>
      <c r="R1358" t="s">
        <v>40</v>
      </c>
      <c r="S1358" t="s">
        <v>55</v>
      </c>
      <c r="T1358" t="s">
        <v>42</v>
      </c>
      <c r="U1358" t="s">
        <v>66</v>
      </c>
      <c r="V1358" t="s">
        <v>147</v>
      </c>
      <c r="W1358" t="s">
        <v>148</v>
      </c>
      <c r="X1358" t="s">
        <v>45</v>
      </c>
      <c r="Y1358">
        <v>160</v>
      </c>
      <c r="Z1358" t="s">
        <v>58</v>
      </c>
      <c r="AA1358" t="s">
        <v>59</v>
      </c>
      <c r="AB1358" s="1">
        <v>46147</v>
      </c>
      <c r="AC1358" t="s">
        <v>40</v>
      </c>
      <c r="AD1358" t="s">
        <v>40</v>
      </c>
      <c r="AE1358" t="s">
        <v>69</v>
      </c>
      <c r="AF1358" t="s">
        <v>40</v>
      </c>
      <c r="AG1358">
        <v>0</v>
      </c>
      <c r="AH1358" t="s">
        <v>49</v>
      </c>
    </row>
    <row r="1359" spans="1:34" x14ac:dyDescent="0.3">
      <c r="A1359" t="s">
        <v>2040</v>
      </c>
      <c r="B1359" t="s">
        <v>1655</v>
      </c>
      <c r="C1359" t="s">
        <v>97</v>
      </c>
      <c r="D1359" t="s">
        <v>80</v>
      </c>
      <c r="E1359" s="1">
        <v>45876</v>
      </c>
      <c r="F1359" s="1">
        <v>45906</v>
      </c>
      <c r="G1359" t="s">
        <v>38</v>
      </c>
      <c r="H1359">
        <v>4136</v>
      </c>
      <c r="I1359" t="s">
        <v>212</v>
      </c>
      <c r="J1359" t="b">
        <v>0</v>
      </c>
      <c r="K1359">
        <v>30</v>
      </c>
      <c r="L1359">
        <v>9</v>
      </c>
      <c r="M1359">
        <v>2025</v>
      </c>
      <c r="N1359">
        <v>5</v>
      </c>
      <c r="O1359">
        <v>8</v>
      </c>
      <c r="P1359">
        <v>2025</v>
      </c>
      <c r="Q1359">
        <v>3</v>
      </c>
      <c r="R1359" t="s">
        <v>66</v>
      </c>
      <c r="S1359" t="s">
        <v>55</v>
      </c>
      <c r="T1359" t="s">
        <v>42</v>
      </c>
      <c r="U1359" t="s">
        <v>40</v>
      </c>
      <c r="V1359" t="s">
        <v>98</v>
      </c>
      <c r="W1359" t="s">
        <v>99</v>
      </c>
      <c r="X1359" t="s">
        <v>76</v>
      </c>
      <c r="Y1359">
        <v>80</v>
      </c>
      <c r="Z1359" t="s">
        <v>84</v>
      </c>
      <c r="AA1359" t="s">
        <v>85</v>
      </c>
      <c r="AB1359" s="1">
        <v>45906</v>
      </c>
      <c r="AC1359" t="s">
        <v>66</v>
      </c>
      <c r="AD1359" t="s">
        <v>40</v>
      </c>
      <c r="AE1359" t="s">
        <v>60</v>
      </c>
      <c r="AF1359" t="s">
        <v>40</v>
      </c>
      <c r="AG1359">
        <v>0</v>
      </c>
      <c r="AH1359" t="s">
        <v>70</v>
      </c>
    </row>
    <row r="1360" spans="1:34" x14ac:dyDescent="0.3">
      <c r="A1360" t="s">
        <v>2041</v>
      </c>
      <c r="B1360" t="s">
        <v>1024</v>
      </c>
      <c r="C1360" t="s">
        <v>89</v>
      </c>
      <c r="D1360" t="s">
        <v>90</v>
      </c>
      <c r="E1360" s="1">
        <v>46195</v>
      </c>
      <c r="F1360" s="1">
        <v>46255</v>
      </c>
      <c r="G1360" t="s">
        <v>64</v>
      </c>
      <c r="H1360">
        <v>4194</v>
      </c>
      <c r="I1360" t="s">
        <v>65</v>
      </c>
      <c r="J1360" t="b">
        <v>0</v>
      </c>
      <c r="K1360">
        <v>60</v>
      </c>
      <c r="L1360">
        <v>8</v>
      </c>
      <c r="M1360">
        <v>2026</v>
      </c>
      <c r="N1360">
        <v>4</v>
      </c>
      <c r="O1360">
        <v>6</v>
      </c>
      <c r="P1360">
        <v>2026</v>
      </c>
      <c r="Q1360">
        <v>0</v>
      </c>
      <c r="R1360" t="s">
        <v>40</v>
      </c>
      <c r="S1360" t="s">
        <v>45</v>
      </c>
      <c r="T1360" t="s">
        <v>42</v>
      </c>
      <c r="U1360" t="s">
        <v>66</v>
      </c>
      <c r="V1360" t="s">
        <v>91</v>
      </c>
      <c r="W1360" t="s">
        <v>92</v>
      </c>
      <c r="X1360" t="s">
        <v>76</v>
      </c>
      <c r="Y1360">
        <v>65</v>
      </c>
      <c r="Z1360" t="s">
        <v>93</v>
      </c>
      <c r="AA1360" t="s">
        <v>94</v>
      </c>
      <c r="AB1360" s="1">
        <v>46255</v>
      </c>
      <c r="AC1360" t="s">
        <v>40</v>
      </c>
      <c r="AD1360" t="s">
        <v>40</v>
      </c>
      <c r="AE1360" t="s">
        <v>86</v>
      </c>
      <c r="AF1360" t="s">
        <v>40</v>
      </c>
      <c r="AG1360">
        <v>0</v>
      </c>
      <c r="AH1360" t="s">
        <v>61</v>
      </c>
    </row>
    <row r="1361" spans="1:34" x14ac:dyDescent="0.3">
      <c r="A1361" t="s">
        <v>2042</v>
      </c>
      <c r="B1361" t="s">
        <v>1044</v>
      </c>
      <c r="C1361" t="s">
        <v>89</v>
      </c>
      <c r="D1361" t="s">
        <v>130</v>
      </c>
      <c r="E1361" s="1">
        <v>45788</v>
      </c>
      <c r="F1361" s="1">
        <v>45789</v>
      </c>
      <c r="G1361" t="s">
        <v>38</v>
      </c>
      <c r="H1361">
        <v>4111</v>
      </c>
      <c r="I1361" t="s">
        <v>39</v>
      </c>
      <c r="J1361" t="b">
        <v>0</v>
      </c>
      <c r="K1361">
        <v>1</v>
      </c>
      <c r="L1361">
        <v>5</v>
      </c>
      <c r="M1361">
        <v>2025</v>
      </c>
      <c r="N1361">
        <v>0</v>
      </c>
      <c r="O1361">
        <v>5</v>
      </c>
      <c r="P1361">
        <v>2025</v>
      </c>
      <c r="Q1361">
        <v>6</v>
      </c>
      <c r="R1361" t="s">
        <v>40</v>
      </c>
      <c r="S1361" t="s">
        <v>41</v>
      </c>
      <c r="T1361" t="s">
        <v>113</v>
      </c>
      <c r="U1361" t="s">
        <v>40</v>
      </c>
      <c r="V1361" t="s">
        <v>91</v>
      </c>
      <c r="W1361" t="s">
        <v>92</v>
      </c>
      <c r="X1361" t="s">
        <v>76</v>
      </c>
      <c r="Y1361">
        <v>65</v>
      </c>
      <c r="Z1361" t="s">
        <v>133</v>
      </c>
      <c r="AA1361" t="s">
        <v>134</v>
      </c>
      <c r="AB1361" s="1">
        <v>45789</v>
      </c>
      <c r="AC1361" t="s">
        <v>40</v>
      </c>
      <c r="AD1361" t="s">
        <v>40</v>
      </c>
      <c r="AE1361" t="s">
        <v>69</v>
      </c>
      <c r="AF1361" t="s">
        <v>40</v>
      </c>
      <c r="AG1361">
        <v>0</v>
      </c>
      <c r="AH1361" t="s">
        <v>100</v>
      </c>
    </row>
    <row r="1362" spans="1:34" x14ac:dyDescent="0.3">
      <c r="A1362" t="s">
        <v>2043</v>
      </c>
      <c r="B1362" t="s">
        <v>926</v>
      </c>
      <c r="C1362" t="s">
        <v>89</v>
      </c>
      <c r="D1362" t="s">
        <v>130</v>
      </c>
      <c r="E1362" s="1">
        <v>45907</v>
      </c>
      <c r="F1362" s="1">
        <v>45921</v>
      </c>
      <c r="G1362" t="s">
        <v>38</v>
      </c>
      <c r="H1362">
        <v>4035</v>
      </c>
      <c r="I1362" t="s">
        <v>39</v>
      </c>
      <c r="J1362" t="b">
        <v>0</v>
      </c>
      <c r="K1362">
        <v>14</v>
      </c>
      <c r="L1362">
        <v>9</v>
      </c>
      <c r="M1362">
        <v>2025</v>
      </c>
      <c r="N1362">
        <v>6</v>
      </c>
      <c r="O1362">
        <v>9</v>
      </c>
      <c r="P1362">
        <v>2025</v>
      </c>
      <c r="Q1362">
        <v>6</v>
      </c>
      <c r="R1362" t="s">
        <v>66</v>
      </c>
      <c r="S1362" t="s">
        <v>67</v>
      </c>
      <c r="T1362" t="s">
        <v>42</v>
      </c>
      <c r="U1362" t="s">
        <v>40</v>
      </c>
      <c r="V1362" t="s">
        <v>91</v>
      </c>
      <c r="W1362" t="s">
        <v>92</v>
      </c>
      <c r="X1362" t="s">
        <v>76</v>
      </c>
      <c r="Y1362">
        <v>65</v>
      </c>
      <c r="Z1362" t="s">
        <v>133</v>
      </c>
      <c r="AA1362" t="s">
        <v>134</v>
      </c>
      <c r="AB1362" s="1">
        <v>45921</v>
      </c>
      <c r="AC1362" t="s">
        <v>66</v>
      </c>
      <c r="AD1362" t="s">
        <v>40</v>
      </c>
      <c r="AE1362" t="s">
        <v>60</v>
      </c>
      <c r="AF1362" t="s">
        <v>40</v>
      </c>
      <c r="AG1362">
        <v>0</v>
      </c>
      <c r="AH1362" t="s">
        <v>70</v>
      </c>
    </row>
    <row r="1363" spans="1:34" x14ac:dyDescent="0.3">
      <c r="A1363" t="s">
        <v>2044</v>
      </c>
      <c r="B1363" t="s">
        <v>924</v>
      </c>
      <c r="C1363" t="s">
        <v>73</v>
      </c>
      <c r="D1363" t="s">
        <v>130</v>
      </c>
      <c r="E1363" s="1">
        <v>46356</v>
      </c>
      <c r="F1363" s="1">
        <v>46576</v>
      </c>
      <c r="G1363" t="s">
        <v>64</v>
      </c>
      <c r="H1363">
        <v>3664</v>
      </c>
      <c r="I1363" t="s">
        <v>39</v>
      </c>
      <c r="J1363" t="b">
        <v>0</v>
      </c>
      <c r="K1363">
        <v>220</v>
      </c>
      <c r="L1363">
        <v>7</v>
      </c>
      <c r="M1363">
        <v>2027</v>
      </c>
      <c r="N1363">
        <v>3</v>
      </c>
      <c r="O1363">
        <v>11</v>
      </c>
      <c r="P1363">
        <v>2026</v>
      </c>
      <c r="Q1363">
        <v>0</v>
      </c>
      <c r="R1363" t="s">
        <v>40</v>
      </c>
      <c r="S1363" t="s">
        <v>41</v>
      </c>
      <c r="T1363" t="s">
        <v>123</v>
      </c>
      <c r="U1363" t="s">
        <v>66</v>
      </c>
      <c r="V1363" t="s">
        <v>74</v>
      </c>
      <c r="W1363" t="s">
        <v>75</v>
      </c>
      <c r="X1363" t="s">
        <v>76</v>
      </c>
      <c r="Y1363">
        <v>75</v>
      </c>
      <c r="Z1363" t="s">
        <v>133</v>
      </c>
      <c r="AA1363" t="s">
        <v>134</v>
      </c>
      <c r="AB1363" s="1"/>
      <c r="AC1363" t="s">
        <v>48</v>
      </c>
      <c r="AD1363" t="s">
        <v>48</v>
      </c>
      <c r="AE1363" t="s">
        <v>48</v>
      </c>
      <c r="AF1363" t="s">
        <v>48</v>
      </c>
      <c r="AG1363">
        <v>0</v>
      </c>
      <c r="AH1363" t="s">
        <v>142</v>
      </c>
    </row>
    <row r="1364" spans="1:34" x14ac:dyDescent="0.3">
      <c r="A1364" t="s">
        <v>2045</v>
      </c>
      <c r="B1364" t="s">
        <v>437</v>
      </c>
      <c r="C1364" t="s">
        <v>36</v>
      </c>
      <c r="D1364" t="s">
        <v>80</v>
      </c>
      <c r="E1364" s="1">
        <v>46208</v>
      </c>
      <c r="F1364" s="1">
        <v>46215</v>
      </c>
      <c r="G1364" t="s">
        <v>64</v>
      </c>
      <c r="H1364">
        <v>3534</v>
      </c>
      <c r="I1364" t="s">
        <v>65</v>
      </c>
      <c r="J1364" t="b">
        <v>0</v>
      </c>
      <c r="K1364">
        <v>7</v>
      </c>
      <c r="L1364">
        <v>7</v>
      </c>
      <c r="M1364">
        <v>2026</v>
      </c>
      <c r="N1364">
        <v>6</v>
      </c>
      <c r="O1364">
        <v>7</v>
      </c>
      <c r="P1364">
        <v>2026</v>
      </c>
      <c r="Q1364">
        <v>6</v>
      </c>
      <c r="R1364" t="s">
        <v>66</v>
      </c>
      <c r="S1364" t="s">
        <v>41</v>
      </c>
      <c r="T1364" t="s">
        <v>42</v>
      </c>
      <c r="U1364" t="s">
        <v>40</v>
      </c>
      <c r="V1364" t="s">
        <v>43</v>
      </c>
      <c r="W1364" t="s">
        <v>44</v>
      </c>
      <c r="X1364" t="s">
        <v>45</v>
      </c>
      <c r="Y1364">
        <v>150</v>
      </c>
      <c r="Z1364" t="s">
        <v>84</v>
      </c>
      <c r="AA1364" t="s">
        <v>85</v>
      </c>
      <c r="AB1364" s="1">
        <v>46215</v>
      </c>
      <c r="AC1364" t="s">
        <v>66</v>
      </c>
      <c r="AD1364" t="s">
        <v>40</v>
      </c>
      <c r="AE1364" t="s">
        <v>86</v>
      </c>
      <c r="AF1364" t="s">
        <v>40</v>
      </c>
      <c r="AG1364">
        <v>0</v>
      </c>
      <c r="AH1364" t="s">
        <v>100</v>
      </c>
    </row>
    <row r="1365" spans="1:34" x14ac:dyDescent="0.3">
      <c r="A1365" t="s">
        <v>2046</v>
      </c>
      <c r="B1365" t="s">
        <v>2047</v>
      </c>
      <c r="C1365" t="s">
        <v>122</v>
      </c>
      <c r="D1365" t="s">
        <v>53</v>
      </c>
      <c r="E1365" s="1">
        <v>46045</v>
      </c>
      <c r="F1365" s="1">
        <v>46145</v>
      </c>
      <c r="G1365" t="s">
        <v>64</v>
      </c>
      <c r="H1365">
        <v>3392</v>
      </c>
      <c r="I1365" t="s">
        <v>54</v>
      </c>
      <c r="J1365" t="b">
        <v>0</v>
      </c>
      <c r="K1365">
        <v>100</v>
      </c>
      <c r="L1365">
        <v>5</v>
      </c>
      <c r="M1365">
        <v>2026</v>
      </c>
      <c r="N1365">
        <v>6</v>
      </c>
      <c r="O1365">
        <v>1</v>
      </c>
      <c r="P1365">
        <v>2026</v>
      </c>
      <c r="Q1365">
        <v>4</v>
      </c>
      <c r="R1365" t="s">
        <v>66</v>
      </c>
      <c r="S1365" t="s">
        <v>45</v>
      </c>
      <c r="T1365" t="s">
        <v>42</v>
      </c>
      <c r="U1365" t="s">
        <v>40</v>
      </c>
      <c r="V1365" t="s">
        <v>124</v>
      </c>
      <c r="W1365" t="s">
        <v>125</v>
      </c>
      <c r="X1365" t="s">
        <v>126</v>
      </c>
      <c r="Y1365">
        <v>85</v>
      </c>
      <c r="Z1365" t="s">
        <v>58</v>
      </c>
      <c r="AA1365" t="s">
        <v>59</v>
      </c>
      <c r="AB1365" s="1">
        <v>46145</v>
      </c>
      <c r="AC1365" t="s">
        <v>66</v>
      </c>
      <c r="AD1365" t="s">
        <v>40</v>
      </c>
      <c r="AE1365" t="s">
        <v>69</v>
      </c>
      <c r="AF1365" t="s">
        <v>40</v>
      </c>
      <c r="AG1365">
        <v>1</v>
      </c>
      <c r="AH1365" t="s">
        <v>49</v>
      </c>
    </row>
    <row r="1366" spans="1:34" x14ac:dyDescent="0.3">
      <c r="A1366" t="s">
        <v>2048</v>
      </c>
      <c r="B1366" t="s">
        <v>1091</v>
      </c>
      <c r="C1366" t="s">
        <v>89</v>
      </c>
      <c r="D1366" t="s">
        <v>80</v>
      </c>
      <c r="E1366" s="1">
        <v>45940</v>
      </c>
      <c r="F1366" s="1">
        <v>45941</v>
      </c>
      <c r="G1366" t="s">
        <v>41</v>
      </c>
      <c r="H1366">
        <v>5332</v>
      </c>
      <c r="I1366" t="s">
        <v>39</v>
      </c>
      <c r="J1366" t="b">
        <v>0</v>
      </c>
      <c r="K1366">
        <v>1</v>
      </c>
      <c r="L1366">
        <v>10</v>
      </c>
      <c r="M1366">
        <v>2025</v>
      </c>
      <c r="N1366">
        <v>5</v>
      </c>
      <c r="O1366">
        <v>10</v>
      </c>
      <c r="P1366">
        <v>2025</v>
      </c>
      <c r="Q1366">
        <v>4</v>
      </c>
      <c r="R1366" t="s">
        <v>66</v>
      </c>
      <c r="S1366" t="s">
        <v>55</v>
      </c>
      <c r="T1366" t="s">
        <v>113</v>
      </c>
      <c r="U1366" t="s">
        <v>40</v>
      </c>
      <c r="V1366" t="s">
        <v>91</v>
      </c>
      <c r="W1366" t="s">
        <v>92</v>
      </c>
      <c r="X1366" t="s">
        <v>76</v>
      </c>
      <c r="Y1366">
        <v>65</v>
      </c>
      <c r="Z1366" t="s">
        <v>84</v>
      </c>
      <c r="AA1366" t="s">
        <v>85</v>
      </c>
      <c r="AB1366" s="1">
        <v>45941</v>
      </c>
      <c r="AC1366" t="s">
        <v>66</v>
      </c>
      <c r="AD1366" t="s">
        <v>40</v>
      </c>
      <c r="AE1366" t="s">
        <v>60</v>
      </c>
      <c r="AF1366" t="s">
        <v>40</v>
      </c>
      <c r="AG1366">
        <v>0</v>
      </c>
      <c r="AH1366" t="s">
        <v>100</v>
      </c>
    </row>
    <row r="1367" spans="1:34" x14ac:dyDescent="0.3">
      <c r="A1367" t="s">
        <v>2049</v>
      </c>
      <c r="B1367" t="s">
        <v>299</v>
      </c>
      <c r="C1367" t="s">
        <v>52</v>
      </c>
      <c r="D1367" t="s">
        <v>80</v>
      </c>
      <c r="E1367" s="1">
        <v>45715</v>
      </c>
      <c r="F1367" s="1">
        <v>45729</v>
      </c>
      <c r="G1367" t="s">
        <v>81</v>
      </c>
      <c r="H1367">
        <v>10272</v>
      </c>
      <c r="I1367" t="s">
        <v>39</v>
      </c>
      <c r="J1367" t="b">
        <v>0</v>
      </c>
      <c r="K1367">
        <v>14</v>
      </c>
      <c r="L1367">
        <v>3</v>
      </c>
      <c r="M1367">
        <v>2025</v>
      </c>
      <c r="N1367">
        <v>3</v>
      </c>
      <c r="O1367">
        <v>2</v>
      </c>
      <c r="P1367">
        <v>2025</v>
      </c>
      <c r="Q1367">
        <v>3</v>
      </c>
      <c r="R1367" t="s">
        <v>40</v>
      </c>
      <c r="S1367" t="s">
        <v>67</v>
      </c>
      <c r="T1367" t="s">
        <v>68</v>
      </c>
      <c r="U1367" t="s">
        <v>66</v>
      </c>
      <c r="V1367" t="s">
        <v>56</v>
      </c>
      <c r="W1367" t="s">
        <v>57</v>
      </c>
      <c r="X1367" t="s">
        <v>45</v>
      </c>
      <c r="Y1367">
        <v>120</v>
      </c>
      <c r="Z1367" t="s">
        <v>84</v>
      </c>
      <c r="AA1367" t="s">
        <v>85</v>
      </c>
      <c r="AB1367" s="1">
        <v>45729</v>
      </c>
      <c r="AC1367" t="s">
        <v>40</v>
      </c>
      <c r="AD1367" t="s">
        <v>40</v>
      </c>
      <c r="AE1367" t="s">
        <v>60</v>
      </c>
      <c r="AF1367" t="s">
        <v>40</v>
      </c>
      <c r="AG1367">
        <v>0</v>
      </c>
      <c r="AH1367" t="s">
        <v>70</v>
      </c>
    </row>
    <row r="1368" spans="1:34" x14ac:dyDescent="0.3">
      <c r="A1368" t="s">
        <v>2050</v>
      </c>
      <c r="B1368" t="s">
        <v>267</v>
      </c>
      <c r="C1368" t="s">
        <v>97</v>
      </c>
      <c r="D1368" t="s">
        <v>130</v>
      </c>
      <c r="E1368" s="1">
        <v>46242</v>
      </c>
      <c r="F1368" s="1">
        <v>46272</v>
      </c>
      <c r="G1368" t="s">
        <v>41</v>
      </c>
      <c r="H1368">
        <v>7380</v>
      </c>
      <c r="I1368" t="s">
        <v>39</v>
      </c>
      <c r="J1368" t="b">
        <v>0</v>
      </c>
      <c r="K1368">
        <v>30</v>
      </c>
      <c r="L1368">
        <v>9</v>
      </c>
      <c r="M1368">
        <v>2026</v>
      </c>
      <c r="N1368">
        <v>0</v>
      </c>
      <c r="O1368">
        <v>8</v>
      </c>
      <c r="P1368">
        <v>2026</v>
      </c>
      <c r="Q1368">
        <v>5</v>
      </c>
      <c r="R1368" t="s">
        <v>40</v>
      </c>
      <c r="S1368" t="s">
        <v>45</v>
      </c>
      <c r="T1368" t="s">
        <v>42</v>
      </c>
      <c r="U1368" t="s">
        <v>40</v>
      </c>
      <c r="V1368" t="s">
        <v>98</v>
      </c>
      <c r="W1368" t="s">
        <v>99</v>
      </c>
      <c r="X1368" t="s">
        <v>76</v>
      </c>
      <c r="Y1368">
        <v>80</v>
      </c>
      <c r="Z1368" t="s">
        <v>133</v>
      </c>
      <c r="AA1368" t="s">
        <v>134</v>
      </c>
      <c r="AB1368" s="1">
        <v>46272</v>
      </c>
      <c r="AC1368" t="s">
        <v>40</v>
      </c>
      <c r="AD1368" t="s">
        <v>40</v>
      </c>
      <c r="AE1368" t="s">
        <v>60</v>
      </c>
      <c r="AF1368" t="s">
        <v>40</v>
      </c>
      <c r="AG1368">
        <v>0</v>
      </c>
      <c r="AH1368" t="s">
        <v>70</v>
      </c>
    </row>
    <row r="1369" spans="1:34" x14ac:dyDescent="0.3">
      <c r="A1369" t="s">
        <v>2051</v>
      </c>
      <c r="B1369" t="s">
        <v>1284</v>
      </c>
      <c r="C1369" t="s">
        <v>122</v>
      </c>
      <c r="D1369" t="s">
        <v>104</v>
      </c>
      <c r="E1369" s="1">
        <v>46058</v>
      </c>
      <c r="F1369" s="1">
        <v>46278</v>
      </c>
      <c r="G1369" t="s">
        <v>81</v>
      </c>
      <c r="H1369">
        <v>8340</v>
      </c>
      <c r="I1369" t="s">
        <v>54</v>
      </c>
      <c r="J1369" t="b">
        <v>0</v>
      </c>
      <c r="K1369">
        <v>220</v>
      </c>
      <c r="L1369">
        <v>9</v>
      </c>
      <c r="M1369">
        <v>2026</v>
      </c>
      <c r="N1369">
        <v>6</v>
      </c>
      <c r="O1369">
        <v>2</v>
      </c>
      <c r="P1369">
        <v>2026</v>
      </c>
      <c r="Q1369">
        <v>3</v>
      </c>
      <c r="R1369" t="s">
        <v>66</v>
      </c>
      <c r="S1369" t="s">
        <v>55</v>
      </c>
      <c r="T1369" t="s">
        <v>42</v>
      </c>
      <c r="U1369" t="s">
        <v>66</v>
      </c>
      <c r="V1369" t="s">
        <v>124</v>
      </c>
      <c r="W1369" t="s">
        <v>125</v>
      </c>
      <c r="X1369" t="s">
        <v>126</v>
      </c>
      <c r="Y1369">
        <v>85</v>
      </c>
      <c r="Z1369" t="s">
        <v>107</v>
      </c>
      <c r="AA1369" t="s">
        <v>108</v>
      </c>
      <c r="AB1369" s="1">
        <v>46278</v>
      </c>
      <c r="AC1369" t="s">
        <v>66</v>
      </c>
      <c r="AD1369" t="s">
        <v>40</v>
      </c>
      <c r="AE1369" t="s">
        <v>60</v>
      </c>
      <c r="AF1369" t="s">
        <v>40</v>
      </c>
      <c r="AG1369">
        <v>1</v>
      </c>
      <c r="AH1369" t="s">
        <v>142</v>
      </c>
    </row>
    <row r="1370" spans="1:34" x14ac:dyDescent="0.3">
      <c r="A1370" t="s">
        <v>2052</v>
      </c>
      <c r="B1370" t="s">
        <v>583</v>
      </c>
      <c r="C1370" t="s">
        <v>103</v>
      </c>
      <c r="D1370" t="s">
        <v>90</v>
      </c>
      <c r="E1370" s="1">
        <v>46122</v>
      </c>
      <c r="F1370" s="1">
        <v>46129</v>
      </c>
      <c r="G1370" t="s">
        <v>38</v>
      </c>
      <c r="H1370">
        <v>5277</v>
      </c>
      <c r="I1370" t="s">
        <v>39</v>
      </c>
      <c r="J1370" t="b">
        <v>0</v>
      </c>
      <c r="K1370">
        <v>7</v>
      </c>
      <c r="L1370">
        <v>4</v>
      </c>
      <c r="M1370">
        <v>2026</v>
      </c>
      <c r="N1370">
        <v>4</v>
      </c>
      <c r="O1370">
        <v>4</v>
      </c>
      <c r="P1370">
        <v>2026</v>
      </c>
      <c r="Q1370">
        <v>4</v>
      </c>
      <c r="R1370" t="s">
        <v>40</v>
      </c>
      <c r="S1370" t="s">
        <v>55</v>
      </c>
      <c r="T1370" t="s">
        <v>286</v>
      </c>
      <c r="U1370" t="s">
        <v>40</v>
      </c>
      <c r="V1370" t="s">
        <v>105</v>
      </c>
      <c r="W1370" t="s">
        <v>106</v>
      </c>
      <c r="X1370" t="s">
        <v>45</v>
      </c>
      <c r="Y1370">
        <v>140</v>
      </c>
      <c r="Z1370" t="s">
        <v>93</v>
      </c>
      <c r="AA1370" t="s">
        <v>94</v>
      </c>
      <c r="AB1370" s="1">
        <v>46129</v>
      </c>
      <c r="AC1370" t="s">
        <v>40</v>
      </c>
      <c r="AD1370" t="s">
        <v>40</v>
      </c>
      <c r="AE1370" t="s">
        <v>69</v>
      </c>
      <c r="AF1370" t="s">
        <v>40</v>
      </c>
      <c r="AG1370">
        <v>0</v>
      </c>
      <c r="AH1370" t="s">
        <v>100</v>
      </c>
    </row>
    <row r="1371" spans="1:34" x14ac:dyDescent="0.3">
      <c r="A1371" t="s">
        <v>2053</v>
      </c>
      <c r="B1371" t="s">
        <v>454</v>
      </c>
      <c r="C1371" t="s">
        <v>129</v>
      </c>
      <c r="D1371" t="s">
        <v>90</v>
      </c>
      <c r="E1371" s="1">
        <v>46009</v>
      </c>
      <c r="F1371" s="1">
        <v>46159</v>
      </c>
      <c r="G1371" t="s">
        <v>81</v>
      </c>
      <c r="H1371">
        <v>7330</v>
      </c>
      <c r="I1371" t="s">
        <v>65</v>
      </c>
      <c r="J1371" t="b">
        <v>0</v>
      </c>
      <c r="K1371">
        <v>150</v>
      </c>
      <c r="L1371">
        <v>5</v>
      </c>
      <c r="M1371">
        <v>2026</v>
      </c>
      <c r="N1371">
        <v>6</v>
      </c>
      <c r="O1371">
        <v>12</v>
      </c>
      <c r="P1371">
        <v>2025</v>
      </c>
      <c r="Q1371">
        <v>3</v>
      </c>
      <c r="R1371" t="s">
        <v>66</v>
      </c>
      <c r="S1371" t="s">
        <v>55</v>
      </c>
      <c r="T1371" t="s">
        <v>42</v>
      </c>
      <c r="U1371" t="s">
        <v>66</v>
      </c>
      <c r="V1371" t="s">
        <v>131</v>
      </c>
      <c r="W1371" t="s">
        <v>132</v>
      </c>
      <c r="X1371" t="s">
        <v>45</v>
      </c>
      <c r="Y1371">
        <v>110</v>
      </c>
      <c r="Z1371" t="s">
        <v>93</v>
      </c>
      <c r="AA1371" t="s">
        <v>94</v>
      </c>
      <c r="AB1371" s="1">
        <v>46159</v>
      </c>
      <c r="AC1371" t="s">
        <v>66</v>
      </c>
      <c r="AD1371" t="s">
        <v>40</v>
      </c>
      <c r="AE1371" t="s">
        <v>69</v>
      </c>
      <c r="AF1371" t="s">
        <v>40</v>
      </c>
      <c r="AG1371">
        <v>0</v>
      </c>
      <c r="AH1371" t="s">
        <v>49</v>
      </c>
    </row>
    <row r="1372" spans="1:34" x14ac:dyDescent="0.3">
      <c r="A1372" t="s">
        <v>2054</v>
      </c>
      <c r="B1372" t="s">
        <v>420</v>
      </c>
      <c r="C1372" t="s">
        <v>146</v>
      </c>
      <c r="D1372" t="s">
        <v>37</v>
      </c>
      <c r="E1372" s="1">
        <v>46162</v>
      </c>
      <c r="F1372" s="1">
        <v>46312</v>
      </c>
      <c r="G1372" t="s">
        <v>64</v>
      </c>
      <c r="H1372">
        <v>4105</v>
      </c>
      <c r="I1372" t="s">
        <v>65</v>
      </c>
      <c r="J1372" t="b">
        <v>0</v>
      </c>
      <c r="K1372">
        <v>150</v>
      </c>
      <c r="L1372">
        <v>10</v>
      </c>
      <c r="M1372">
        <v>2026</v>
      </c>
      <c r="N1372">
        <v>5</v>
      </c>
      <c r="O1372">
        <v>5</v>
      </c>
      <c r="P1372">
        <v>2026</v>
      </c>
      <c r="Q1372">
        <v>2</v>
      </c>
      <c r="R1372" t="s">
        <v>66</v>
      </c>
      <c r="S1372" t="s">
        <v>41</v>
      </c>
      <c r="T1372" t="s">
        <v>42</v>
      </c>
      <c r="U1372" t="s">
        <v>40</v>
      </c>
      <c r="V1372" t="s">
        <v>147</v>
      </c>
      <c r="W1372" t="s">
        <v>148</v>
      </c>
      <c r="X1372" t="s">
        <v>45</v>
      </c>
      <c r="Y1372">
        <v>160</v>
      </c>
      <c r="Z1372" t="s">
        <v>46</v>
      </c>
      <c r="AA1372" t="s">
        <v>47</v>
      </c>
      <c r="AB1372" s="1">
        <v>46312</v>
      </c>
      <c r="AC1372" t="s">
        <v>66</v>
      </c>
      <c r="AD1372" t="s">
        <v>40</v>
      </c>
      <c r="AE1372" t="s">
        <v>60</v>
      </c>
      <c r="AF1372" t="s">
        <v>40</v>
      </c>
      <c r="AG1372">
        <v>0</v>
      </c>
      <c r="AH1372" t="s">
        <v>49</v>
      </c>
    </row>
    <row r="1373" spans="1:34" x14ac:dyDescent="0.3">
      <c r="A1373" t="s">
        <v>2055</v>
      </c>
      <c r="B1373" t="s">
        <v>1788</v>
      </c>
      <c r="C1373" t="s">
        <v>129</v>
      </c>
      <c r="D1373" t="s">
        <v>80</v>
      </c>
      <c r="E1373" s="1">
        <v>46242</v>
      </c>
      <c r="F1373" s="1">
        <v>46302</v>
      </c>
      <c r="G1373" t="s">
        <v>81</v>
      </c>
      <c r="H1373">
        <v>9275</v>
      </c>
      <c r="I1373" t="s">
        <v>212</v>
      </c>
      <c r="J1373" t="b">
        <v>0</v>
      </c>
      <c r="K1373">
        <v>60</v>
      </c>
      <c r="L1373">
        <v>10</v>
      </c>
      <c r="M1373">
        <v>2026</v>
      </c>
      <c r="N1373">
        <v>2</v>
      </c>
      <c r="O1373">
        <v>8</v>
      </c>
      <c r="P1373">
        <v>2026</v>
      </c>
      <c r="Q1373">
        <v>5</v>
      </c>
      <c r="R1373" t="s">
        <v>40</v>
      </c>
      <c r="S1373" t="s">
        <v>55</v>
      </c>
      <c r="T1373" t="s">
        <v>68</v>
      </c>
      <c r="U1373" t="s">
        <v>40</v>
      </c>
      <c r="V1373" t="s">
        <v>131</v>
      </c>
      <c r="W1373" t="s">
        <v>132</v>
      </c>
      <c r="X1373" t="s">
        <v>45</v>
      </c>
      <c r="Y1373">
        <v>110</v>
      </c>
      <c r="Z1373" t="s">
        <v>84</v>
      </c>
      <c r="AA1373" t="s">
        <v>85</v>
      </c>
      <c r="AB1373" s="1">
        <v>46302</v>
      </c>
      <c r="AC1373" t="s">
        <v>40</v>
      </c>
      <c r="AD1373" t="s">
        <v>40</v>
      </c>
      <c r="AE1373" t="s">
        <v>60</v>
      </c>
      <c r="AF1373" t="s">
        <v>40</v>
      </c>
      <c r="AG1373">
        <v>0</v>
      </c>
      <c r="AH1373" t="s">
        <v>61</v>
      </c>
    </row>
    <row r="1374" spans="1:34" x14ac:dyDescent="0.3">
      <c r="A1374" t="s">
        <v>2056</v>
      </c>
      <c r="B1374" t="s">
        <v>2057</v>
      </c>
      <c r="C1374" t="s">
        <v>122</v>
      </c>
      <c r="D1374" t="s">
        <v>90</v>
      </c>
      <c r="E1374" s="1">
        <v>46032</v>
      </c>
      <c r="F1374" s="1">
        <v>46062</v>
      </c>
      <c r="G1374" t="s">
        <v>81</v>
      </c>
      <c r="H1374">
        <v>8511</v>
      </c>
      <c r="I1374" t="s">
        <v>39</v>
      </c>
      <c r="J1374" t="b">
        <v>0</v>
      </c>
      <c r="K1374">
        <v>30</v>
      </c>
      <c r="L1374">
        <v>2</v>
      </c>
      <c r="M1374">
        <v>2026</v>
      </c>
      <c r="N1374">
        <v>0</v>
      </c>
      <c r="O1374">
        <v>1</v>
      </c>
      <c r="P1374">
        <v>2026</v>
      </c>
      <c r="Q1374">
        <v>5</v>
      </c>
      <c r="R1374" t="s">
        <v>40</v>
      </c>
      <c r="S1374" t="s">
        <v>55</v>
      </c>
      <c r="T1374" t="s">
        <v>123</v>
      </c>
      <c r="U1374" t="s">
        <v>40</v>
      </c>
      <c r="V1374" t="s">
        <v>124</v>
      </c>
      <c r="W1374" t="s">
        <v>125</v>
      </c>
      <c r="X1374" t="s">
        <v>126</v>
      </c>
      <c r="Y1374">
        <v>85</v>
      </c>
      <c r="Z1374" t="s">
        <v>93</v>
      </c>
      <c r="AA1374" t="s">
        <v>94</v>
      </c>
      <c r="AB1374" s="1">
        <v>46062</v>
      </c>
      <c r="AC1374" t="s">
        <v>40</v>
      </c>
      <c r="AD1374" t="s">
        <v>40</v>
      </c>
      <c r="AE1374" t="s">
        <v>60</v>
      </c>
      <c r="AF1374" t="s">
        <v>40</v>
      </c>
      <c r="AG1374">
        <v>0</v>
      </c>
      <c r="AH1374" t="s">
        <v>70</v>
      </c>
    </row>
    <row r="1375" spans="1:34" x14ac:dyDescent="0.3">
      <c r="A1375" t="s">
        <v>2058</v>
      </c>
      <c r="B1375" t="s">
        <v>290</v>
      </c>
      <c r="C1375" t="s">
        <v>36</v>
      </c>
      <c r="D1375" t="s">
        <v>130</v>
      </c>
      <c r="E1375" s="1">
        <v>46032</v>
      </c>
      <c r="F1375" s="1">
        <v>46132</v>
      </c>
      <c r="G1375" t="s">
        <v>41</v>
      </c>
      <c r="H1375">
        <v>6514</v>
      </c>
      <c r="I1375" t="s">
        <v>39</v>
      </c>
      <c r="J1375" t="b">
        <v>0</v>
      </c>
      <c r="K1375">
        <v>100</v>
      </c>
      <c r="L1375">
        <v>4</v>
      </c>
      <c r="M1375">
        <v>2026</v>
      </c>
      <c r="N1375">
        <v>0</v>
      </c>
      <c r="O1375">
        <v>1</v>
      </c>
      <c r="P1375">
        <v>2026</v>
      </c>
      <c r="Q1375">
        <v>5</v>
      </c>
      <c r="R1375" t="s">
        <v>40</v>
      </c>
      <c r="S1375" t="s">
        <v>55</v>
      </c>
      <c r="T1375" t="s">
        <v>42</v>
      </c>
      <c r="U1375" t="s">
        <v>40</v>
      </c>
      <c r="V1375" t="s">
        <v>43</v>
      </c>
      <c r="W1375" t="s">
        <v>44</v>
      </c>
      <c r="X1375" t="s">
        <v>45</v>
      </c>
      <c r="Y1375">
        <v>150</v>
      </c>
      <c r="Z1375" t="s">
        <v>133</v>
      </c>
      <c r="AA1375" t="s">
        <v>134</v>
      </c>
      <c r="AB1375" s="1">
        <v>46132</v>
      </c>
      <c r="AC1375" t="s">
        <v>40</v>
      </c>
      <c r="AD1375" t="s">
        <v>40</v>
      </c>
      <c r="AE1375" t="s">
        <v>69</v>
      </c>
      <c r="AF1375" t="s">
        <v>40</v>
      </c>
      <c r="AG1375">
        <v>0</v>
      </c>
      <c r="AH1375" t="s">
        <v>49</v>
      </c>
    </row>
    <row r="1376" spans="1:34" x14ac:dyDescent="0.3">
      <c r="A1376" t="s">
        <v>2059</v>
      </c>
      <c r="B1376" t="s">
        <v>659</v>
      </c>
      <c r="C1376" t="s">
        <v>129</v>
      </c>
      <c r="D1376" t="s">
        <v>53</v>
      </c>
      <c r="E1376" s="1">
        <v>46169</v>
      </c>
      <c r="F1376" s="1">
        <v>46183</v>
      </c>
      <c r="G1376" t="s">
        <v>41</v>
      </c>
      <c r="H1376">
        <v>6374</v>
      </c>
      <c r="I1376" t="s">
        <v>39</v>
      </c>
      <c r="J1376" t="b">
        <v>0</v>
      </c>
      <c r="K1376">
        <v>14</v>
      </c>
      <c r="L1376">
        <v>6</v>
      </c>
      <c r="M1376">
        <v>2026</v>
      </c>
      <c r="N1376">
        <v>2</v>
      </c>
      <c r="O1376">
        <v>5</v>
      </c>
      <c r="P1376">
        <v>2026</v>
      </c>
      <c r="Q1376">
        <v>2</v>
      </c>
      <c r="R1376" t="s">
        <v>40</v>
      </c>
      <c r="S1376" t="s">
        <v>45</v>
      </c>
      <c r="T1376" t="s">
        <v>286</v>
      </c>
      <c r="U1376" t="s">
        <v>66</v>
      </c>
      <c r="V1376" t="s">
        <v>131</v>
      </c>
      <c r="W1376" t="s">
        <v>132</v>
      </c>
      <c r="X1376" t="s">
        <v>45</v>
      </c>
      <c r="Y1376">
        <v>110</v>
      </c>
      <c r="Z1376" t="s">
        <v>58</v>
      </c>
      <c r="AA1376" t="s">
        <v>59</v>
      </c>
      <c r="AB1376" s="1">
        <v>46183</v>
      </c>
      <c r="AC1376" t="s">
        <v>40</v>
      </c>
      <c r="AD1376" t="s">
        <v>40</v>
      </c>
      <c r="AE1376" t="s">
        <v>60</v>
      </c>
      <c r="AF1376" t="s">
        <v>40</v>
      </c>
      <c r="AG1376">
        <v>0</v>
      </c>
      <c r="AH1376" t="s">
        <v>70</v>
      </c>
    </row>
    <row r="1377" spans="1:34" x14ac:dyDescent="0.3">
      <c r="A1377" t="s">
        <v>2060</v>
      </c>
      <c r="B1377" t="s">
        <v>1810</v>
      </c>
      <c r="C1377" t="s">
        <v>155</v>
      </c>
      <c r="D1377" t="s">
        <v>104</v>
      </c>
      <c r="E1377" s="1">
        <v>45935</v>
      </c>
      <c r="F1377" s="1">
        <v>45949</v>
      </c>
      <c r="G1377" t="s">
        <v>41</v>
      </c>
      <c r="H1377">
        <v>5518</v>
      </c>
      <c r="I1377" t="s">
        <v>39</v>
      </c>
      <c r="J1377" t="b">
        <v>0</v>
      </c>
      <c r="K1377">
        <v>14</v>
      </c>
      <c r="L1377">
        <v>10</v>
      </c>
      <c r="M1377">
        <v>2025</v>
      </c>
      <c r="N1377">
        <v>6</v>
      </c>
      <c r="O1377">
        <v>10</v>
      </c>
      <c r="P1377">
        <v>2025</v>
      </c>
      <c r="Q1377">
        <v>6</v>
      </c>
      <c r="R1377" t="s">
        <v>66</v>
      </c>
      <c r="S1377" t="s">
        <v>55</v>
      </c>
      <c r="T1377" t="s">
        <v>42</v>
      </c>
      <c r="U1377" t="s">
        <v>66</v>
      </c>
      <c r="V1377" t="s">
        <v>156</v>
      </c>
      <c r="W1377" t="s">
        <v>157</v>
      </c>
      <c r="X1377" t="s">
        <v>158</v>
      </c>
      <c r="Y1377">
        <v>70</v>
      </c>
      <c r="Z1377" t="s">
        <v>107</v>
      </c>
      <c r="AA1377" t="s">
        <v>108</v>
      </c>
      <c r="AB1377" s="1">
        <v>45949</v>
      </c>
      <c r="AC1377" t="s">
        <v>66</v>
      </c>
      <c r="AD1377" t="s">
        <v>40</v>
      </c>
      <c r="AE1377" t="s">
        <v>60</v>
      </c>
      <c r="AF1377" t="s">
        <v>40</v>
      </c>
      <c r="AG1377">
        <v>0</v>
      </c>
      <c r="AH1377" t="s">
        <v>70</v>
      </c>
    </row>
    <row r="1378" spans="1:34" x14ac:dyDescent="0.3">
      <c r="A1378" t="s">
        <v>2061</v>
      </c>
      <c r="B1378" t="s">
        <v>110</v>
      </c>
      <c r="C1378" t="s">
        <v>89</v>
      </c>
      <c r="D1378" t="s">
        <v>130</v>
      </c>
      <c r="E1378" s="1">
        <v>46244</v>
      </c>
      <c r="F1378" s="1">
        <v>46258</v>
      </c>
      <c r="G1378" t="s">
        <v>81</v>
      </c>
      <c r="H1378">
        <v>8018</v>
      </c>
      <c r="I1378" t="s">
        <v>65</v>
      </c>
      <c r="J1378" t="b">
        <v>0</v>
      </c>
      <c r="K1378">
        <v>14</v>
      </c>
      <c r="L1378">
        <v>8</v>
      </c>
      <c r="M1378">
        <v>2026</v>
      </c>
      <c r="N1378">
        <v>0</v>
      </c>
      <c r="O1378">
        <v>8</v>
      </c>
      <c r="P1378">
        <v>2026</v>
      </c>
      <c r="Q1378">
        <v>0</v>
      </c>
      <c r="R1378" t="s">
        <v>40</v>
      </c>
      <c r="S1378" t="s">
        <v>45</v>
      </c>
      <c r="T1378" t="s">
        <v>42</v>
      </c>
      <c r="U1378" t="s">
        <v>66</v>
      </c>
      <c r="V1378" t="s">
        <v>91</v>
      </c>
      <c r="W1378" t="s">
        <v>92</v>
      </c>
      <c r="X1378" t="s">
        <v>76</v>
      </c>
      <c r="Y1378">
        <v>65</v>
      </c>
      <c r="Z1378" t="s">
        <v>133</v>
      </c>
      <c r="AA1378" t="s">
        <v>134</v>
      </c>
      <c r="AB1378" s="1">
        <v>46258</v>
      </c>
      <c r="AC1378" t="s">
        <v>40</v>
      </c>
      <c r="AD1378" t="s">
        <v>40</v>
      </c>
      <c r="AE1378" t="s">
        <v>86</v>
      </c>
      <c r="AF1378" t="s">
        <v>40</v>
      </c>
      <c r="AG1378">
        <v>0</v>
      </c>
      <c r="AH1378" t="s">
        <v>70</v>
      </c>
    </row>
    <row r="1379" spans="1:34" x14ac:dyDescent="0.3">
      <c r="A1379" t="s">
        <v>2062</v>
      </c>
      <c r="B1379" t="s">
        <v>545</v>
      </c>
      <c r="C1379" t="s">
        <v>155</v>
      </c>
      <c r="D1379" t="s">
        <v>104</v>
      </c>
      <c r="E1379" s="1">
        <v>46064</v>
      </c>
      <c r="F1379" s="1">
        <v>46071</v>
      </c>
      <c r="G1379" t="s">
        <v>41</v>
      </c>
      <c r="H1379">
        <v>6856</v>
      </c>
      <c r="I1379" t="s">
        <v>39</v>
      </c>
      <c r="J1379" t="b">
        <v>0</v>
      </c>
      <c r="K1379">
        <v>7</v>
      </c>
      <c r="L1379">
        <v>2</v>
      </c>
      <c r="M1379">
        <v>2026</v>
      </c>
      <c r="N1379">
        <v>2</v>
      </c>
      <c r="O1379">
        <v>2</v>
      </c>
      <c r="P1379">
        <v>2026</v>
      </c>
      <c r="Q1379">
        <v>2</v>
      </c>
      <c r="R1379" t="s">
        <v>40</v>
      </c>
      <c r="S1379" t="s">
        <v>41</v>
      </c>
      <c r="T1379" t="s">
        <v>42</v>
      </c>
      <c r="U1379" t="s">
        <v>40</v>
      </c>
      <c r="V1379" t="s">
        <v>156</v>
      </c>
      <c r="W1379" t="s">
        <v>157</v>
      </c>
      <c r="X1379" t="s">
        <v>158</v>
      </c>
      <c r="Y1379">
        <v>70</v>
      </c>
      <c r="Z1379" t="s">
        <v>107</v>
      </c>
      <c r="AA1379" t="s">
        <v>108</v>
      </c>
      <c r="AB1379" s="1">
        <v>46071</v>
      </c>
      <c r="AC1379" t="s">
        <v>40</v>
      </c>
      <c r="AD1379" t="s">
        <v>40</v>
      </c>
      <c r="AE1379" t="s">
        <v>60</v>
      </c>
      <c r="AF1379" t="s">
        <v>40</v>
      </c>
      <c r="AG1379">
        <v>0</v>
      </c>
      <c r="AH1379" t="s">
        <v>100</v>
      </c>
    </row>
    <row r="1380" spans="1:34" x14ac:dyDescent="0.3">
      <c r="A1380" t="s">
        <v>2063</v>
      </c>
      <c r="B1380" t="s">
        <v>413</v>
      </c>
      <c r="C1380" t="s">
        <v>36</v>
      </c>
      <c r="D1380" t="s">
        <v>53</v>
      </c>
      <c r="E1380" s="1">
        <v>45843</v>
      </c>
      <c r="F1380" s="1">
        <v>45857</v>
      </c>
      <c r="G1380" t="s">
        <v>81</v>
      </c>
      <c r="H1380">
        <v>11830</v>
      </c>
      <c r="I1380" t="s">
        <v>54</v>
      </c>
      <c r="J1380" t="b">
        <v>0</v>
      </c>
      <c r="K1380">
        <v>14</v>
      </c>
      <c r="L1380">
        <v>7</v>
      </c>
      <c r="M1380">
        <v>2025</v>
      </c>
      <c r="N1380">
        <v>5</v>
      </c>
      <c r="O1380">
        <v>7</v>
      </c>
      <c r="P1380">
        <v>2025</v>
      </c>
      <c r="Q1380">
        <v>5</v>
      </c>
      <c r="R1380" t="s">
        <v>66</v>
      </c>
      <c r="S1380" t="s">
        <v>41</v>
      </c>
      <c r="T1380" t="s">
        <v>42</v>
      </c>
      <c r="U1380" t="s">
        <v>40</v>
      </c>
      <c r="V1380" t="s">
        <v>43</v>
      </c>
      <c r="W1380" t="s">
        <v>44</v>
      </c>
      <c r="X1380" t="s">
        <v>45</v>
      </c>
      <c r="Y1380">
        <v>150</v>
      </c>
      <c r="Z1380" t="s">
        <v>58</v>
      </c>
      <c r="AA1380" t="s">
        <v>59</v>
      </c>
      <c r="AB1380" s="1">
        <v>45857</v>
      </c>
      <c r="AC1380" t="s">
        <v>66</v>
      </c>
      <c r="AD1380" t="s">
        <v>40</v>
      </c>
      <c r="AE1380" t="s">
        <v>86</v>
      </c>
      <c r="AF1380" t="s">
        <v>40</v>
      </c>
      <c r="AG1380">
        <v>1</v>
      </c>
      <c r="AH1380" t="s">
        <v>70</v>
      </c>
    </row>
    <row r="1381" spans="1:34" x14ac:dyDescent="0.3">
      <c r="A1381" t="s">
        <v>2064</v>
      </c>
      <c r="B1381" t="s">
        <v>697</v>
      </c>
      <c r="C1381" t="s">
        <v>103</v>
      </c>
      <c r="D1381" t="s">
        <v>130</v>
      </c>
      <c r="E1381" s="1">
        <v>45966</v>
      </c>
      <c r="F1381" s="1">
        <v>46026</v>
      </c>
      <c r="G1381" t="s">
        <v>81</v>
      </c>
      <c r="H1381">
        <v>10209</v>
      </c>
      <c r="I1381" t="s">
        <v>39</v>
      </c>
      <c r="J1381" t="b">
        <v>0</v>
      </c>
      <c r="K1381">
        <v>60</v>
      </c>
      <c r="L1381">
        <v>1</v>
      </c>
      <c r="M1381">
        <v>2026</v>
      </c>
      <c r="N1381">
        <v>6</v>
      </c>
      <c r="O1381">
        <v>11</v>
      </c>
      <c r="P1381">
        <v>2025</v>
      </c>
      <c r="Q1381">
        <v>2</v>
      </c>
      <c r="R1381" t="s">
        <v>66</v>
      </c>
      <c r="S1381" t="s">
        <v>41</v>
      </c>
      <c r="T1381" t="s">
        <v>286</v>
      </c>
      <c r="U1381" t="s">
        <v>40</v>
      </c>
      <c r="V1381" t="s">
        <v>105</v>
      </c>
      <c r="W1381" t="s">
        <v>106</v>
      </c>
      <c r="X1381" t="s">
        <v>45</v>
      </c>
      <c r="Y1381">
        <v>140</v>
      </c>
      <c r="Z1381" t="s">
        <v>133</v>
      </c>
      <c r="AA1381" t="s">
        <v>134</v>
      </c>
      <c r="AB1381" s="1">
        <v>46026</v>
      </c>
      <c r="AC1381" t="s">
        <v>66</v>
      </c>
      <c r="AD1381" t="s">
        <v>40</v>
      </c>
      <c r="AE1381" t="s">
        <v>86</v>
      </c>
      <c r="AF1381" t="s">
        <v>40</v>
      </c>
      <c r="AG1381">
        <v>0</v>
      </c>
      <c r="AH1381" t="s">
        <v>61</v>
      </c>
    </row>
    <row r="1382" spans="1:34" x14ac:dyDescent="0.3">
      <c r="A1382" t="s">
        <v>2065</v>
      </c>
      <c r="B1382" t="s">
        <v>2066</v>
      </c>
      <c r="C1382" t="s">
        <v>129</v>
      </c>
      <c r="D1382" t="s">
        <v>130</v>
      </c>
      <c r="E1382" s="1">
        <v>45688</v>
      </c>
      <c r="F1382" s="1">
        <v>45718</v>
      </c>
      <c r="G1382" t="s">
        <v>64</v>
      </c>
      <c r="H1382">
        <v>4125</v>
      </c>
      <c r="I1382" t="s">
        <v>39</v>
      </c>
      <c r="J1382" t="b">
        <v>0</v>
      </c>
      <c r="K1382">
        <v>30</v>
      </c>
      <c r="L1382">
        <v>3</v>
      </c>
      <c r="M1382">
        <v>2025</v>
      </c>
      <c r="N1382">
        <v>6</v>
      </c>
      <c r="O1382">
        <v>1</v>
      </c>
      <c r="P1382">
        <v>2025</v>
      </c>
      <c r="Q1382">
        <v>4</v>
      </c>
      <c r="R1382" t="s">
        <v>66</v>
      </c>
      <c r="S1382" t="s">
        <v>55</v>
      </c>
      <c r="T1382" t="s">
        <v>139</v>
      </c>
      <c r="U1382" t="s">
        <v>40</v>
      </c>
      <c r="V1382" t="s">
        <v>131</v>
      </c>
      <c r="W1382" t="s">
        <v>132</v>
      </c>
      <c r="X1382" t="s">
        <v>45</v>
      </c>
      <c r="Y1382">
        <v>110</v>
      </c>
      <c r="Z1382" t="s">
        <v>133</v>
      </c>
      <c r="AA1382" t="s">
        <v>134</v>
      </c>
      <c r="AB1382" s="1">
        <v>45718</v>
      </c>
      <c r="AC1382" t="s">
        <v>66</v>
      </c>
      <c r="AD1382" t="s">
        <v>40</v>
      </c>
      <c r="AE1382" t="s">
        <v>60</v>
      </c>
      <c r="AF1382" t="s">
        <v>40</v>
      </c>
      <c r="AG1382">
        <v>0</v>
      </c>
      <c r="AH1382" t="s">
        <v>70</v>
      </c>
    </row>
    <row r="1383" spans="1:34" x14ac:dyDescent="0.3">
      <c r="A1383" t="s">
        <v>2067</v>
      </c>
      <c r="B1383" t="s">
        <v>2068</v>
      </c>
      <c r="C1383" t="s">
        <v>122</v>
      </c>
      <c r="D1383" t="s">
        <v>130</v>
      </c>
      <c r="E1383" s="1">
        <v>46228</v>
      </c>
      <c r="F1383" s="1">
        <v>46235</v>
      </c>
      <c r="G1383" t="s">
        <v>38</v>
      </c>
      <c r="H1383">
        <v>4644</v>
      </c>
      <c r="I1383" t="s">
        <v>39</v>
      </c>
      <c r="J1383" t="b">
        <v>0</v>
      </c>
      <c r="K1383">
        <v>7</v>
      </c>
      <c r="L1383">
        <v>8</v>
      </c>
      <c r="M1383">
        <v>2026</v>
      </c>
      <c r="N1383">
        <v>5</v>
      </c>
      <c r="O1383">
        <v>7</v>
      </c>
      <c r="P1383">
        <v>2026</v>
      </c>
      <c r="Q1383">
        <v>5</v>
      </c>
      <c r="R1383" t="s">
        <v>66</v>
      </c>
      <c r="S1383" t="s">
        <v>67</v>
      </c>
      <c r="T1383" t="s">
        <v>42</v>
      </c>
      <c r="U1383" t="s">
        <v>40</v>
      </c>
      <c r="V1383" t="s">
        <v>124</v>
      </c>
      <c r="W1383" t="s">
        <v>125</v>
      </c>
      <c r="X1383" t="s">
        <v>126</v>
      </c>
      <c r="Y1383">
        <v>85</v>
      </c>
      <c r="Z1383" t="s">
        <v>133</v>
      </c>
      <c r="AA1383" t="s">
        <v>134</v>
      </c>
      <c r="AB1383" s="1">
        <v>46235</v>
      </c>
      <c r="AC1383" t="s">
        <v>66</v>
      </c>
      <c r="AD1383" t="s">
        <v>40</v>
      </c>
      <c r="AE1383" t="s">
        <v>86</v>
      </c>
      <c r="AF1383" t="s">
        <v>40</v>
      </c>
      <c r="AG1383">
        <v>0</v>
      </c>
      <c r="AH1383" t="s">
        <v>100</v>
      </c>
    </row>
    <row r="1384" spans="1:34" x14ac:dyDescent="0.3">
      <c r="A1384" t="s">
        <v>2069</v>
      </c>
      <c r="B1384" t="s">
        <v>1274</v>
      </c>
      <c r="C1384" t="s">
        <v>129</v>
      </c>
      <c r="D1384" t="s">
        <v>37</v>
      </c>
      <c r="E1384" s="1">
        <v>46353</v>
      </c>
      <c r="F1384" s="1">
        <v>46383</v>
      </c>
      <c r="G1384" t="s">
        <v>64</v>
      </c>
      <c r="H1384">
        <v>2597</v>
      </c>
      <c r="I1384" t="s">
        <v>54</v>
      </c>
      <c r="J1384" t="b">
        <v>0</v>
      </c>
      <c r="K1384">
        <v>30</v>
      </c>
      <c r="L1384">
        <v>12</v>
      </c>
      <c r="M1384">
        <v>2026</v>
      </c>
      <c r="N1384">
        <v>6</v>
      </c>
      <c r="O1384">
        <v>11</v>
      </c>
      <c r="P1384">
        <v>2026</v>
      </c>
      <c r="Q1384">
        <v>4</v>
      </c>
      <c r="R1384" t="s">
        <v>66</v>
      </c>
      <c r="S1384" t="s">
        <v>41</v>
      </c>
      <c r="T1384" t="s">
        <v>123</v>
      </c>
      <c r="U1384" t="s">
        <v>40</v>
      </c>
      <c r="V1384" t="s">
        <v>131</v>
      </c>
      <c r="W1384" t="s">
        <v>132</v>
      </c>
      <c r="X1384" t="s">
        <v>45</v>
      </c>
      <c r="Y1384">
        <v>110</v>
      </c>
      <c r="Z1384" t="s">
        <v>46</v>
      </c>
      <c r="AA1384" t="s">
        <v>47</v>
      </c>
      <c r="AB1384" s="1">
        <v>46383</v>
      </c>
      <c r="AC1384" t="s">
        <v>66</v>
      </c>
      <c r="AD1384" t="s">
        <v>40</v>
      </c>
      <c r="AE1384" t="s">
        <v>69</v>
      </c>
      <c r="AF1384" t="s">
        <v>40</v>
      </c>
      <c r="AG1384">
        <v>1</v>
      </c>
      <c r="AH1384" t="s">
        <v>70</v>
      </c>
    </row>
    <row r="1385" spans="1:34" x14ac:dyDescent="0.3">
      <c r="A1385" t="s">
        <v>2070</v>
      </c>
      <c r="B1385" t="s">
        <v>1785</v>
      </c>
      <c r="C1385" t="s">
        <v>103</v>
      </c>
      <c r="D1385" t="s">
        <v>53</v>
      </c>
      <c r="E1385" s="1">
        <v>45809</v>
      </c>
      <c r="F1385" s="1">
        <v>45816</v>
      </c>
      <c r="G1385" t="s">
        <v>41</v>
      </c>
      <c r="H1385">
        <v>6761</v>
      </c>
      <c r="I1385" t="s">
        <v>39</v>
      </c>
      <c r="J1385" t="b">
        <v>0</v>
      </c>
      <c r="K1385">
        <v>7</v>
      </c>
      <c r="L1385">
        <v>6</v>
      </c>
      <c r="M1385">
        <v>2025</v>
      </c>
      <c r="N1385">
        <v>6</v>
      </c>
      <c r="O1385">
        <v>6</v>
      </c>
      <c r="P1385">
        <v>2025</v>
      </c>
      <c r="Q1385">
        <v>6</v>
      </c>
      <c r="R1385" t="s">
        <v>66</v>
      </c>
      <c r="S1385" t="s">
        <v>55</v>
      </c>
      <c r="T1385" t="s">
        <v>42</v>
      </c>
      <c r="U1385" t="s">
        <v>66</v>
      </c>
      <c r="V1385" t="s">
        <v>105</v>
      </c>
      <c r="W1385" t="s">
        <v>106</v>
      </c>
      <c r="X1385" t="s">
        <v>45</v>
      </c>
      <c r="Y1385">
        <v>140</v>
      </c>
      <c r="Z1385" t="s">
        <v>58</v>
      </c>
      <c r="AA1385" t="s">
        <v>59</v>
      </c>
      <c r="AB1385" s="1">
        <v>45816</v>
      </c>
      <c r="AC1385" t="s">
        <v>66</v>
      </c>
      <c r="AD1385" t="s">
        <v>40</v>
      </c>
      <c r="AE1385" t="s">
        <v>60</v>
      </c>
      <c r="AF1385" t="s">
        <v>40</v>
      </c>
      <c r="AG1385">
        <v>0</v>
      </c>
      <c r="AH1385" t="s">
        <v>100</v>
      </c>
    </row>
    <row r="1386" spans="1:34" x14ac:dyDescent="0.3">
      <c r="A1386" t="s">
        <v>2071</v>
      </c>
      <c r="B1386" t="s">
        <v>963</v>
      </c>
      <c r="C1386" t="s">
        <v>52</v>
      </c>
      <c r="D1386" t="s">
        <v>130</v>
      </c>
      <c r="E1386" s="1">
        <v>45943</v>
      </c>
      <c r="F1386" s="1">
        <v>46093</v>
      </c>
      <c r="G1386" t="s">
        <v>64</v>
      </c>
      <c r="H1386">
        <v>3869</v>
      </c>
      <c r="I1386" t="s">
        <v>54</v>
      </c>
      <c r="J1386" t="b">
        <v>0</v>
      </c>
      <c r="K1386">
        <v>150</v>
      </c>
      <c r="L1386">
        <v>3</v>
      </c>
      <c r="M1386">
        <v>2026</v>
      </c>
      <c r="N1386">
        <v>3</v>
      </c>
      <c r="O1386">
        <v>10</v>
      </c>
      <c r="P1386">
        <v>2025</v>
      </c>
      <c r="Q1386">
        <v>0</v>
      </c>
      <c r="R1386" t="s">
        <v>40</v>
      </c>
      <c r="S1386" t="s">
        <v>55</v>
      </c>
      <c r="T1386" t="s">
        <v>42</v>
      </c>
      <c r="U1386" t="s">
        <v>40</v>
      </c>
      <c r="V1386" t="s">
        <v>56</v>
      </c>
      <c r="W1386" t="s">
        <v>57</v>
      </c>
      <c r="X1386" t="s">
        <v>45</v>
      </c>
      <c r="Y1386">
        <v>120</v>
      </c>
      <c r="Z1386" t="s">
        <v>133</v>
      </c>
      <c r="AA1386" t="s">
        <v>134</v>
      </c>
      <c r="AB1386" s="1">
        <v>46093</v>
      </c>
      <c r="AC1386" t="s">
        <v>40</v>
      </c>
      <c r="AD1386" t="s">
        <v>40</v>
      </c>
      <c r="AE1386" t="s">
        <v>60</v>
      </c>
      <c r="AF1386" t="s">
        <v>40</v>
      </c>
      <c r="AG1386">
        <v>1</v>
      </c>
      <c r="AH1386" t="s">
        <v>49</v>
      </c>
    </row>
    <row r="1387" spans="1:34" x14ac:dyDescent="0.3">
      <c r="A1387" t="s">
        <v>2072</v>
      </c>
      <c r="B1387" t="s">
        <v>1674</v>
      </c>
      <c r="C1387" t="s">
        <v>79</v>
      </c>
      <c r="D1387" t="s">
        <v>37</v>
      </c>
      <c r="E1387" s="1">
        <v>46189</v>
      </c>
      <c r="F1387" s="1">
        <v>46219</v>
      </c>
      <c r="G1387" t="s">
        <v>64</v>
      </c>
      <c r="H1387">
        <v>2251</v>
      </c>
      <c r="I1387" t="s">
        <v>39</v>
      </c>
      <c r="J1387" t="b">
        <v>0</v>
      </c>
      <c r="K1387">
        <v>30</v>
      </c>
      <c r="L1387">
        <v>7</v>
      </c>
      <c r="M1387">
        <v>2026</v>
      </c>
      <c r="N1387">
        <v>3</v>
      </c>
      <c r="O1387">
        <v>6</v>
      </c>
      <c r="P1387">
        <v>2026</v>
      </c>
      <c r="Q1387">
        <v>1</v>
      </c>
      <c r="R1387" t="s">
        <v>40</v>
      </c>
      <c r="S1387" t="s">
        <v>55</v>
      </c>
      <c r="T1387" t="s">
        <v>42</v>
      </c>
      <c r="U1387" t="s">
        <v>40</v>
      </c>
      <c r="V1387" t="s">
        <v>82</v>
      </c>
      <c r="W1387" t="s">
        <v>83</v>
      </c>
      <c r="X1387" t="s">
        <v>76</v>
      </c>
      <c r="Y1387">
        <v>100</v>
      </c>
      <c r="Z1387" t="s">
        <v>46</v>
      </c>
      <c r="AA1387" t="s">
        <v>47</v>
      </c>
      <c r="AB1387" s="1">
        <v>46219</v>
      </c>
      <c r="AC1387" t="s">
        <v>40</v>
      </c>
      <c r="AD1387" t="s">
        <v>40</v>
      </c>
      <c r="AE1387" t="s">
        <v>86</v>
      </c>
      <c r="AF1387" t="s">
        <v>40</v>
      </c>
      <c r="AG1387">
        <v>0</v>
      </c>
      <c r="AH1387" t="s">
        <v>70</v>
      </c>
    </row>
    <row r="1388" spans="1:34" x14ac:dyDescent="0.3">
      <c r="A1388" t="s">
        <v>2073</v>
      </c>
      <c r="B1388" t="s">
        <v>570</v>
      </c>
      <c r="C1388" t="s">
        <v>79</v>
      </c>
      <c r="D1388" t="s">
        <v>104</v>
      </c>
      <c r="E1388" s="1">
        <v>46336</v>
      </c>
      <c r="F1388" s="1">
        <v>46436</v>
      </c>
      <c r="G1388" t="s">
        <v>38</v>
      </c>
      <c r="H1388">
        <v>3608</v>
      </c>
      <c r="I1388" t="s">
        <v>65</v>
      </c>
      <c r="J1388" t="b">
        <v>0</v>
      </c>
      <c r="K1388">
        <v>100</v>
      </c>
      <c r="L1388">
        <v>2</v>
      </c>
      <c r="M1388">
        <v>2027</v>
      </c>
      <c r="N1388">
        <v>3</v>
      </c>
      <c r="O1388">
        <v>11</v>
      </c>
      <c r="P1388">
        <v>2026</v>
      </c>
      <c r="Q1388">
        <v>1</v>
      </c>
      <c r="R1388" t="s">
        <v>40</v>
      </c>
      <c r="S1388" t="s">
        <v>41</v>
      </c>
      <c r="T1388" t="s">
        <v>42</v>
      </c>
      <c r="U1388" t="s">
        <v>40</v>
      </c>
      <c r="V1388" t="s">
        <v>82</v>
      </c>
      <c r="W1388" t="s">
        <v>83</v>
      </c>
      <c r="X1388" t="s">
        <v>76</v>
      </c>
      <c r="Y1388">
        <v>100</v>
      </c>
      <c r="Z1388" t="s">
        <v>107</v>
      </c>
      <c r="AA1388" t="s">
        <v>108</v>
      </c>
      <c r="AB1388" s="1"/>
      <c r="AC1388" t="s">
        <v>48</v>
      </c>
      <c r="AD1388" t="s">
        <v>48</v>
      </c>
      <c r="AE1388" t="s">
        <v>48</v>
      </c>
      <c r="AF1388" t="s">
        <v>48</v>
      </c>
      <c r="AG1388">
        <v>0</v>
      </c>
      <c r="AH1388" t="s">
        <v>49</v>
      </c>
    </row>
    <row r="1389" spans="1:34" x14ac:dyDescent="0.3">
      <c r="A1389" t="s">
        <v>2074</v>
      </c>
      <c r="B1389" t="s">
        <v>642</v>
      </c>
      <c r="C1389" t="s">
        <v>103</v>
      </c>
      <c r="D1389" t="s">
        <v>80</v>
      </c>
      <c r="E1389" s="1">
        <v>46300</v>
      </c>
      <c r="F1389" s="1">
        <v>46360</v>
      </c>
      <c r="G1389" t="s">
        <v>41</v>
      </c>
      <c r="H1389">
        <v>5498</v>
      </c>
      <c r="I1389" t="s">
        <v>39</v>
      </c>
      <c r="J1389" t="b">
        <v>0</v>
      </c>
      <c r="K1389">
        <v>60</v>
      </c>
      <c r="L1389">
        <v>12</v>
      </c>
      <c r="M1389">
        <v>2026</v>
      </c>
      <c r="N1389">
        <v>4</v>
      </c>
      <c r="O1389">
        <v>10</v>
      </c>
      <c r="P1389">
        <v>2026</v>
      </c>
      <c r="Q1389">
        <v>0</v>
      </c>
      <c r="R1389" t="s">
        <v>40</v>
      </c>
      <c r="S1389" t="s">
        <v>41</v>
      </c>
      <c r="T1389" t="s">
        <v>42</v>
      </c>
      <c r="U1389" t="s">
        <v>40</v>
      </c>
      <c r="V1389" t="s">
        <v>105</v>
      </c>
      <c r="W1389" t="s">
        <v>106</v>
      </c>
      <c r="X1389" t="s">
        <v>45</v>
      </c>
      <c r="Y1389">
        <v>140</v>
      </c>
      <c r="Z1389" t="s">
        <v>84</v>
      </c>
      <c r="AA1389" t="s">
        <v>85</v>
      </c>
      <c r="AB1389" s="1">
        <v>46360</v>
      </c>
      <c r="AC1389" t="s">
        <v>40</v>
      </c>
      <c r="AD1389" t="s">
        <v>40</v>
      </c>
      <c r="AE1389" t="s">
        <v>69</v>
      </c>
      <c r="AF1389" t="s">
        <v>40</v>
      </c>
      <c r="AG1389">
        <v>0</v>
      </c>
      <c r="AH1389" t="s">
        <v>61</v>
      </c>
    </row>
    <row r="1390" spans="1:34" x14ac:dyDescent="0.3">
      <c r="A1390" t="s">
        <v>2075</v>
      </c>
      <c r="B1390" t="s">
        <v>2076</v>
      </c>
      <c r="C1390" t="s">
        <v>146</v>
      </c>
      <c r="D1390" t="s">
        <v>104</v>
      </c>
      <c r="E1390" s="1">
        <v>45838</v>
      </c>
      <c r="F1390" s="1">
        <v>45938</v>
      </c>
      <c r="G1390" t="s">
        <v>64</v>
      </c>
      <c r="H1390">
        <v>3520</v>
      </c>
      <c r="I1390" t="s">
        <v>39</v>
      </c>
      <c r="J1390" t="b">
        <v>0</v>
      </c>
      <c r="K1390">
        <v>100</v>
      </c>
      <c r="L1390">
        <v>10</v>
      </c>
      <c r="M1390">
        <v>2025</v>
      </c>
      <c r="N1390">
        <v>2</v>
      </c>
      <c r="O1390">
        <v>6</v>
      </c>
      <c r="P1390">
        <v>2025</v>
      </c>
      <c r="Q1390">
        <v>0</v>
      </c>
      <c r="R1390" t="s">
        <v>40</v>
      </c>
      <c r="S1390" t="s">
        <v>45</v>
      </c>
      <c r="T1390" t="s">
        <v>42</v>
      </c>
      <c r="U1390" t="s">
        <v>66</v>
      </c>
      <c r="V1390" t="s">
        <v>147</v>
      </c>
      <c r="W1390" t="s">
        <v>148</v>
      </c>
      <c r="X1390" t="s">
        <v>45</v>
      </c>
      <c r="Y1390">
        <v>160</v>
      </c>
      <c r="Z1390" t="s">
        <v>107</v>
      </c>
      <c r="AA1390" t="s">
        <v>108</v>
      </c>
      <c r="AB1390" s="1">
        <v>45938</v>
      </c>
      <c r="AC1390" t="s">
        <v>40</v>
      </c>
      <c r="AD1390" t="s">
        <v>40</v>
      </c>
      <c r="AE1390" t="s">
        <v>60</v>
      </c>
      <c r="AF1390" t="s">
        <v>40</v>
      </c>
      <c r="AG1390">
        <v>0</v>
      </c>
      <c r="AH1390" t="s">
        <v>49</v>
      </c>
    </row>
    <row r="1391" spans="1:34" x14ac:dyDescent="0.3">
      <c r="A1391" t="s">
        <v>2077</v>
      </c>
      <c r="B1391" t="s">
        <v>926</v>
      </c>
      <c r="C1391" t="s">
        <v>89</v>
      </c>
      <c r="D1391" t="s">
        <v>53</v>
      </c>
      <c r="E1391" s="1">
        <v>46288</v>
      </c>
      <c r="F1391" s="1">
        <v>46302</v>
      </c>
      <c r="G1391" t="s">
        <v>38</v>
      </c>
      <c r="H1391">
        <v>4192</v>
      </c>
      <c r="I1391" t="s">
        <v>39</v>
      </c>
      <c r="J1391" t="b">
        <v>0</v>
      </c>
      <c r="K1391">
        <v>14</v>
      </c>
      <c r="L1391">
        <v>10</v>
      </c>
      <c r="M1391">
        <v>2026</v>
      </c>
      <c r="N1391">
        <v>2</v>
      </c>
      <c r="O1391">
        <v>9</v>
      </c>
      <c r="P1391">
        <v>2026</v>
      </c>
      <c r="Q1391">
        <v>2</v>
      </c>
      <c r="R1391" t="s">
        <v>40</v>
      </c>
      <c r="S1391" t="s">
        <v>67</v>
      </c>
      <c r="T1391" t="s">
        <v>42</v>
      </c>
      <c r="U1391" t="s">
        <v>40</v>
      </c>
      <c r="V1391" t="s">
        <v>91</v>
      </c>
      <c r="W1391" t="s">
        <v>92</v>
      </c>
      <c r="X1391" t="s">
        <v>76</v>
      </c>
      <c r="Y1391">
        <v>65</v>
      </c>
      <c r="Z1391" t="s">
        <v>58</v>
      </c>
      <c r="AA1391" t="s">
        <v>59</v>
      </c>
      <c r="AB1391" s="1">
        <v>46302</v>
      </c>
      <c r="AC1391" t="s">
        <v>40</v>
      </c>
      <c r="AD1391" t="s">
        <v>40</v>
      </c>
      <c r="AE1391" t="s">
        <v>60</v>
      </c>
      <c r="AF1391" t="s">
        <v>40</v>
      </c>
      <c r="AG1391">
        <v>0</v>
      </c>
      <c r="AH1391" t="s">
        <v>70</v>
      </c>
    </row>
    <row r="1392" spans="1:34" x14ac:dyDescent="0.3">
      <c r="A1392" t="s">
        <v>2078</v>
      </c>
      <c r="B1392" t="s">
        <v>2079</v>
      </c>
      <c r="C1392" t="s">
        <v>73</v>
      </c>
      <c r="D1392" t="s">
        <v>80</v>
      </c>
      <c r="E1392" s="1">
        <v>46275</v>
      </c>
      <c r="F1392" s="1">
        <v>46305</v>
      </c>
      <c r="G1392" t="s">
        <v>64</v>
      </c>
      <c r="H1392">
        <v>2944</v>
      </c>
      <c r="I1392" t="s">
        <v>39</v>
      </c>
      <c r="J1392" t="b">
        <v>0</v>
      </c>
      <c r="K1392">
        <v>30</v>
      </c>
      <c r="L1392">
        <v>10</v>
      </c>
      <c r="M1392">
        <v>2026</v>
      </c>
      <c r="N1392">
        <v>5</v>
      </c>
      <c r="O1392">
        <v>9</v>
      </c>
      <c r="P1392">
        <v>2026</v>
      </c>
      <c r="Q1392">
        <v>3</v>
      </c>
      <c r="R1392" t="s">
        <v>66</v>
      </c>
      <c r="S1392" t="s">
        <v>55</v>
      </c>
      <c r="T1392" t="s">
        <v>42</v>
      </c>
      <c r="U1392" t="s">
        <v>40</v>
      </c>
      <c r="V1392" t="s">
        <v>74</v>
      </c>
      <c r="W1392" t="s">
        <v>75</v>
      </c>
      <c r="X1392" t="s">
        <v>76</v>
      </c>
      <c r="Y1392">
        <v>75</v>
      </c>
      <c r="Z1392" t="s">
        <v>84</v>
      </c>
      <c r="AA1392" t="s">
        <v>85</v>
      </c>
      <c r="AB1392" s="1">
        <v>46305</v>
      </c>
      <c r="AC1392" t="s">
        <v>66</v>
      </c>
      <c r="AD1392" t="s">
        <v>40</v>
      </c>
      <c r="AE1392" t="s">
        <v>60</v>
      </c>
      <c r="AF1392" t="s">
        <v>40</v>
      </c>
      <c r="AG1392">
        <v>0</v>
      </c>
      <c r="AH1392" t="s">
        <v>70</v>
      </c>
    </row>
    <row r="1393" spans="1:34" x14ac:dyDescent="0.3">
      <c r="A1393" t="s">
        <v>2080</v>
      </c>
      <c r="B1393" t="s">
        <v>271</v>
      </c>
      <c r="C1393" t="s">
        <v>146</v>
      </c>
      <c r="D1393" t="s">
        <v>90</v>
      </c>
      <c r="E1393" s="1">
        <v>45862</v>
      </c>
      <c r="F1393" s="1">
        <v>45876</v>
      </c>
      <c r="G1393" t="s">
        <v>64</v>
      </c>
      <c r="H1393">
        <v>3206</v>
      </c>
      <c r="I1393" t="s">
        <v>212</v>
      </c>
      <c r="J1393" t="b">
        <v>0</v>
      </c>
      <c r="K1393">
        <v>14</v>
      </c>
      <c r="L1393">
        <v>8</v>
      </c>
      <c r="M1393">
        <v>2025</v>
      </c>
      <c r="N1393">
        <v>3</v>
      </c>
      <c r="O1393">
        <v>7</v>
      </c>
      <c r="P1393">
        <v>2025</v>
      </c>
      <c r="Q1393">
        <v>3</v>
      </c>
      <c r="R1393" t="s">
        <v>40</v>
      </c>
      <c r="S1393" t="s">
        <v>67</v>
      </c>
      <c r="T1393" t="s">
        <v>42</v>
      </c>
      <c r="U1393" t="s">
        <v>40</v>
      </c>
      <c r="V1393" t="s">
        <v>147</v>
      </c>
      <c r="W1393" t="s">
        <v>148</v>
      </c>
      <c r="X1393" t="s">
        <v>45</v>
      </c>
      <c r="Y1393">
        <v>160</v>
      </c>
      <c r="Z1393" t="s">
        <v>93</v>
      </c>
      <c r="AA1393" t="s">
        <v>94</v>
      </c>
      <c r="AB1393" s="1">
        <v>45876</v>
      </c>
      <c r="AC1393" t="s">
        <v>40</v>
      </c>
      <c r="AD1393" t="s">
        <v>40</v>
      </c>
      <c r="AE1393" t="s">
        <v>86</v>
      </c>
      <c r="AF1393" t="s">
        <v>40</v>
      </c>
      <c r="AG1393">
        <v>0</v>
      </c>
      <c r="AH1393" t="s">
        <v>70</v>
      </c>
    </row>
    <row r="1394" spans="1:34" x14ac:dyDescent="0.3">
      <c r="A1394" t="s">
        <v>2081</v>
      </c>
      <c r="B1394" t="s">
        <v>1667</v>
      </c>
      <c r="C1394" t="s">
        <v>73</v>
      </c>
      <c r="D1394" t="s">
        <v>80</v>
      </c>
      <c r="E1394" s="1">
        <v>46352</v>
      </c>
      <c r="F1394" s="1">
        <v>46382</v>
      </c>
      <c r="G1394" t="s">
        <v>38</v>
      </c>
      <c r="H1394">
        <v>5519</v>
      </c>
      <c r="I1394" t="s">
        <v>65</v>
      </c>
      <c r="J1394" t="b">
        <v>0</v>
      </c>
      <c r="K1394">
        <v>30</v>
      </c>
      <c r="L1394">
        <v>12</v>
      </c>
      <c r="M1394">
        <v>2026</v>
      </c>
      <c r="N1394">
        <v>5</v>
      </c>
      <c r="O1394">
        <v>11</v>
      </c>
      <c r="P1394">
        <v>2026</v>
      </c>
      <c r="Q1394">
        <v>3</v>
      </c>
      <c r="R1394" t="s">
        <v>66</v>
      </c>
      <c r="S1394" t="s">
        <v>45</v>
      </c>
      <c r="T1394" t="s">
        <v>42</v>
      </c>
      <c r="U1394" t="s">
        <v>40</v>
      </c>
      <c r="V1394" t="s">
        <v>74</v>
      </c>
      <c r="W1394" t="s">
        <v>75</v>
      </c>
      <c r="X1394" t="s">
        <v>76</v>
      </c>
      <c r="Y1394">
        <v>75</v>
      </c>
      <c r="Z1394" t="s">
        <v>84</v>
      </c>
      <c r="AA1394" t="s">
        <v>85</v>
      </c>
      <c r="AB1394" s="1">
        <v>46382</v>
      </c>
      <c r="AC1394" t="s">
        <v>66</v>
      </c>
      <c r="AD1394" t="s">
        <v>40</v>
      </c>
      <c r="AE1394" t="s">
        <v>69</v>
      </c>
      <c r="AF1394" t="s">
        <v>40</v>
      </c>
      <c r="AG1394">
        <v>0</v>
      </c>
      <c r="AH1394" t="s">
        <v>70</v>
      </c>
    </row>
    <row r="1395" spans="1:34" x14ac:dyDescent="0.3">
      <c r="A1395" t="s">
        <v>2082</v>
      </c>
      <c r="B1395" t="s">
        <v>507</v>
      </c>
      <c r="C1395" t="s">
        <v>146</v>
      </c>
      <c r="D1395" t="s">
        <v>53</v>
      </c>
      <c r="E1395" s="1">
        <v>46070</v>
      </c>
      <c r="F1395" s="1">
        <v>46084</v>
      </c>
      <c r="G1395" t="s">
        <v>81</v>
      </c>
      <c r="H1395">
        <v>7573</v>
      </c>
      <c r="I1395" t="s">
        <v>39</v>
      </c>
      <c r="J1395" t="b">
        <v>0</v>
      </c>
      <c r="K1395">
        <v>14</v>
      </c>
      <c r="L1395">
        <v>3</v>
      </c>
      <c r="M1395">
        <v>2026</v>
      </c>
      <c r="N1395">
        <v>1</v>
      </c>
      <c r="O1395">
        <v>2</v>
      </c>
      <c r="P1395">
        <v>2026</v>
      </c>
      <c r="Q1395">
        <v>1</v>
      </c>
      <c r="R1395" t="s">
        <v>40</v>
      </c>
      <c r="S1395" t="s">
        <v>45</v>
      </c>
      <c r="T1395" t="s">
        <v>42</v>
      </c>
      <c r="U1395" t="s">
        <v>40</v>
      </c>
      <c r="V1395" t="s">
        <v>147</v>
      </c>
      <c r="W1395" t="s">
        <v>148</v>
      </c>
      <c r="X1395" t="s">
        <v>45</v>
      </c>
      <c r="Y1395">
        <v>160</v>
      </c>
      <c r="Z1395" t="s">
        <v>58</v>
      </c>
      <c r="AA1395" t="s">
        <v>59</v>
      </c>
      <c r="AB1395" s="1">
        <v>46084</v>
      </c>
      <c r="AC1395" t="s">
        <v>40</v>
      </c>
      <c r="AD1395" t="s">
        <v>40</v>
      </c>
      <c r="AE1395" t="s">
        <v>60</v>
      </c>
      <c r="AF1395" t="s">
        <v>40</v>
      </c>
      <c r="AG1395">
        <v>0</v>
      </c>
      <c r="AH1395" t="s">
        <v>70</v>
      </c>
    </row>
    <row r="1396" spans="1:34" x14ac:dyDescent="0.3">
      <c r="A1396" t="s">
        <v>2083</v>
      </c>
      <c r="B1396" t="s">
        <v>370</v>
      </c>
      <c r="C1396" t="s">
        <v>97</v>
      </c>
      <c r="D1396" t="s">
        <v>90</v>
      </c>
      <c r="E1396" s="1">
        <v>46178</v>
      </c>
      <c r="F1396" s="1">
        <v>46179</v>
      </c>
      <c r="G1396" t="s">
        <v>64</v>
      </c>
      <c r="H1396">
        <v>2798</v>
      </c>
      <c r="I1396" t="s">
        <v>65</v>
      </c>
      <c r="J1396" t="b">
        <v>0</v>
      </c>
      <c r="K1396">
        <v>1</v>
      </c>
      <c r="L1396">
        <v>6</v>
      </c>
      <c r="M1396">
        <v>2026</v>
      </c>
      <c r="N1396">
        <v>5</v>
      </c>
      <c r="O1396">
        <v>6</v>
      </c>
      <c r="P1396">
        <v>2026</v>
      </c>
      <c r="Q1396">
        <v>4</v>
      </c>
      <c r="R1396" t="s">
        <v>66</v>
      </c>
      <c r="S1396" t="s">
        <v>41</v>
      </c>
      <c r="T1396" t="s">
        <v>42</v>
      </c>
      <c r="U1396" t="s">
        <v>40</v>
      </c>
      <c r="V1396" t="s">
        <v>98</v>
      </c>
      <c r="W1396" t="s">
        <v>99</v>
      </c>
      <c r="X1396" t="s">
        <v>76</v>
      </c>
      <c r="Y1396">
        <v>80</v>
      </c>
      <c r="Z1396" t="s">
        <v>93</v>
      </c>
      <c r="AA1396" t="s">
        <v>94</v>
      </c>
      <c r="AB1396" s="1">
        <v>46179</v>
      </c>
      <c r="AC1396" t="s">
        <v>66</v>
      </c>
      <c r="AD1396" t="s">
        <v>40</v>
      </c>
      <c r="AE1396" t="s">
        <v>60</v>
      </c>
      <c r="AF1396" t="s">
        <v>40</v>
      </c>
      <c r="AG1396">
        <v>0</v>
      </c>
      <c r="AH1396" t="s">
        <v>100</v>
      </c>
    </row>
    <row r="1397" spans="1:34" x14ac:dyDescent="0.3">
      <c r="A1397" t="s">
        <v>2084</v>
      </c>
      <c r="B1397" t="s">
        <v>2076</v>
      </c>
      <c r="C1397" t="s">
        <v>89</v>
      </c>
      <c r="D1397" t="s">
        <v>37</v>
      </c>
      <c r="E1397" s="1">
        <v>46304</v>
      </c>
      <c r="F1397" s="1">
        <v>46404</v>
      </c>
      <c r="G1397" t="s">
        <v>38</v>
      </c>
      <c r="H1397">
        <v>3734</v>
      </c>
      <c r="I1397" t="s">
        <v>212</v>
      </c>
      <c r="J1397" t="b">
        <v>0</v>
      </c>
      <c r="K1397">
        <v>100</v>
      </c>
      <c r="L1397">
        <v>1</v>
      </c>
      <c r="M1397">
        <v>2027</v>
      </c>
      <c r="N1397">
        <v>6</v>
      </c>
      <c r="O1397">
        <v>10</v>
      </c>
      <c r="P1397">
        <v>2026</v>
      </c>
      <c r="Q1397">
        <v>4</v>
      </c>
      <c r="R1397" t="s">
        <v>66</v>
      </c>
      <c r="S1397" t="s">
        <v>45</v>
      </c>
      <c r="T1397" t="s">
        <v>42</v>
      </c>
      <c r="U1397" t="s">
        <v>66</v>
      </c>
      <c r="V1397" t="s">
        <v>91</v>
      </c>
      <c r="W1397" t="s">
        <v>92</v>
      </c>
      <c r="X1397" t="s">
        <v>76</v>
      </c>
      <c r="Y1397">
        <v>65</v>
      </c>
      <c r="Z1397" t="s">
        <v>46</v>
      </c>
      <c r="AA1397" t="s">
        <v>47</v>
      </c>
      <c r="AB1397" s="1"/>
      <c r="AC1397" t="s">
        <v>48</v>
      </c>
      <c r="AD1397" t="s">
        <v>48</v>
      </c>
      <c r="AE1397" t="s">
        <v>48</v>
      </c>
      <c r="AF1397" t="s">
        <v>48</v>
      </c>
      <c r="AG1397">
        <v>0</v>
      </c>
      <c r="AH1397" t="s">
        <v>49</v>
      </c>
    </row>
    <row r="1398" spans="1:34" x14ac:dyDescent="0.3">
      <c r="A1398" t="s">
        <v>2085</v>
      </c>
      <c r="B1398" t="s">
        <v>1024</v>
      </c>
      <c r="C1398" t="s">
        <v>79</v>
      </c>
      <c r="D1398" t="s">
        <v>37</v>
      </c>
      <c r="E1398" s="1">
        <v>45708</v>
      </c>
      <c r="F1398" s="1">
        <v>45808</v>
      </c>
      <c r="G1398" t="s">
        <v>38</v>
      </c>
      <c r="H1398">
        <v>4502</v>
      </c>
      <c r="I1398" t="s">
        <v>39</v>
      </c>
      <c r="J1398" t="b">
        <v>0</v>
      </c>
      <c r="K1398">
        <v>100</v>
      </c>
      <c r="L1398">
        <v>5</v>
      </c>
      <c r="M1398">
        <v>2025</v>
      </c>
      <c r="N1398">
        <v>5</v>
      </c>
      <c r="O1398">
        <v>2</v>
      </c>
      <c r="P1398">
        <v>2025</v>
      </c>
      <c r="Q1398">
        <v>3</v>
      </c>
      <c r="R1398" t="s">
        <v>66</v>
      </c>
      <c r="S1398" t="s">
        <v>45</v>
      </c>
      <c r="T1398" t="s">
        <v>42</v>
      </c>
      <c r="U1398" t="s">
        <v>66</v>
      </c>
      <c r="V1398" t="s">
        <v>82</v>
      </c>
      <c r="W1398" t="s">
        <v>83</v>
      </c>
      <c r="X1398" t="s">
        <v>76</v>
      </c>
      <c r="Y1398">
        <v>100</v>
      </c>
      <c r="Z1398" t="s">
        <v>46</v>
      </c>
      <c r="AA1398" t="s">
        <v>47</v>
      </c>
      <c r="AB1398" s="1">
        <v>45808</v>
      </c>
      <c r="AC1398" t="s">
        <v>66</v>
      </c>
      <c r="AD1398" t="s">
        <v>40</v>
      </c>
      <c r="AE1398" t="s">
        <v>69</v>
      </c>
      <c r="AF1398" t="s">
        <v>40</v>
      </c>
      <c r="AG1398">
        <v>0</v>
      </c>
      <c r="AH1398" t="s">
        <v>49</v>
      </c>
    </row>
    <row r="1399" spans="1:34" x14ac:dyDescent="0.3">
      <c r="A1399" t="s">
        <v>2086</v>
      </c>
      <c r="B1399" t="s">
        <v>515</v>
      </c>
      <c r="C1399" t="s">
        <v>169</v>
      </c>
      <c r="D1399" t="s">
        <v>130</v>
      </c>
      <c r="E1399" s="1">
        <v>45899</v>
      </c>
      <c r="F1399" s="1">
        <v>45900</v>
      </c>
      <c r="G1399" t="s">
        <v>81</v>
      </c>
      <c r="H1399">
        <v>8997</v>
      </c>
      <c r="I1399" t="s">
        <v>39</v>
      </c>
      <c r="J1399" t="b">
        <v>0</v>
      </c>
      <c r="K1399">
        <v>1</v>
      </c>
      <c r="L1399">
        <v>8</v>
      </c>
      <c r="M1399">
        <v>2025</v>
      </c>
      <c r="N1399">
        <v>6</v>
      </c>
      <c r="O1399">
        <v>8</v>
      </c>
      <c r="P1399">
        <v>2025</v>
      </c>
      <c r="Q1399">
        <v>5</v>
      </c>
      <c r="R1399" t="s">
        <v>66</v>
      </c>
      <c r="S1399" t="s">
        <v>45</v>
      </c>
      <c r="T1399" t="s">
        <v>42</v>
      </c>
      <c r="U1399" t="s">
        <v>40</v>
      </c>
      <c r="V1399" t="s">
        <v>170</v>
      </c>
      <c r="W1399" t="s">
        <v>171</v>
      </c>
      <c r="X1399" t="s">
        <v>126</v>
      </c>
      <c r="Y1399">
        <v>90</v>
      </c>
      <c r="Z1399" t="s">
        <v>133</v>
      </c>
      <c r="AA1399" t="s">
        <v>134</v>
      </c>
      <c r="AB1399" s="1">
        <v>45900</v>
      </c>
      <c r="AC1399" t="s">
        <v>66</v>
      </c>
      <c r="AD1399" t="s">
        <v>40</v>
      </c>
      <c r="AE1399" t="s">
        <v>86</v>
      </c>
      <c r="AF1399" t="s">
        <v>40</v>
      </c>
      <c r="AG1399">
        <v>0</v>
      </c>
      <c r="AH1399" t="s">
        <v>100</v>
      </c>
    </row>
    <row r="1400" spans="1:34" x14ac:dyDescent="0.3">
      <c r="A1400" t="s">
        <v>2087</v>
      </c>
      <c r="B1400" t="s">
        <v>1113</v>
      </c>
      <c r="C1400" t="s">
        <v>73</v>
      </c>
      <c r="D1400" t="s">
        <v>104</v>
      </c>
      <c r="E1400" s="1">
        <v>45836</v>
      </c>
      <c r="F1400" s="1">
        <v>45850</v>
      </c>
      <c r="G1400" t="s">
        <v>64</v>
      </c>
      <c r="H1400">
        <v>3806</v>
      </c>
      <c r="I1400" t="s">
        <v>39</v>
      </c>
      <c r="J1400" t="b">
        <v>0</v>
      </c>
      <c r="K1400">
        <v>14</v>
      </c>
      <c r="L1400">
        <v>7</v>
      </c>
      <c r="M1400">
        <v>2025</v>
      </c>
      <c r="N1400">
        <v>5</v>
      </c>
      <c r="O1400">
        <v>6</v>
      </c>
      <c r="P1400">
        <v>2025</v>
      </c>
      <c r="Q1400">
        <v>5</v>
      </c>
      <c r="R1400" t="s">
        <v>66</v>
      </c>
      <c r="S1400" t="s">
        <v>55</v>
      </c>
      <c r="T1400" t="s">
        <v>68</v>
      </c>
      <c r="U1400" t="s">
        <v>40</v>
      </c>
      <c r="V1400" t="s">
        <v>74</v>
      </c>
      <c r="W1400" t="s">
        <v>75</v>
      </c>
      <c r="X1400" t="s">
        <v>76</v>
      </c>
      <c r="Y1400">
        <v>75</v>
      </c>
      <c r="Z1400" t="s">
        <v>107</v>
      </c>
      <c r="AA1400" t="s">
        <v>108</v>
      </c>
      <c r="AB1400" s="1">
        <v>45850</v>
      </c>
      <c r="AC1400" t="s">
        <v>66</v>
      </c>
      <c r="AD1400" t="s">
        <v>40</v>
      </c>
      <c r="AE1400" t="s">
        <v>86</v>
      </c>
      <c r="AF1400" t="s">
        <v>40</v>
      </c>
      <c r="AG1400">
        <v>0</v>
      </c>
      <c r="AH1400" t="s">
        <v>70</v>
      </c>
    </row>
    <row r="1401" spans="1:34" x14ac:dyDescent="0.3">
      <c r="A1401" t="s">
        <v>2088</v>
      </c>
      <c r="B1401" t="s">
        <v>2036</v>
      </c>
      <c r="C1401" t="s">
        <v>103</v>
      </c>
      <c r="D1401" t="s">
        <v>130</v>
      </c>
      <c r="E1401" s="1">
        <v>45979</v>
      </c>
      <c r="F1401" s="1">
        <v>46039</v>
      </c>
      <c r="G1401" t="s">
        <v>41</v>
      </c>
      <c r="H1401">
        <v>7329</v>
      </c>
      <c r="I1401" t="s">
        <v>39</v>
      </c>
      <c r="J1401" t="b">
        <v>0</v>
      </c>
      <c r="K1401">
        <v>60</v>
      </c>
      <c r="L1401">
        <v>1</v>
      </c>
      <c r="M1401">
        <v>2026</v>
      </c>
      <c r="N1401">
        <v>5</v>
      </c>
      <c r="O1401">
        <v>11</v>
      </c>
      <c r="P1401">
        <v>2025</v>
      </c>
      <c r="Q1401">
        <v>1</v>
      </c>
      <c r="R1401" t="s">
        <v>66</v>
      </c>
      <c r="S1401" t="s">
        <v>41</v>
      </c>
      <c r="T1401" t="s">
        <v>42</v>
      </c>
      <c r="U1401" t="s">
        <v>40</v>
      </c>
      <c r="V1401" t="s">
        <v>105</v>
      </c>
      <c r="W1401" t="s">
        <v>106</v>
      </c>
      <c r="X1401" t="s">
        <v>45</v>
      </c>
      <c r="Y1401">
        <v>140</v>
      </c>
      <c r="Z1401" t="s">
        <v>133</v>
      </c>
      <c r="AA1401" t="s">
        <v>134</v>
      </c>
      <c r="AB1401" s="1">
        <v>46039</v>
      </c>
      <c r="AC1401" t="s">
        <v>66</v>
      </c>
      <c r="AD1401" t="s">
        <v>40</v>
      </c>
      <c r="AE1401" t="s">
        <v>86</v>
      </c>
      <c r="AF1401" t="s">
        <v>40</v>
      </c>
      <c r="AG1401">
        <v>0</v>
      </c>
      <c r="AH1401" t="s">
        <v>61</v>
      </c>
    </row>
    <row r="1402" spans="1:34" x14ac:dyDescent="0.3">
      <c r="A1402" t="s">
        <v>2089</v>
      </c>
      <c r="B1402" t="s">
        <v>1257</v>
      </c>
      <c r="C1402" t="s">
        <v>79</v>
      </c>
      <c r="D1402" t="s">
        <v>130</v>
      </c>
      <c r="E1402" s="1">
        <v>46096</v>
      </c>
      <c r="F1402" s="1">
        <v>46316</v>
      </c>
      <c r="G1402" t="s">
        <v>81</v>
      </c>
      <c r="H1402">
        <v>9303</v>
      </c>
      <c r="I1402" t="s">
        <v>54</v>
      </c>
      <c r="J1402" t="b">
        <v>0</v>
      </c>
      <c r="K1402">
        <v>220</v>
      </c>
      <c r="L1402">
        <v>10</v>
      </c>
      <c r="M1402">
        <v>2026</v>
      </c>
      <c r="N1402">
        <v>2</v>
      </c>
      <c r="O1402">
        <v>3</v>
      </c>
      <c r="P1402">
        <v>2026</v>
      </c>
      <c r="Q1402">
        <v>6</v>
      </c>
      <c r="R1402" t="s">
        <v>40</v>
      </c>
      <c r="S1402" t="s">
        <v>45</v>
      </c>
      <c r="T1402" t="s">
        <v>42</v>
      </c>
      <c r="U1402" t="s">
        <v>40</v>
      </c>
      <c r="V1402" t="s">
        <v>82</v>
      </c>
      <c r="W1402" t="s">
        <v>83</v>
      </c>
      <c r="X1402" t="s">
        <v>76</v>
      </c>
      <c r="Y1402">
        <v>100</v>
      </c>
      <c r="Z1402" t="s">
        <v>133</v>
      </c>
      <c r="AA1402" t="s">
        <v>134</v>
      </c>
      <c r="AB1402" s="1">
        <v>46316</v>
      </c>
      <c r="AC1402" t="s">
        <v>40</v>
      </c>
      <c r="AD1402" t="s">
        <v>40</v>
      </c>
      <c r="AE1402" t="s">
        <v>60</v>
      </c>
      <c r="AF1402" t="s">
        <v>40</v>
      </c>
      <c r="AG1402">
        <v>1</v>
      </c>
      <c r="AH1402" t="s">
        <v>142</v>
      </c>
    </row>
    <row r="1403" spans="1:34" x14ac:dyDescent="0.3">
      <c r="A1403" t="s">
        <v>2090</v>
      </c>
      <c r="B1403" t="s">
        <v>1408</v>
      </c>
      <c r="C1403" t="s">
        <v>155</v>
      </c>
      <c r="D1403" t="s">
        <v>37</v>
      </c>
      <c r="E1403" s="1">
        <v>46042</v>
      </c>
      <c r="F1403" s="1">
        <v>46072</v>
      </c>
      <c r="G1403" t="s">
        <v>38</v>
      </c>
      <c r="H1403">
        <v>5346</v>
      </c>
      <c r="I1403" t="s">
        <v>39</v>
      </c>
      <c r="J1403" t="b">
        <v>0</v>
      </c>
      <c r="K1403">
        <v>30</v>
      </c>
      <c r="L1403">
        <v>2</v>
      </c>
      <c r="M1403">
        <v>2026</v>
      </c>
      <c r="N1403">
        <v>3</v>
      </c>
      <c r="O1403">
        <v>1</v>
      </c>
      <c r="P1403">
        <v>2026</v>
      </c>
      <c r="Q1403">
        <v>1</v>
      </c>
      <c r="R1403" t="s">
        <v>40</v>
      </c>
      <c r="S1403" t="s">
        <v>45</v>
      </c>
      <c r="T1403" t="s">
        <v>113</v>
      </c>
      <c r="U1403" t="s">
        <v>66</v>
      </c>
      <c r="V1403" t="s">
        <v>156</v>
      </c>
      <c r="W1403" t="s">
        <v>157</v>
      </c>
      <c r="X1403" t="s">
        <v>158</v>
      </c>
      <c r="Y1403">
        <v>70</v>
      </c>
      <c r="Z1403" t="s">
        <v>46</v>
      </c>
      <c r="AA1403" t="s">
        <v>47</v>
      </c>
      <c r="AB1403" s="1">
        <v>46072</v>
      </c>
      <c r="AC1403" t="s">
        <v>40</v>
      </c>
      <c r="AD1403" t="s">
        <v>40</v>
      </c>
      <c r="AE1403" t="s">
        <v>60</v>
      </c>
      <c r="AF1403" t="s">
        <v>40</v>
      </c>
      <c r="AG1403">
        <v>0</v>
      </c>
      <c r="AH1403" t="s">
        <v>70</v>
      </c>
    </row>
    <row r="1404" spans="1:34" x14ac:dyDescent="0.3">
      <c r="A1404" t="s">
        <v>2091</v>
      </c>
      <c r="B1404" t="s">
        <v>1237</v>
      </c>
      <c r="C1404" t="s">
        <v>97</v>
      </c>
      <c r="D1404" t="s">
        <v>130</v>
      </c>
      <c r="E1404" s="1">
        <v>45917</v>
      </c>
      <c r="F1404" s="1">
        <v>45920</v>
      </c>
      <c r="G1404" t="s">
        <v>38</v>
      </c>
      <c r="H1404">
        <v>5532</v>
      </c>
      <c r="I1404" t="s">
        <v>54</v>
      </c>
      <c r="J1404" t="b">
        <v>0</v>
      </c>
      <c r="K1404">
        <v>3</v>
      </c>
      <c r="L1404">
        <v>9</v>
      </c>
      <c r="M1404">
        <v>2025</v>
      </c>
      <c r="N1404">
        <v>5</v>
      </c>
      <c r="O1404">
        <v>9</v>
      </c>
      <c r="P1404">
        <v>2025</v>
      </c>
      <c r="Q1404">
        <v>2</v>
      </c>
      <c r="R1404" t="s">
        <v>66</v>
      </c>
      <c r="S1404" t="s">
        <v>41</v>
      </c>
      <c r="T1404" t="s">
        <v>42</v>
      </c>
      <c r="U1404" t="s">
        <v>40</v>
      </c>
      <c r="V1404" t="s">
        <v>98</v>
      </c>
      <c r="W1404" t="s">
        <v>99</v>
      </c>
      <c r="X1404" t="s">
        <v>76</v>
      </c>
      <c r="Y1404">
        <v>80</v>
      </c>
      <c r="Z1404" t="s">
        <v>133</v>
      </c>
      <c r="AA1404" t="s">
        <v>134</v>
      </c>
      <c r="AB1404" s="1">
        <v>45920</v>
      </c>
      <c r="AC1404" t="s">
        <v>66</v>
      </c>
      <c r="AD1404" t="s">
        <v>40</v>
      </c>
      <c r="AE1404" t="s">
        <v>60</v>
      </c>
      <c r="AF1404" t="s">
        <v>40</v>
      </c>
      <c r="AG1404">
        <v>1</v>
      </c>
      <c r="AH1404" t="s">
        <v>100</v>
      </c>
    </row>
    <row r="1405" spans="1:34" x14ac:dyDescent="0.3">
      <c r="A1405" t="s">
        <v>2092</v>
      </c>
      <c r="B1405" t="s">
        <v>907</v>
      </c>
      <c r="C1405" t="s">
        <v>36</v>
      </c>
      <c r="D1405" t="s">
        <v>90</v>
      </c>
      <c r="E1405" s="1">
        <v>46243</v>
      </c>
      <c r="F1405" s="1">
        <v>46250</v>
      </c>
      <c r="G1405" t="s">
        <v>41</v>
      </c>
      <c r="H1405">
        <v>7320</v>
      </c>
      <c r="I1405" t="s">
        <v>39</v>
      </c>
      <c r="J1405" t="b">
        <v>0</v>
      </c>
      <c r="K1405">
        <v>7</v>
      </c>
      <c r="L1405">
        <v>8</v>
      </c>
      <c r="M1405">
        <v>2026</v>
      </c>
      <c r="N1405">
        <v>6</v>
      </c>
      <c r="O1405">
        <v>8</v>
      </c>
      <c r="P1405">
        <v>2026</v>
      </c>
      <c r="Q1405">
        <v>6</v>
      </c>
      <c r="R1405" t="s">
        <v>66</v>
      </c>
      <c r="S1405" t="s">
        <v>41</v>
      </c>
      <c r="T1405" t="s">
        <v>113</v>
      </c>
      <c r="U1405" t="s">
        <v>40</v>
      </c>
      <c r="V1405" t="s">
        <v>43</v>
      </c>
      <c r="W1405" t="s">
        <v>44</v>
      </c>
      <c r="X1405" t="s">
        <v>45</v>
      </c>
      <c r="Y1405">
        <v>150</v>
      </c>
      <c r="Z1405" t="s">
        <v>93</v>
      </c>
      <c r="AA1405" t="s">
        <v>94</v>
      </c>
      <c r="AB1405" s="1">
        <v>46250</v>
      </c>
      <c r="AC1405" t="s">
        <v>66</v>
      </c>
      <c r="AD1405" t="s">
        <v>40</v>
      </c>
      <c r="AE1405" t="s">
        <v>86</v>
      </c>
      <c r="AF1405" t="s">
        <v>40</v>
      </c>
      <c r="AG1405">
        <v>0</v>
      </c>
      <c r="AH1405" t="s">
        <v>100</v>
      </c>
    </row>
    <row r="1406" spans="1:34" x14ac:dyDescent="0.3">
      <c r="A1406" t="s">
        <v>2093</v>
      </c>
      <c r="B1406" t="s">
        <v>2094</v>
      </c>
      <c r="C1406" t="s">
        <v>122</v>
      </c>
      <c r="D1406" t="s">
        <v>90</v>
      </c>
      <c r="E1406" s="1">
        <v>45733</v>
      </c>
      <c r="F1406" s="1">
        <v>45736</v>
      </c>
      <c r="G1406" t="s">
        <v>41</v>
      </c>
      <c r="H1406">
        <v>8155</v>
      </c>
      <c r="I1406" t="s">
        <v>39</v>
      </c>
      <c r="J1406" t="b">
        <v>0</v>
      </c>
      <c r="K1406">
        <v>3</v>
      </c>
      <c r="L1406">
        <v>3</v>
      </c>
      <c r="M1406">
        <v>2025</v>
      </c>
      <c r="N1406">
        <v>3</v>
      </c>
      <c r="O1406">
        <v>3</v>
      </c>
      <c r="P1406">
        <v>2025</v>
      </c>
      <c r="Q1406">
        <v>0</v>
      </c>
      <c r="R1406" t="s">
        <v>40</v>
      </c>
      <c r="S1406" t="s">
        <v>41</v>
      </c>
      <c r="T1406" t="s">
        <v>42</v>
      </c>
      <c r="U1406" t="s">
        <v>40</v>
      </c>
      <c r="V1406" t="s">
        <v>124</v>
      </c>
      <c r="W1406" t="s">
        <v>125</v>
      </c>
      <c r="X1406" t="s">
        <v>126</v>
      </c>
      <c r="Y1406">
        <v>85</v>
      </c>
      <c r="Z1406" t="s">
        <v>93</v>
      </c>
      <c r="AA1406" t="s">
        <v>94</v>
      </c>
      <c r="AB1406" s="1">
        <v>45736</v>
      </c>
      <c r="AC1406" t="s">
        <v>40</v>
      </c>
      <c r="AD1406" t="s">
        <v>40</v>
      </c>
      <c r="AE1406" t="s">
        <v>60</v>
      </c>
      <c r="AF1406" t="s">
        <v>40</v>
      </c>
      <c r="AG1406">
        <v>0</v>
      </c>
      <c r="AH1406" t="s">
        <v>100</v>
      </c>
    </row>
    <row r="1407" spans="1:34" x14ac:dyDescent="0.3">
      <c r="A1407" t="s">
        <v>2095</v>
      </c>
      <c r="B1407" t="s">
        <v>2096</v>
      </c>
      <c r="C1407" t="s">
        <v>122</v>
      </c>
      <c r="D1407" t="s">
        <v>53</v>
      </c>
      <c r="E1407" s="1">
        <v>46248</v>
      </c>
      <c r="F1407" s="1">
        <v>46398</v>
      </c>
      <c r="G1407" t="s">
        <v>41</v>
      </c>
      <c r="H1407">
        <v>8443</v>
      </c>
      <c r="I1407" t="s">
        <v>54</v>
      </c>
      <c r="J1407" t="b">
        <v>0</v>
      </c>
      <c r="K1407">
        <v>150</v>
      </c>
      <c r="L1407">
        <v>1</v>
      </c>
      <c r="M1407">
        <v>2027</v>
      </c>
      <c r="N1407">
        <v>0</v>
      </c>
      <c r="O1407">
        <v>8</v>
      </c>
      <c r="P1407">
        <v>2026</v>
      </c>
      <c r="Q1407">
        <v>4</v>
      </c>
      <c r="R1407" t="s">
        <v>40</v>
      </c>
      <c r="S1407" t="s">
        <v>45</v>
      </c>
      <c r="T1407" t="s">
        <v>42</v>
      </c>
      <c r="U1407" t="s">
        <v>40</v>
      </c>
      <c r="V1407" t="s">
        <v>124</v>
      </c>
      <c r="W1407" t="s">
        <v>125</v>
      </c>
      <c r="X1407" t="s">
        <v>126</v>
      </c>
      <c r="Y1407">
        <v>85</v>
      </c>
      <c r="Z1407" t="s">
        <v>58</v>
      </c>
      <c r="AA1407" t="s">
        <v>59</v>
      </c>
      <c r="AB1407" s="1"/>
      <c r="AC1407" t="s">
        <v>48</v>
      </c>
      <c r="AD1407" t="s">
        <v>48</v>
      </c>
      <c r="AE1407" t="s">
        <v>48</v>
      </c>
      <c r="AF1407" t="s">
        <v>48</v>
      </c>
      <c r="AG1407">
        <v>1</v>
      </c>
      <c r="AH1407" t="s">
        <v>49</v>
      </c>
    </row>
    <row r="1408" spans="1:34" x14ac:dyDescent="0.3">
      <c r="A1408" t="s">
        <v>2097</v>
      </c>
      <c r="B1408" t="s">
        <v>809</v>
      </c>
      <c r="C1408" t="s">
        <v>129</v>
      </c>
      <c r="D1408" t="s">
        <v>80</v>
      </c>
      <c r="E1408" s="1">
        <v>45974</v>
      </c>
      <c r="F1408" s="1">
        <v>45981</v>
      </c>
      <c r="G1408" t="s">
        <v>64</v>
      </c>
      <c r="H1408">
        <v>2873</v>
      </c>
      <c r="I1408" t="s">
        <v>65</v>
      </c>
      <c r="J1408" t="b">
        <v>0</v>
      </c>
      <c r="K1408">
        <v>7</v>
      </c>
      <c r="L1408">
        <v>11</v>
      </c>
      <c r="M1408">
        <v>2025</v>
      </c>
      <c r="N1408">
        <v>3</v>
      </c>
      <c r="O1408">
        <v>11</v>
      </c>
      <c r="P1408">
        <v>2025</v>
      </c>
      <c r="Q1408">
        <v>3</v>
      </c>
      <c r="R1408" t="s">
        <v>40</v>
      </c>
      <c r="S1408" t="s">
        <v>67</v>
      </c>
      <c r="T1408" t="s">
        <v>42</v>
      </c>
      <c r="U1408" t="s">
        <v>40</v>
      </c>
      <c r="V1408" t="s">
        <v>131</v>
      </c>
      <c r="W1408" t="s">
        <v>132</v>
      </c>
      <c r="X1408" t="s">
        <v>45</v>
      </c>
      <c r="Y1408">
        <v>110</v>
      </c>
      <c r="Z1408" t="s">
        <v>84</v>
      </c>
      <c r="AA1408" t="s">
        <v>85</v>
      </c>
      <c r="AB1408" s="1">
        <v>45981</v>
      </c>
      <c r="AC1408" t="s">
        <v>40</v>
      </c>
      <c r="AD1408" t="s">
        <v>40</v>
      </c>
      <c r="AE1408" t="s">
        <v>86</v>
      </c>
      <c r="AF1408" t="s">
        <v>40</v>
      </c>
      <c r="AG1408">
        <v>0</v>
      </c>
      <c r="AH1408" t="s">
        <v>100</v>
      </c>
    </row>
    <row r="1409" spans="1:34" x14ac:dyDescent="0.3">
      <c r="A1409" t="s">
        <v>2098</v>
      </c>
      <c r="B1409" t="s">
        <v>554</v>
      </c>
      <c r="C1409" t="s">
        <v>97</v>
      </c>
      <c r="D1409" t="s">
        <v>90</v>
      </c>
      <c r="E1409" s="1">
        <v>45785</v>
      </c>
      <c r="F1409" s="1">
        <v>45788</v>
      </c>
      <c r="G1409" t="s">
        <v>38</v>
      </c>
      <c r="H1409">
        <v>3783</v>
      </c>
      <c r="I1409" t="s">
        <v>65</v>
      </c>
      <c r="J1409" t="b">
        <v>0</v>
      </c>
      <c r="K1409">
        <v>3</v>
      </c>
      <c r="L1409">
        <v>5</v>
      </c>
      <c r="M1409">
        <v>2025</v>
      </c>
      <c r="N1409">
        <v>6</v>
      </c>
      <c r="O1409">
        <v>5</v>
      </c>
      <c r="P1409">
        <v>2025</v>
      </c>
      <c r="Q1409">
        <v>3</v>
      </c>
      <c r="R1409" t="s">
        <v>66</v>
      </c>
      <c r="S1409" t="s">
        <v>55</v>
      </c>
      <c r="T1409" t="s">
        <v>286</v>
      </c>
      <c r="U1409" t="s">
        <v>66</v>
      </c>
      <c r="V1409" t="s">
        <v>98</v>
      </c>
      <c r="W1409" t="s">
        <v>99</v>
      </c>
      <c r="X1409" t="s">
        <v>76</v>
      </c>
      <c r="Y1409">
        <v>80</v>
      </c>
      <c r="Z1409" t="s">
        <v>93</v>
      </c>
      <c r="AA1409" t="s">
        <v>94</v>
      </c>
      <c r="AB1409" s="1">
        <v>45788</v>
      </c>
      <c r="AC1409" t="s">
        <v>66</v>
      </c>
      <c r="AD1409" t="s">
        <v>40</v>
      </c>
      <c r="AE1409" t="s">
        <v>69</v>
      </c>
      <c r="AF1409" t="s">
        <v>40</v>
      </c>
      <c r="AG1409">
        <v>0</v>
      </c>
      <c r="AH1409" t="s">
        <v>100</v>
      </c>
    </row>
    <row r="1410" spans="1:34" x14ac:dyDescent="0.3">
      <c r="A1410" t="s">
        <v>2099</v>
      </c>
      <c r="B1410" t="s">
        <v>519</v>
      </c>
      <c r="C1410" t="s">
        <v>169</v>
      </c>
      <c r="D1410" t="s">
        <v>80</v>
      </c>
      <c r="E1410" s="1">
        <v>46313</v>
      </c>
      <c r="F1410" s="1">
        <v>46327</v>
      </c>
      <c r="G1410" t="s">
        <v>81</v>
      </c>
      <c r="H1410">
        <v>6509</v>
      </c>
      <c r="I1410" t="s">
        <v>39</v>
      </c>
      <c r="J1410" t="b">
        <v>0</v>
      </c>
      <c r="K1410">
        <v>14</v>
      </c>
      <c r="L1410">
        <v>11</v>
      </c>
      <c r="M1410">
        <v>2026</v>
      </c>
      <c r="N1410">
        <v>6</v>
      </c>
      <c r="O1410">
        <v>10</v>
      </c>
      <c r="P1410">
        <v>2026</v>
      </c>
      <c r="Q1410">
        <v>6</v>
      </c>
      <c r="R1410" t="s">
        <v>66</v>
      </c>
      <c r="S1410" t="s">
        <v>41</v>
      </c>
      <c r="T1410" t="s">
        <v>42</v>
      </c>
      <c r="U1410" t="s">
        <v>40</v>
      </c>
      <c r="V1410" t="s">
        <v>170</v>
      </c>
      <c r="W1410" t="s">
        <v>171</v>
      </c>
      <c r="X1410" t="s">
        <v>126</v>
      </c>
      <c r="Y1410">
        <v>90</v>
      </c>
      <c r="Z1410" t="s">
        <v>84</v>
      </c>
      <c r="AA1410" t="s">
        <v>85</v>
      </c>
      <c r="AB1410" s="1">
        <v>46327</v>
      </c>
      <c r="AC1410" t="s">
        <v>66</v>
      </c>
      <c r="AD1410" t="s">
        <v>40</v>
      </c>
      <c r="AE1410" t="s">
        <v>86</v>
      </c>
      <c r="AF1410" t="s">
        <v>40</v>
      </c>
      <c r="AG1410">
        <v>0</v>
      </c>
      <c r="AH1410" t="s">
        <v>70</v>
      </c>
    </row>
    <row r="1411" spans="1:34" x14ac:dyDescent="0.3">
      <c r="A1411" t="s">
        <v>2100</v>
      </c>
      <c r="B1411" t="s">
        <v>2101</v>
      </c>
      <c r="C1411" t="s">
        <v>146</v>
      </c>
      <c r="D1411" t="s">
        <v>37</v>
      </c>
      <c r="E1411" s="1">
        <v>46103</v>
      </c>
      <c r="F1411" s="1">
        <v>46133</v>
      </c>
      <c r="G1411" t="s">
        <v>81</v>
      </c>
      <c r="H1411">
        <v>10187</v>
      </c>
      <c r="I1411" t="s">
        <v>39</v>
      </c>
      <c r="J1411" t="b">
        <v>0</v>
      </c>
      <c r="K1411">
        <v>30</v>
      </c>
      <c r="L1411">
        <v>4</v>
      </c>
      <c r="M1411">
        <v>2026</v>
      </c>
      <c r="N1411">
        <v>1</v>
      </c>
      <c r="O1411">
        <v>3</v>
      </c>
      <c r="P1411">
        <v>2026</v>
      </c>
      <c r="Q1411">
        <v>6</v>
      </c>
      <c r="R1411" t="s">
        <v>40</v>
      </c>
      <c r="S1411" t="s">
        <v>67</v>
      </c>
      <c r="T1411" t="s">
        <v>286</v>
      </c>
      <c r="U1411" t="s">
        <v>40</v>
      </c>
      <c r="V1411" t="s">
        <v>147</v>
      </c>
      <c r="W1411" t="s">
        <v>148</v>
      </c>
      <c r="X1411" t="s">
        <v>45</v>
      </c>
      <c r="Y1411">
        <v>160</v>
      </c>
      <c r="Z1411" t="s">
        <v>46</v>
      </c>
      <c r="AA1411" t="s">
        <v>47</v>
      </c>
      <c r="AB1411" s="1">
        <v>46133</v>
      </c>
      <c r="AC1411" t="s">
        <v>40</v>
      </c>
      <c r="AD1411" t="s">
        <v>40</v>
      </c>
      <c r="AE1411" t="s">
        <v>69</v>
      </c>
      <c r="AF1411" t="s">
        <v>40</v>
      </c>
      <c r="AG1411">
        <v>0</v>
      </c>
      <c r="AH1411" t="s">
        <v>70</v>
      </c>
    </row>
    <row r="1412" spans="1:34" x14ac:dyDescent="0.3">
      <c r="A1412" t="s">
        <v>2102</v>
      </c>
      <c r="B1412" t="s">
        <v>780</v>
      </c>
      <c r="C1412" t="s">
        <v>73</v>
      </c>
      <c r="D1412" t="s">
        <v>130</v>
      </c>
      <c r="E1412" s="1">
        <v>46260</v>
      </c>
      <c r="F1412" s="1">
        <v>46320</v>
      </c>
      <c r="G1412" t="s">
        <v>81</v>
      </c>
      <c r="H1412">
        <v>10304</v>
      </c>
      <c r="I1412" t="s">
        <v>39</v>
      </c>
      <c r="J1412" t="b">
        <v>0</v>
      </c>
      <c r="K1412">
        <v>60</v>
      </c>
      <c r="L1412">
        <v>10</v>
      </c>
      <c r="M1412">
        <v>2026</v>
      </c>
      <c r="N1412">
        <v>6</v>
      </c>
      <c r="O1412">
        <v>8</v>
      </c>
      <c r="P1412">
        <v>2026</v>
      </c>
      <c r="Q1412">
        <v>2</v>
      </c>
      <c r="R1412" t="s">
        <v>66</v>
      </c>
      <c r="S1412" t="s">
        <v>41</v>
      </c>
      <c r="T1412" t="s">
        <v>42</v>
      </c>
      <c r="U1412" t="s">
        <v>40</v>
      </c>
      <c r="V1412" t="s">
        <v>74</v>
      </c>
      <c r="W1412" t="s">
        <v>75</v>
      </c>
      <c r="X1412" t="s">
        <v>76</v>
      </c>
      <c r="Y1412">
        <v>75</v>
      </c>
      <c r="Z1412" t="s">
        <v>133</v>
      </c>
      <c r="AA1412" t="s">
        <v>134</v>
      </c>
      <c r="AB1412" s="1">
        <v>46320</v>
      </c>
      <c r="AC1412" t="s">
        <v>66</v>
      </c>
      <c r="AD1412" t="s">
        <v>40</v>
      </c>
      <c r="AE1412" t="s">
        <v>60</v>
      </c>
      <c r="AF1412" t="s">
        <v>40</v>
      </c>
      <c r="AG1412">
        <v>0</v>
      </c>
      <c r="AH1412" t="s">
        <v>61</v>
      </c>
    </row>
    <row r="1413" spans="1:34" x14ac:dyDescent="0.3">
      <c r="A1413" t="s">
        <v>2103</v>
      </c>
      <c r="B1413" t="s">
        <v>373</v>
      </c>
      <c r="C1413" t="s">
        <v>97</v>
      </c>
      <c r="D1413" t="s">
        <v>80</v>
      </c>
      <c r="E1413" s="1">
        <v>46047</v>
      </c>
      <c r="F1413" s="1">
        <v>46054</v>
      </c>
      <c r="G1413" t="s">
        <v>38</v>
      </c>
      <c r="H1413">
        <v>5019</v>
      </c>
      <c r="I1413" t="s">
        <v>39</v>
      </c>
      <c r="J1413" t="b">
        <v>0</v>
      </c>
      <c r="K1413">
        <v>7</v>
      </c>
      <c r="L1413">
        <v>2</v>
      </c>
      <c r="M1413">
        <v>2026</v>
      </c>
      <c r="N1413">
        <v>6</v>
      </c>
      <c r="O1413">
        <v>1</v>
      </c>
      <c r="P1413">
        <v>2026</v>
      </c>
      <c r="Q1413">
        <v>6</v>
      </c>
      <c r="R1413" t="s">
        <v>66</v>
      </c>
      <c r="S1413" t="s">
        <v>45</v>
      </c>
      <c r="T1413" t="s">
        <v>42</v>
      </c>
      <c r="U1413" t="s">
        <v>40</v>
      </c>
      <c r="V1413" t="s">
        <v>98</v>
      </c>
      <c r="W1413" t="s">
        <v>99</v>
      </c>
      <c r="X1413" t="s">
        <v>76</v>
      </c>
      <c r="Y1413">
        <v>80</v>
      </c>
      <c r="Z1413" t="s">
        <v>84</v>
      </c>
      <c r="AA1413" t="s">
        <v>85</v>
      </c>
      <c r="AB1413" s="1">
        <v>46054</v>
      </c>
      <c r="AC1413" t="s">
        <v>66</v>
      </c>
      <c r="AD1413" t="s">
        <v>40</v>
      </c>
      <c r="AE1413" t="s">
        <v>60</v>
      </c>
      <c r="AF1413" t="s">
        <v>40</v>
      </c>
      <c r="AG1413">
        <v>0</v>
      </c>
      <c r="AH1413" t="s">
        <v>100</v>
      </c>
    </row>
    <row r="1414" spans="1:34" x14ac:dyDescent="0.3">
      <c r="A1414" t="s">
        <v>2104</v>
      </c>
      <c r="B1414" t="s">
        <v>866</v>
      </c>
      <c r="C1414" t="s">
        <v>146</v>
      </c>
      <c r="D1414" t="s">
        <v>90</v>
      </c>
      <c r="E1414" s="1">
        <v>46131</v>
      </c>
      <c r="F1414" s="1">
        <v>46145</v>
      </c>
      <c r="G1414" t="s">
        <v>38</v>
      </c>
      <c r="H1414">
        <v>4461</v>
      </c>
      <c r="I1414" t="s">
        <v>39</v>
      </c>
      <c r="J1414" t="b">
        <v>0</v>
      </c>
      <c r="K1414">
        <v>14</v>
      </c>
      <c r="L1414">
        <v>5</v>
      </c>
      <c r="M1414">
        <v>2026</v>
      </c>
      <c r="N1414">
        <v>6</v>
      </c>
      <c r="O1414">
        <v>4</v>
      </c>
      <c r="P1414">
        <v>2026</v>
      </c>
      <c r="Q1414">
        <v>6</v>
      </c>
      <c r="R1414" t="s">
        <v>66</v>
      </c>
      <c r="S1414" t="s">
        <v>41</v>
      </c>
      <c r="T1414" t="s">
        <v>42</v>
      </c>
      <c r="U1414" t="s">
        <v>66</v>
      </c>
      <c r="V1414" t="s">
        <v>147</v>
      </c>
      <c r="W1414" t="s">
        <v>148</v>
      </c>
      <c r="X1414" t="s">
        <v>45</v>
      </c>
      <c r="Y1414">
        <v>160</v>
      </c>
      <c r="Z1414" t="s">
        <v>93</v>
      </c>
      <c r="AA1414" t="s">
        <v>94</v>
      </c>
      <c r="AB1414" s="1">
        <v>46145</v>
      </c>
      <c r="AC1414" t="s">
        <v>66</v>
      </c>
      <c r="AD1414" t="s">
        <v>40</v>
      </c>
      <c r="AE1414" t="s">
        <v>69</v>
      </c>
      <c r="AF1414" t="s">
        <v>40</v>
      </c>
      <c r="AG1414">
        <v>0</v>
      </c>
      <c r="AH1414" t="s">
        <v>70</v>
      </c>
    </row>
    <row r="1415" spans="1:34" x14ac:dyDescent="0.3">
      <c r="A1415" t="s">
        <v>2105</v>
      </c>
      <c r="B1415" t="s">
        <v>1496</v>
      </c>
      <c r="C1415" t="s">
        <v>155</v>
      </c>
      <c r="D1415" t="s">
        <v>53</v>
      </c>
      <c r="E1415" s="1">
        <v>46284</v>
      </c>
      <c r="F1415" s="1">
        <v>46298</v>
      </c>
      <c r="G1415" t="s">
        <v>81</v>
      </c>
      <c r="H1415">
        <v>8531</v>
      </c>
      <c r="I1415" t="s">
        <v>65</v>
      </c>
      <c r="J1415" t="b">
        <v>0</v>
      </c>
      <c r="K1415">
        <v>14</v>
      </c>
      <c r="L1415">
        <v>10</v>
      </c>
      <c r="M1415">
        <v>2026</v>
      </c>
      <c r="N1415">
        <v>5</v>
      </c>
      <c r="O1415">
        <v>9</v>
      </c>
      <c r="P1415">
        <v>2026</v>
      </c>
      <c r="Q1415">
        <v>5</v>
      </c>
      <c r="R1415" t="s">
        <v>66</v>
      </c>
      <c r="S1415" t="s">
        <v>41</v>
      </c>
      <c r="T1415" t="s">
        <v>113</v>
      </c>
      <c r="U1415" t="s">
        <v>66</v>
      </c>
      <c r="V1415" t="s">
        <v>156</v>
      </c>
      <c r="W1415" t="s">
        <v>157</v>
      </c>
      <c r="X1415" t="s">
        <v>158</v>
      </c>
      <c r="Y1415">
        <v>70</v>
      </c>
      <c r="Z1415" t="s">
        <v>58</v>
      </c>
      <c r="AA1415" t="s">
        <v>59</v>
      </c>
      <c r="AB1415" s="1">
        <v>46298</v>
      </c>
      <c r="AC1415" t="s">
        <v>66</v>
      </c>
      <c r="AD1415" t="s">
        <v>40</v>
      </c>
      <c r="AE1415" t="s">
        <v>60</v>
      </c>
      <c r="AF1415" t="s">
        <v>40</v>
      </c>
      <c r="AG1415">
        <v>0</v>
      </c>
      <c r="AH1415" t="s">
        <v>70</v>
      </c>
    </row>
    <row r="1416" spans="1:34" x14ac:dyDescent="0.3">
      <c r="A1416" t="s">
        <v>2106</v>
      </c>
      <c r="B1416" t="s">
        <v>873</v>
      </c>
      <c r="C1416" t="s">
        <v>89</v>
      </c>
      <c r="D1416" t="s">
        <v>90</v>
      </c>
      <c r="E1416" s="1">
        <v>45972</v>
      </c>
      <c r="F1416" s="1">
        <v>46032</v>
      </c>
      <c r="G1416" t="s">
        <v>64</v>
      </c>
      <c r="H1416">
        <v>3453</v>
      </c>
      <c r="I1416" t="s">
        <v>65</v>
      </c>
      <c r="J1416" t="b">
        <v>0</v>
      </c>
      <c r="K1416">
        <v>60</v>
      </c>
      <c r="L1416">
        <v>1</v>
      </c>
      <c r="M1416">
        <v>2026</v>
      </c>
      <c r="N1416">
        <v>5</v>
      </c>
      <c r="O1416">
        <v>11</v>
      </c>
      <c r="P1416">
        <v>2025</v>
      </c>
      <c r="Q1416">
        <v>1</v>
      </c>
      <c r="R1416" t="s">
        <v>66</v>
      </c>
      <c r="S1416" t="s">
        <v>55</v>
      </c>
      <c r="T1416" t="s">
        <v>42</v>
      </c>
      <c r="U1416" t="s">
        <v>40</v>
      </c>
      <c r="V1416" t="s">
        <v>91</v>
      </c>
      <c r="W1416" t="s">
        <v>92</v>
      </c>
      <c r="X1416" t="s">
        <v>76</v>
      </c>
      <c r="Y1416">
        <v>65</v>
      </c>
      <c r="Z1416" t="s">
        <v>93</v>
      </c>
      <c r="AA1416" t="s">
        <v>94</v>
      </c>
      <c r="AB1416" s="1">
        <v>46032</v>
      </c>
      <c r="AC1416" t="s">
        <v>66</v>
      </c>
      <c r="AD1416" t="s">
        <v>40</v>
      </c>
      <c r="AE1416" t="s">
        <v>86</v>
      </c>
      <c r="AF1416" t="s">
        <v>40</v>
      </c>
      <c r="AG1416">
        <v>0</v>
      </c>
      <c r="AH1416" t="s">
        <v>61</v>
      </c>
    </row>
    <row r="1417" spans="1:34" x14ac:dyDescent="0.3">
      <c r="A1417" t="s">
        <v>2107</v>
      </c>
      <c r="B1417" t="s">
        <v>177</v>
      </c>
      <c r="C1417" t="s">
        <v>89</v>
      </c>
      <c r="D1417" t="s">
        <v>53</v>
      </c>
      <c r="E1417" s="1">
        <v>45940</v>
      </c>
      <c r="F1417" s="1">
        <v>45970</v>
      </c>
      <c r="G1417" t="s">
        <v>81</v>
      </c>
      <c r="H1417">
        <v>9858</v>
      </c>
      <c r="I1417" t="s">
        <v>65</v>
      </c>
      <c r="J1417" t="b">
        <v>0</v>
      </c>
      <c r="K1417">
        <v>30</v>
      </c>
      <c r="L1417">
        <v>11</v>
      </c>
      <c r="M1417">
        <v>2025</v>
      </c>
      <c r="N1417">
        <v>6</v>
      </c>
      <c r="O1417">
        <v>10</v>
      </c>
      <c r="P1417">
        <v>2025</v>
      </c>
      <c r="Q1417">
        <v>4</v>
      </c>
      <c r="R1417" t="s">
        <v>66</v>
      </c>
      <c r="S1417" t="s">
        <v>55</v>
      </c>
      <c r="T1417" t="s">
        <v>68</v>
      </c>
      <c r="U1417" t="s">
        <v>40</v>
      </c>
      <c r="V1417" t="s">
        <v>91</v>
      </c>
      <c r="W1417" t="s">
        <v>92</v>
      </c>
      <c r="X1417" t="s">
        <v>76</v>
      </c>
      <c r="Y1417">
        <v>65</v>
      </c>
      <c r="Z1417" t="s">
        <v>58</v>
      </c>
      <c r="AA1417" t="s">
        <v>59</v>
      </c>
      <c r="AB1417" s="1">
        <v>45970</v>
      </c>
      <c r="AC1417" t="s">
        <v>66</v>
      </c>
      <c r="AD1417" t="s">
        <v>40</v>
      </c>
      <c r="AE1417" t="s">
        <v>86</v>
      </c>
      <c r="AF1417" t="s">
        <v>40</v>
      </c>
      <c r="AG1417">
        <v>0</v>
      </c>
      <c r="AH1417" t="s">
        <v>70</v>
      </c>
    </row>
    <row r="1418" spans="1:34" x14ac:dyDescent="0.3">
      <c r="A1418" t="s">
        <v>2108</v>
      </c>
      <c r="B1418" t="s">
        <v>1161</v>
      </c>
      <c r="C1418" t="s">
        <v>97</v>
      </c>
      <c r="D1418" t="s">
        <v>90</v>
      </c>
      <c r="E1418" s="1">
        <v>45887</v>
      </c>
      <c r="F1418" s="1">
        <v>45888</v>
      </c>
      <c r="G1418" t="s">
        <v>81</v>
      </c>
      <c r="H1418">
        <v>11459</v>
      </c>
      <c r="I1418" t="s">
        <v>212</v>
      </c>
      <c r="J1418" t="b">
        <v>0</v>
      </c>
      <c r="K1418">
        <v>1</v>
      </c>
      <c r="L1418">
        <v>8</v>
      </c>
      <c r="M1418">
        <v>2025</v>
      </c>
      <c r="N1418">
        <v>1</v>
      </c>
      <c r="O1418">
        <v>8</v>
      </c>
      <c r="P1418">
        <v>2025</v>
      </c>
      <c r="Q1418">
        <v>0</v>
      </c>
      <c r="R1418" t="s">
        <v>40</v>
      </c>
      <c r="S1418" t="s">
        <v>45</v>
      </c>
      <c r="T1418" t="s">
        <v>68</v>
      </c>
      <c r="U1418" t="s">
        <v>40</v>
      </c>
      <c r="V1418" t="s">
        <v>98</v>
      </c>
      <c r="W1418" t="s">
        <v>99</v>
      </c>
      <c r="X1418" t="s">
        <v>76</v>
      </c>
      <c r="Y1418">
        <v>80</v>
      </c>
      <c r="Z1418" t="s">
        <v>93</v>
      </c>
      <c r="AA1418" t="s">
        <v>94</v>
      </c>
      <c r="AB1418" s="1">
        <v>45888</v>
      </c>
      <c r="AC1418" t="s">
        <v>40</v>
      </c>
      <c r="AD1418" t="s">
        <v>40</v>
      </c>
      <c r="AE1418" t="s">
        <v>86</v>
      </c>
      <c r="AF1418" t="s">
        <v>40</v>
      </c>
      <c r="AG1418">
        <v>0</v>
      </c>
      <c r="AH1418" t="s">
        <v>100</v>
      </c>
    </row>
    <row r="1419" spans="1:34" x14ac:dyDescent="0.3">
      <c r="A1419" t="s">
        <v>2109</v>
      </c>
      <c r="B1419" t="s">
        <v>981</v>
      </c>
      <c r="C1419" t="s">
        <v>129</v>
      </c>
      <c r="D1419" t="s">
        <v>80</v>
      </c>
      <c r="E1419" s="1">
        <v>46254</v>
      </c>
      <c r="F1419" s="1">
        <v>46354</v>
      </c>
      <c r="G1419" t="s">
        <v>81</v>
      </c>
      <c r="H1419">
        <v>39808</v>
      </c>
      <c r="I1419" t="s">
        <v>39</v>
      </c>
      <c r="J1419" t="b">
        <v>1</v>
      </c>
      <c r="K1419">
        <v>100</v>
      </c>
      <c r="L1419">
        <v>11</v>
      </c>
      <c r="M1419">
        <v>2026</v>
      </c>
      <c r="N1419">
        <v>5</v>
      </c>
      <c r="O1419">
        <v>8</v>
      </c>
      <c r="P1419">
        <v>2026</v>
      </c>
      <c r="Q1419">
        <v>3</v>
      </c>
      <c r="R1419" t="s">
        <v>66</v>
      </c>
      <c r="S1419" t="s">
        <v>55</v>
      </c>
      <c r="T1419" t="s">
        <v>42</v>
      </c>
      <c r="U1419" t="s">
        <v>40</v>
      </c>
      <c r="V1419" t="s">
        <v>131</v>
      </c>
      <c r="W1419" t="s">
        <v>132</v>
      </c>
      <c r="X1419" t="s">
        <v>45</v>
      </c>
      <c r="Y1419">
        <v>110</v>
      </c>
      <c r="Z1419" t="s">
        <v>84</v>
      </c>
      <c r="AA1419" t="s">
        <v>85</v>
      </c>
      <c r="AB1419" s="1">
        <v>46354</v>
      </c>
      <c r="AC1419" t="s">
        <v>66</v>
      </c>
      <c r="AD1419" t="s">
        <v>40</v>
      </c>
      <c r="AE1419" t="s">
        <v>86</v>
      </c>
      <c r="AF1419" t="s">
        <v>40</v>
      </c>
      <c r="AG1419">
        <v>0</v>
      </c>
      <c r="AH1419" t="s">
        <v>49</v>
      </c>
    </row>
    <row r="1420" spans="1:34" x14ac:dyDescent="0.3">
      <c r="A1420" t="s">
        <v>2110</v>
      </c>
      <c r="B1420" t="s">
        <v>1886</v>
      </c>
      <c r="C1420" t="s">
        <v>36</v>
      </c>
      <c r="D1420" t="s">
        <v>104</v>
      </c>
      <c r="E1420" s="1">
        <v>45702</v>
      </c>
      <c r="F1420" s="1">
        <v>45716</v>
      </c>
      <c r="G1420" t="s">
        <v>81</v>
      </c>
      <c r="H1420">
        <v>8851</v>
      </c>
      <c r="I1420" t="s">
        <v>39</v>
      </c>
      <c r="J1420" t="b">
        <v>0</v>
      </c>
      <c r="K1420">
        <v>14</v>
      </c>
      <c r="L1420">
        <v>2</v>
      </c>
      <c r="M1420">
        <v>2025</v>
      </c>
      <c r="N1420">
        <v>4</v>
      </c>
      <c r="O1420">
        <v>2</v>
      </c>
      <c r="P1420">
        <v>2025</v>
      </c>
      <c r="Q1420">
        <v>4</v>
      </c>
      <c r="R1420" t="s">
        <v>40</v>
      </c>
      <c r="S1420" t="s">
        <v>41</v>
      </c>
      <c r="T1420" t="s">
        <v>42</v>
      </c>
      <c r="U1420" t="s">
        <v>66</v>
      </c>
      <c r="V1420" t="s">
        <v>43</v>
      </c>
      <c r="W1420" t="s">
        <v>44</v>
      </c>
      <c r="X1420" t="s">
        <v>45</v>
      </c>
      <c r="Y1420">
        <v>150</v>
      </c>
      <c r="Z1420" t="s">
        <v>107</v>
      </c>
      <c r="AA1420" t="s">
        <v>108</v>
      </c>
      <c r="AB1420" s="1">
        <v>45716</v>
      </c>
      <c r="AC1420" t="s">
        <v>40</v>
      </c>
      <c r="AD1420" t="s">
        <v>40</v>
      </c>
      <c r="AE1420" t="s">
        <v>60</v>
      </c>
      <c r="AF1420" t="s">
        <v>40</v>
      </c>
      <c r="AG1420">
        <v>0</v>
      </c>
      <c r="AH1420" t="s">
        <v>70</v>
      </c>
    </row>
    <row r="1421" spans="1:34" x14ac:dyDescent="0.3">
      <c r="A1421" t="s">
        <v>2111</v>
      </c>
      <c r="B1421" t="s">
        <v>1429</v>
      </c>
      <c r="C1421" t="s">
        <v>97</v>
      </c>
      <c r="D1421" t="s">
        <v>90</v>
      </c>
      <c r="E1421" s="1">
        <v>45696</v>
      </c>
      <c r="F1421" s="1">
        <v>45703</v>
      </c>
      <c r="G1421" t="s">
        <v>64</v>
      </c>
      <c r="H1421">
        <v>2769</v>
      </c>
      <c r="I1421" t="s">
        <v>39</v>
      </c>
      <c r="J1421" t="b">
        <v>0</v>
      </c>
      <c r="K1421">
        <v>7</v>
      </c>
      <c r="L1421">
        <v>2</v>
      </c>
      <c r="M1421">
        <v>2025</v>
      </c>
      <c r="N1421">
        <v>5</v>
      </c>
      <c r="O1421">
        <v>2</v>
      </c>
      <c r="P1421">
        <v>2025</v>
      </c>
      <c r="Q1421">
        <v>5</v>
      </c>
      <c r="R1421" t="s">
        <v>66</v>
      </c>
      <c r="S1421" t="s">
        <v>45</v>
      </c>
      <c r="T1421" t="s">
        <v>42</v>
      </c>
      <c r="U1421" t="s">
        <v>40</v>
      </c>
      <c r="V1421" t="s">
        <v>98</v>
      </c>
      <c r="W1421" t="s">
        <v>99</v>
      </c>
      <c r="X1421" t="s">
        <v>76</v>
      </c>
      <c r="Y1421">
        <v>80</v>
      </c>
      <c r="Z1421" t="s">
        <v>93</v>
      </c>
      <c r="AA1421" t="s">
        <v>94</v>
      </c>
      <c r="AB1421" s="1">
        <v>45703</v>
      </c>
      <c r="AC1421" t="s">
        <v>66</v>
      </c>
      <c r="AD1421" t="s">
        <v>40</v>
      </c>
      <c r="AE1421" t="s">
        <v>60</v>
      </c>
      <c r="AF1421" t="s">
        <v>40</v>
      </c>
      <c r="AG1421">
        <v>0</v>
      </c>
      <c r="AH1421" t="s">
        <v>100</v>
      </c>
    </row>
    <row r="1422" spans="1:34" x14ac:dyDescent="0.3">
      <c r="A1422" t="s">
        <v>2112</v>
      </c>
      <c r="B1422" t="s">
        <v>1765</v>
      </c>
      <c r="C1422" t="s">
        <v>73</v>
      </c>
      <c r="D1422" t="s">
        <v>80</v>
      </c>
      <c r="E1422" s="1">
        <v>45713</v>
      </c>
      <c r="F1422" s="1">
        <v>45813</v>
      </c>
      <c r="G1422" t="s">
        <v>38</v>
      </c>
      <c r="H1422">
        <v>4058</v>
      </c>
      <c r="I1422" t="s">
        <v>65</v>
      </c>
      <c r="J1422" t="b">
        <v>0</v>
      </c>
      <c r="K1422">
        <v>100</v>
      </c>
      <c r="L1422">
        <v>6</v>
      </c>
      <c r="M1422">
        <v>2025</v>
      </c>
      <c r="N1422">
        <v>3</v>
      </c>
      <c r="O1422">
        <v>2</v>
      </c>
      <c r="P1422">
        <v>2025</v>
      </c>
      <c r="Q1422">
        <v>1</v>
      </c>
      <c r="R1422" t="s">
        <v>40</v>
      </c>
      <c r="S1422" t="s">
        <v>41</v>
      </c>
      <c r="T1422" t="s">
        <v>113</v>
      </c>
      <c r="U1422" t="s">
        <v>66</v>
      </c>
      <c r="V1422" t="s">
        <v>74</v>
      </c>
      <c r="W1422" t="s">
        <v>75</v>
      </c>
      <c r="X1422" t="s">
        <v>76</v>
      </c>
      <c r="Y1422">
        <v>75</v>
      </c>
      <c r="Z1422" t="s">
        <v>84</v>
      </c>
      <c r="AA1422" t="s">
        <v>85</v>
      </c>
      <c r="AB1422" s="1">
        <v>45813</v>
      </c>
      <c r="AC1422" t="s">
        <v>40</v>
      </c>
      <c r="AD1422" t="s">
        <v>40</v>
      </c>
      <c r="AE1422" t="s">
        <v>60</v>
      </c>
      <c r="AF1422" t="s">
        <v>40</v>
      </c>
      <c r="AG1422">
        <v>0</v>
      </c>
      <c r="AH1422" t="s">
        <v>49</v>
      </c>
    </row>
    <row r="1423" spans="1:34" x14ac:dyDescent="0.3">
      <c r="A1423" t="s">
        <v>2113</v>
      </c>
      <c r="B1423" t="s">
        <v>1936</v>
      </c>
      <c r="C1423" t="s">
        <v>146</v>
      </c>
      <c r="D1423" t="s">
        <v>37</v>
      </c>
      <c r="E1423" s="1">
        <v>46267</v>
      </c>
      <c r="F1423" s="1">
        <v>46281</v>
      </c>
      <c r="G1423" t="s">
        <v>81</v>
      </c>
      <c r="H1423">
        <v>6518</v>
      </c>
      <c r="I1423" t="s">
        <v>39</v>
      </c>
      <c r="J1423" t="b">
        <v>0</v>
      </c>
      <c r="K1423">
        <v>14</v>
      </c>
      <c r="L1423">
        <v>9</v>
      </c>
      <c r="M1423">
        <v>2026</v>
      </c>
      <c r="N1423">
        <v>2</v>
      </c>
      <c r="O1423">
        <v>9</v>
      </c>
      <c r="P1423">
        <v>2026</v>
      </c>
      <c r="Q1423">
        <v>2</v>
      </c>
      <c r="R1423" t="s">
        <v>40</v>
      </c>
      <c r="S1423" t="s">
        <v>41</v>
      </c>
      <c r="T1423" t="s">
        <v>42</v>
      </c>
      <c r="U1423" t="s">
        <v>66</v>
      </c>
      <c r="V1423" t="s">
        <v>147</v>
      </c>
      <c r="W1423" t="s">
        <v>148</v>
      </c>
      <c r="X1423" t="s">
        <v>45</v>
      </c>
      <c r="Y1423">
        <v>160</v>
      </c>
      <c r="Z1423" t="s">
        <v>46</v>
      </c>
      <c r="AA1423" t="s">
        <v>47</v>
      </c>
      <c r="AB1423" s="1">
        <v>46281</v>
      </c>
      <c r="AC1423" t="s">
        <v>40</v>
      </c>
      <c r="AD1423" t="s">
        <v>40</v>
      </c>
      <c r="AE1423" t="s">
        <v>60</v>
      </c>
      <c r="AF1423" t="s">
        <v>40</v>
      </c>
      <c r="AG1423">
        <v>0</v>
      </c>
      <c r="AH1423" t="s">
        <v>70</v>
      </c>
    </row>
    <row r="1424" spans="1:34" x14ac:dyDescent="0.3">
      <c r="A1424" t="s">
        <v>2114</v>
      </c>
      <c r="B1424" t="s">
        <v>1252</v>
      </c>
      <c r="C1424" t="s">
        <v>155</v>
      </c>
      <c r="D1424" t="s">
        <v>90</v>
      </c>
      <c r="E1424" s="1">
        <v>45728</v>
      </c>
      <c r="F1424" s="1">
        <v>45735</v>
      </c>
      <c r="G1424" t="s">
        <v>81</v>
      </c>
      <c r="H1424">
        <v>8624</v>
      </c>
      <c r="I1424" t="s">
        <v>39</v>
      </c>
      <c r="J1424" t="b">
        <v>0</v>
      </c>
      <c r="K1424">
        <v>7</v>
      </c>
      <c r="L1424">
        <v>3</v>
      </c>
      <c r="M1424">
        <v>2025</v>
      </c>
      <c r="N1424">
        <v>2</v>
      </c>
      <c r="O1424">
        <v>3</v>
      </c>
      <c r="P1424">
        <v>2025</v>
      </c>
      <c r="Q1424">
        <v>2</v>
      </c>
      <c r="R1424" t="s">
        <v>40</v>
      </c>
      <c r="S1424" t="s">
        <v>41</v>
      </c>
      <c r="T1424" t="s">
        <v>42</v>
      </c>
      <c r="U1424" t="s">
        <v>66</v>
      </c>
      <c r="V1424" t="s">
        <v>156</v>
      </c>
      <c r="W1424" t="s">
        <v>157</v>
      </c>
      <c r="X1424" t="s">
        <v>158</v>
      </c>
      <c r="Y1424">
        <v>70</v>
      </c>
      <c r="Z1424" t="s">
        <v>93</v>
      </c>
      <c r="AA1424" t="s">
        <v>94</v>
      </c>
      <c r="AB1424" s="1">
        <v>45735</v>
      </c>
      <c r="AC1424" t="s">
        <v>40</v>
      </c>
      <c r="AD1424" t="s">
        <v>40</v>
      </c>
      <c r="AE1424" t="s">
        <v>60</v>
      </c>
      <c r="AF1424" t="s">
        <v>40</v>
      </c>
      <c r="AG1424">
        <v>0</v>
      </c>
      <c r="AH1424" t="s">
        <v>100</v>
      </c>
    </row>
    <row r="1425" spans="1:34" x14ac:dyDescent="0.3">
      <c r="A1425" t="s">
        <v>2115</v>
      </c>
      <c r="B1425" t="s">
        <v>2116</v>
      </c>
      <c r="C1425" t="s">
        <v>146</v>
      </c>
      <c r="D1425" t="s">
        <v>80</v>
      </c>
      <c r="E1425" s="1">
        <v>46037</v>
      </c>
      <c r="F1425" s="1">
        <v>46038</v>
      </c>
      <c r="G1425" t="s">
        <v>38</v>
      </c>
      <c r="H1425">
        <v>4251</v>
      </c>
      <c r="I1425" t="s">
        <v>65</v>
      </c>
      <c r="J1425" t="b">
        <v>0</v>
      </c>
      <c r="K1425">
        <v>1</v>
      </c>
      <c r="L1425">
        <v>1</v>
      </c>
      <c r="M1425">
        <v>2026</v>
      </c>
      <c r="N1425">
        <v>4</v>
      </c>
      <c r="O1425">
        <v>1</v>
      </c>
      <c r="P1425">
        <v>2026</v>
      </c>
      <c r="Q1425">
        <v>3</v>
      </c>
      <c r="R1425" t="s">
        <v>40</v>
      </c>
      <c r="S1425" t="s">
        <v>55</v>
      </c>
      <c r="T1425" t="s">
        <v>42</v>
      </c>
      <c r="U1425" t="s">
        <v>40</v>
      </c>
      <c r="V1425" t="s">
        <v>147</v>
      </c>
      <c r="W1425" t="s">
        <v>148</v>
      </c>
      <c r="X1425" t="s">
        <v>45</v>
      </c>
      <c r="Y1425">
        <v>160</v>
      </c>
      <c r="Z1425" t="s">
        <v>84</v>
      </c>
      <c r="AA1425" t="s">
        <v>85</v>
      </c>
      <c r="AB1425" s="1">
        <v>46038</v>
      </c>
      <c r="AC1425" t="s">
        <v>40</v>
      </c>
      <c r="AD1425" t="s">
        <v>40</v>
      </c>
      <c r="AE1425" t="s">
        <v>86</v>
      </c>
      <c r="AF1425" t="s">
        <v>40</v>
      </c>
      <c r="AG1425">
        <v>0</v>
      </c>
      <c r="AH1425" t="s">
        <v>100</v>
      </c>
    </row>
    <row r="1426" spans="1:34" x14ac:dyDescent="0.3">
      <c r="A1426" t="s">
        <v>2117</v>
      </c>
      <c r="B1426" t="s">
        <v>713</v>
      </c>
      <c r="C1426" t="s">
        <v>73</v>
      </c>
      <c r="D1426" t="s">
        <v>90</v>
      </c>
      <c r="E1426" s="1">
        <v>45975</v>
      </c>
      <c r="F1426" s="1">
        <v>45989</v>
      </c>
      <c r="G1426" t="s">
        <v>38</v>
      </c>
      <c r="H1426">
        <v>4351</v>
      </c>
      <c r="I1426" t="s">
        <v>39</v>
      </c>
      <c r="J1426" t="b">
        <v>0</v>
      </c>
      <c r="K1426">
        <v>14</v>
      </c>
      <c r="L1426">
        <v>11</v>
      </c>
      <c r="M1426">
        <v>2025</v>
      </c>
      <c r="N1426">
        <v>4</v>
      </c>
      <c r="O1426">
        <v>11</v>
      </c>
      <c r="P1426">
        <v>2025</v>
      </c>
      <c r="Q1426">
        <v>4</v>
      </c>
      <c r="R1426" t="s">
        <v>40</v>
      </c>
      <c r="S1426" t="s">
        <v>41</v>
      </c>
      <c r="T1426" t="s">
        <v>42</v>
      </c>
      <c r="U1426" t="s">
        <v>66</v>
      </c>
      <c r="V1426" t="s">
        <v>74</v>
      </c>
      <c r="W1426" t="s">
        <v>75</v>
      </c>
      <c r="X1426" t="s">
        <v>76</v>
      </c>
      <c r="Y1426">
        <v>75</v>
      </c>
      <c r="Z1426" t="s">
        <v>93</v>
      </c>
      <c r="AA1426" t="s">
        <v>94</v>
      </c>
      <c r="AB1426" s="1">
        <v>45989</v>
      </c>
      <c r="AC1426" t="s">
        <v>40</v>
      </c>
      <c r="AD1426" t="s">
        <v>40</v>
      </c>
      <c r="AE1426" t="s">
        <v>86</v>
      </c>
      <c r="AF1426" t="s">
        <v>40</v>
      </c>
      <c r="AG1426">
        <v>0</v>
      </c>
      <c r="AH1426" t="s">
        <v>70</v>
      </c>
    </row>
    <row r="1427" spans="1:34" x14ac:dyDescent="0.3">
      <c r="A1427" t="s">
        <v>2118</v>
      </c>
      <c r="B1427" t="s">
        <v>904</v>
      </c>
      <c r="C1427" t="s">
        <v>103</v>
      </c>
      <c r="D1427" t="s">
        <v>80</v>
      </c>
      <c r="E1427" s="1">
        <v>46348</v>
      </c>
      <c r="F1427" s="1">
        <v>46408</v>
      </c>
      <c r="G1427" t="s">
        <v>41</v>
      </c>
      <c r="H1427">
        <v>7261</v>
      </c>
      <c r="I1427" t="s">
        <v>65</v>
      </c>
      <c r="J1427" t="b">
        <v>0</v>
      </c>
      <c r="K1427">
        <v>60</v>
      </c>
      <c r="L1427">
        <v>1</v>
      </c>
      <c r="M1427">
        <v>2027</v>
      </c>
      <c r="N1427">
        <v>3</v>
      </c>
      <c r="O1427">
        <v>11</v>
      </c>
      <c r="P1427">
        <v>2026</v>
      </c>
      <c r="Q1427">
        <v>6</v>
      </c>
      <c r="R1427" t="s">
        <v>40</v>
      </c>
      <c r="S1427" t="s">
        <v>55</v>
      </c>
      <c r="T1427" t="s">
        <v>48</v>
      </c>
      <c r="U1427" t="s">
        <v>40</v>
      </c>
      <c r="V1427" t="s">
        <v>105</v>
      </c>
      <c r="W1427" t="s">
        <v>106</v>
      </c>
      <c r="X1427" t="s">
        <v>45</v>
      </c>
      <c r="Y1427">
        <v>140</v>
      </c>
      <c r="Z1427" t="s">
        <v>84</v>
      </c>
      <c r="AA1427" t="s">
        <v>85</v>
      </c>
      <c r="AB1427" s="1"/>
      <c r="AC1427" t="s">
        <v>48</v>
      </c>
      <c r="AD1427" t="s">
        <v>48</v>
      </c>
      <c r="AE1427" t="s">
        <v>48</v>
      </c>
      <c r="AF1427" t="s">
        <v>48</v>
      </c>
      <c r="AG1427">
        <v>0</v>
      </c>
      <c r="AH1427" t="s">
        <v>61</v>
      </c>
    </row>
    <row r="1428" spans="1:34" x14ac:dyDescent="0.3">
      <c r="A1428" t="s">
        <v>2119</v>
      </c>
      <c r="B1428" t="s">
        <v>2120</v>
      </c>
      <c r="C1428" t="s">
        <v>155</v>
      </c>
      <c r="D1428" t="s">
        <v>53</v>
      </c>
      <c r="E1428" s="1">
        <v>46048</v>
      </c>
      <c r="F1428" s="1">
        <v>46108</v>
      </c>
      <c r="G1428" t="s">
        <v>64</v>
      </c>
      <c r="H1428">
        <v>4014</v>
      </c>
      <c r="I1428" t="s">
        <v>39</v>
      </c>
      <c r="J1428" t="b">
        <v>0</v>
      </c>
      <c r="K1428">
        <v>60</v>
      </c>
      <c r="L1428">
        <v>3</v>
      </c>
      <c r="M1428">
        <v>2026</v>
      </c>
      <c r="N1428">
        <v>4</v>
      </c>
      <c r="O1428">
        <v>1</v>
      </c>
      <c r="P1428">
        <v>2026</v>
      </c>
      <c r="Q1428">
        <v>0</v>
      </c>
      <c r="R1428" t="s">
        <v>40</v>
      </c>
      <c r="S1428" t="s">
        <v>55</v>
      </c>
      <c r="T1428" t="s">
        <v>68</v>
      </c>
      <c r="U1428" t="s">
        <v>40</v>
      </c>
      <c r="V1428" t="s">
        <v>156</v>
      </c>
      <c r="W1428" t="s">
        <v>157</v>
      </c>
      <c r="X1428" t="s">
        <v>158</v>
      </c>
      <c r="Y1428">
        <v>70</v>
      </c>
      <c r="Z1428" t="s">
        <v>58</v>
      </c>
      <c r="AA1428" t="s">
        <v>59</v>
      </c>
      <c r="AB1428" s="1">
        <v>46108</v>
      </c>
      <c r="AC1428" t="s">
        <v>40</v>
      </c>
      <c r="AD1428" t="s">
        <v>40</v>
      </c>
      <c r="AE1428" t="s">
        <v>60</v>
      </c>
      <c r="AF1428" t="s">
        <v>40</v>
      </c>
      <c r="AG1428">
        <v>0</v>
      </c>
      <c r="AH1428" t="s">
        <v>61</v>
      </c>
    </row>
    <row r="1429" spans="1:34" x14ac:dyDescent="0.3">
      <c r="A1429" t="s">
        <v>2121</v>
      </c>
      <c r="B1429" t="s">
        <v>632</v>
      </c>
      <c r="C1429" t="s">
        <v>169</v>
      </c>
      <c r="D1429" t="s">
        <v>90</v>
      </c>
      <c r="E1429" s="1">
        <v>45696</v>
      </c>
      <c r="F1429" s="1">
        <v>45703</v>
      </c>
      <c r="G1429" t="s">
        <v>81</v>
      </c>
      <c r="H1429">
        <v>10895</v>
      </c>
      <c r="I1429" t="s">
        <v>39</v>
      </c>
      <c r="J1429" t="b">
        <v>0</v>
      </c>
      <c r="K1429">
        <v>7</v>
      </c>
      <c r="L1429">
        <v>2</v>
      </c>
      <c r="M1429">
        <v>2025</v>
      </c>
      <c r="N1429">
        <v>5</v>
      </c>
      <c r="O1429">
        <v>2</v>
      </c>
      <c r="P1429">
        <v>2025</v>
      </c>
      <c r="Q1429">
        <v>5</v>
      </c>
      <c r="R1429" t="s">
        <v>66</v>
      </c>
      <c r="S1429" t="s">
        <v>55</v>
      </c>
      <c r="T1429" t="s">
        <v>42</v>
      </c>
      <c r="U1429" t="s">
        <v>40</v>
      </c>
      <c r="V1429" t="s">
        <v>170</v>
      </c>
      <c r="W1429" t="s">
        <v>171</v>
      </c>
      <c r="X1429" t="s">
        <v>126</v>
      </c>
      <c r="Y1429">
        <v>90</v>
      </c>
      <c r="Z1429" t="s">
        <v>93</v>
      </c>
      <c r="AA1429" t="s">
        <v>94</v>
      </c>
      <c r="AB1429" s="1">
        <v>45703</v>
      </c>
      <c r="AC1429" t="s">
        <v>66</v>
      </c>
      <c r="AD1429" t="s">
        <v>40</v>
      </c>
      <c r="AE1429" t="s">
        <v>60</v>
      </c>
      <c r="AF1429" t="s">
        <v>40</v>
      </c>
      <c r="AG1429">
        <v>0</v>
      </c>
      <c r="AH1429" t="s">
        <v>100</v>
      </c>
    </row>
    <row r="1430" spans="1:34" x14ac:dyDescent="0.3">
      <c r="A1430" t="s">
        <v>2122</v>
      </c>
      <c r="B1430" t="s">
        <v>866</v>
      </c>
      <c r="C1430" t="s">
        <v>146</v>
      </c>
      <c r="D1430" t="s">
        <v>80</v>
      </c>
      <c r="E1430" s="1">
        <v>45945</v>
      </c>
      <c r="F1430" s="1">
        <v>45959</v>
      </c>
      <c r="G1430" t="s">
        <v>81</v>
      </c>
      <c r="H1430">
        <v>7806</v>
      </c>
      <c r="I1430" t="s">
        <v>39</v>
      </c>
      <c r="J1430" t="b">
        <v>0</v>
      </c>
      <c r="K1430">
        <v>14</v>
      </c>
      <c r="L1430">
        <v>10</v>
      </c>
      <c r="M1430">
        <v>2025</v>
      </c>
      <c r="N1430">
        <v>2</v>
      </c>
      <c r="O1430">
        <v>10</v>
      </c>
      <c r="P1430">
        <v>2025</v>
      </c>
      <c r="Q1430">
        <v>2</v>
      </c>
      <c r="R1430" t="s">
        <v>40</v>
      </c>
      <c r="S1430" t="s">
        <v>41</v>
      </c>
      <c r="T1430" t="s">
        <v>42</v>
      </c>
      <c r="U1430" t="s">
        <v>66</v>
      </c>
      <c r="V1430" t="s">
        <v>147</v>
      </c>
      <c r="W1430" t="s">
        <v>148</v>
      </c>
      <c r="X1430" t="s">
        <v>45</v>
      </c>
      <c r="Y1430">
        <v>160</v>
      </c>
      <c r="Z1430" t="s">
        <v>84</v>
      </c>
      <c r="AA1430" t="s">
        <v>85</v>
      </c>
      <c r="AB1430" s="1">
        <v>45959</v>
      </c>
      <c r="AC1430" t="s">
        <v>40</v>
      </c>
      <c r="AD1430" t="s">
        <v>40</v>
      </c>
      <c r="AE1430" t="s">
        <v>60</v>
      </c>
      <c r="AF1430" t="s">
        <v>40</v>
      </c>
      <c r="AG1430">
        <v>0</v>
      </c>
      <c r="AH1430" t="s">
        <v>70</v>
      </c>
    </row>
    <row r="1431" spans="1:34" x14ac:dyDescent="0.3">
      <c r="A1431" t="s">
        <v>2123</v>
      </c>
      <c r="B1431" t="s">
        <v>2015</v>
      </c>
      <c r="C1431" t="s">
        <v>52</v>
      </c>
      <c r="D1431" t="s">
        <v>90</v>
      </c>
      <c r="E1431" s="1">
        <v>45674</v>
      </c>
      <c r="F1431" s="1">
        <v>45677</v>
      </c>
      <c r="G1431" t="s">
        <v>41</v>
      </c>
      <c r="H1431">
        <v>39475</v>
      </c>
      <c r="I1431" t="s">
        <v>39</v>
      </c>
      <c r="J1431" t="b">
        <v>1</v>
      </c>
      <c r="K1431">
        <v>3</v>
      </c>
      <c r="L1431">
        <v>1</v>
      </c>
      <c r="M1431">
        <v>2025</v>
      </c>
      <c r="N1431">
        <v>0</v>
      </c>
      <c r="O1431">
        <v>1</v>
      </c>
      <c r="P1431">
        <v>2025</v>
      </c>
      <c r="Q1431">
        <v>4</v>
      </c>
      <c r="R1431" t="s">
        <v>40</v>
      </c>
      <c r="S1431" t="s">
        <v>45</v>
      </c>
      <c r="T1431" t="s">
        <v>42</v>
      </c>
      <c r="U1431" t="s">
        <v>66</v>
      </c>
      <c r="V1431" t="s">
        <v>56</v>
      </c>
      <c r="W1431" t="s">
        <v>57</v>
      </c>
      <c r="X1431" t="s">
        <v>45</v>
      </c>
      <c r="Y1431">
        <v>120</v>
      </c>
      <c r="Z1431" t="s">
        <v>93</v>
      </c>
      <c r="AA1431" t="s">
        <v>94</v>
      </c>
      <c r="AB1431" s="1">
        <v>45677</v>
      </c>
      <c r="AC1431" t="s">
        <v>40</v>
      </c>
      <c r="AD1431" t="s">
        <v>40</v>
      </c>
      <c r="AE1431" t="s">
        <v>86</v>
      </c>
      <c r="AF1431" t="s">
        <v>40</v>
      </c>
      <c r="AG1431">
        <v>0</v>
      </c>
      <c r="AH1431" t="s">
        <v>100</v>
      </c>
    </row>
    <row r="1432" spans="1:34" x14ac:dyDescent="0.3">
      <c r="A1432" t="s">
        <v>2124</v>
      </c>
      <c r="B1432" t="s">
        <v>963</v>
      </c>
      <c r="C1432" t="s">
        <v>122</v>
      </c>
      <c r="D1432" t="s">
        <v>130</v>
      </c>
      <c r="E1432" s="1">
        <v>45783</v>
      </c>
      <c r="F1432" s="1">
        <v>45843</v>
      </c>
      <c r="G1432" t="s">
        <v>41</v>
      </c>
      <c r="H1432">
        <v>8505</v>
      </c>
      <c r="I1432" t="s">
        <v>39</v>
      </c>
      <c r="J1432" t="b">
        <v>0</v>
      </c>
      <c r="K1432">
        <v>60</v>
      </c>
      <c r="L1432">
        <v>7</v>
      </c>
      <c r="M1432">
        <v>2025</v>
      </c>
      <c r="N1432">
        <v>5</v>
      </c>
      <c r="O1432">
        <v>5</v>
      </c>
      <c r="P1432">
        <v>2025</v>
      </c>
      <c r="Q1432">
        <v>1</v>
      </c>
      <c r="R1432" t="s">
        <v>66</v>
      </c>
      <c r="S1432" t="s">
        <v>55</v>
      </c>
      <c r="T1432" t="s">
        <v>42</v>
      </c>
      <c r="U1432" t="s">
        <v>40</v>
      </c>
      <c r="V1432" t="s">
        <v>124</v>
      </c>
      <c r="W1432" t="s">
        <v>125</v>
      </c>
      <c r="X1432" t="s">
        <v>126</v>
      </c>
      <c r="Y1432">
        <v>85</v>
      </c>
      <c r="Z1432" t="s">
        <v>133</v>
      </c>
      <c r="AA1432" t="s">
        <v>134</v>
      </c>
      <c r="AB1432" s="1">
        <v>45843</v>
      </c>
      <c r="AC1432" t="s">
        <v>66</v>
      </c>
      <c r="AD1432" t="s">
        <v>40</v>
      </c>
      <c r="AE1432" t="s">
        <v>86</v>
      </c>
      <c r="AF1432" t="s">
        <v>40</v>
      </c>
      <c r="AG1432">
        <v>0</v>
      </c>
      <c r="AH1432" t="s">
        <v>61</v>
      </c>
    </row>
    <row r="1433" spans="1:34" x14ac:dyDescent="0.3">
      <c r="A1433" t="s">
        <v>2125</v>
      </c>
      <c r="B1433" t="s">
        <v>531</v>
      </c>
      <c r="C1433" t="s">
        <v>79</v>
      </c>
      <c r="D1433" t="s">
        <v>90</v>
      </c>
      <c r="E1433" s="1">
        <v>45716</v>
      </c>
      <c r="F1433" s="1">
        <v>45719</v>
      </c>
      <c r="G1433" t="s">
        <v>81</v>
      </c>
      <c r="H1433">
        <v>7917</v>
      </c>
      <c r="I1433" t="s">
        <v>65</v>
      </c>
      <c r="J1433" t="b">
        <v>0</v>
      </c>
      <c r="K1433">
        <v>3</v>
      </c>
      <c r="L1433">
        <v>3</v>
      </c>
      <c r="M1433">
        <v>2025</v>
      </c>
      <c r="N1433">
        <v>0</v>
      </c>
      <c r="O1433">
        <v>2</v>
      </c>
      <c r="P1433">
        <v>2025</v>
      </c>
      <c r="Q1433">
        <v>4</v>
      </c>
      <c r="R1433" t="s">
        <v>40</v>
      </c>
      <c r="S1433" t="s">
        <v>55</v>
      </c>
      <c r="T1433" t="s">
        <v>42</v>
      </c>
      <c r="U1433" t="s">
        <v>40</v>
      </c>
      <c r="V1433" t="s">
        <v>82</v>
      </c>
      <c r="W1433" t="s">
        <v>83</v>
      </c>
      <c r="X1433" t="s">
        <v>76</v>
      </c>
      <c r="Y1433">
        <v>100</v>
      </c>
      <c r="Z1433" t="s">
        <v>93</v>
      </c>
      <c r="AA1433" t="s">
        <v>94</v>
      </c>
      <c r="AB1433" s="1">
        <v>45719</v>
      </c>
      <c r="AC1433" t="s">
        <v>40</v>
      </c>
      <c r="AD1433" t="s">
        <v>40</v>
      </c>
      <c r="AE1433" t="s">
        <v>60</v>
      </c>
      <c r="AF1433" t="s">
        <v>40</v>
      </c>
      <c r="AG1433">
        <v>0</v>
      </c>
      <c r="AH1433" t="s">
        <v>100</v>
      </c>
    </row>
    <row r="1434" spans="1:34" x14ac:dyDescent="0.3">
      <c r="A1434" t="s">
        <v>2126</v>
      </c>
      <c r="B1434" t="s">
        <v>861</v>
      </c>
      <c r="C1434" t="s">
        <v>97</v>
      </c>
      <c r="D1434" t="s">
        <v>90</v>
      </c>
      <c r="E1434" s="1">
        <v>45687</v>
      </c>
      <c r="F1434" s="1">
        <v>45694</v>
      </c>
      <c r="G1434" t="s">
        <v>38</v>
      </c>
      <c r="H1434">
        <v>5712</v>
      </c>
      <c r="I1434" t="s">
        <v>39</v>
      </c>
      <c r="J1434" t="b">
        <v>0</v>
      </c>
      <c r="K1434">
        <v>7</v>
      </c>
      <c r="L1434">
        <v>2</v>
      </c>
      <c r="M1434">
        <v>2025</v>
      </c>
      <c r="N1434">
        <v>3</v>
      </c>
      <c r="O1434">
        <v>1</v>
      </c>
      <c r="P1434">
        <v>2025</v>
      </c>
      <c r="Q1434">
        <v>3</v>
      </c>
      <c r="R1434" t="s">
        <v>40</v>
      </c>
      <c r="S1434" t="s">
        <v>41</v>
      </c>
      <c r="T1434" t="s">
        <v>42</v>
      </c>
      <c r="U1434" t="s">
        <v>40</v>
      </c>
      <c r="V1434" t="s">
        <v>98</v>
      </c>
      <c r="W1434" t="s">
        <v>99</v>
      </c>
      <c r="X1434" t="s">
        <v>76</v>
      </c>
      <c r="Y1434">
        <v>80</v>
      </c>
      <c r="Z1434" t="s">
        <v>93</v>
      </c>
      <c r="AA1434" t="s">
        <v>94</v>
      </c>
      <c r="AB1434" s="1">
        <v>45694</v>
      </c>
      <c r="AC1434" t="s">
        <v>40</v>
      </c>
      <c r="AD1434" t="s">
        <v>40</v>
      </c>
      <c r="AE1434" t="s">
        <v>60</v>
      </c>
      <c r="AF1434" t="s">
        <v>40</v>
      </c>
      <c r="AG1434">
        <v>0</v>
      </c>
      <c r="AH1434" t="s">
        <v>100</v>
      </c>
    </row>
    <row r="1435" spans="1:34" x14ac:dyDescent="0.3">
      <c r="A1435" t="s">
        <v>2127</v>
      </c>
      <c r="B1435" t="s">
        <v>1812</v>
      </c>
      <c r="C1435" t="s">
        <v>36</v>
      </c>
      <c r="D1435" t="s">
        <v>104</v>
      </c>
      <c r="E1435" s="1">
        <v>45824</v>
      </c>
      <c r="F1435" s="1">
        <v>45974</v>
      </c>
      <c r="G1435" t="s">
        <v>38</v>
      </c>
      <c r="H1435">
        <v>5029</v>
      </c>
      <c r="I1435" t="s">
        <v>65</v>
      </c>
      <c r="J1435" t="b">
        <v>0</v>
      </c>
      <c r="K1435">
        <v>150</v>
      </c>
      <c r="L1435">
        <v>11</v>
      </c>
      <c r="M1435">
        <v>2025</v>
      </c>
      <c r="N1435">
        <v>3</v>
      </c>
      <c r="O1435">
        <v>6</v>
      </c>
      <c r="P1435">
        <v>2025</v>
      </c>
      <c r="Q1435">
        <v>0</v>
      </c>
      <c r="R1435" t="s">
        <v>40</v>
      </c>
      <c r="S1435" t="s">
        <v>41</v>
      </c>
      <c r="T1435" t="s">
        <v>42</v>
      </c>
      <c r="U1435" t="s">
        <v>40</v>
      </c>
      <c r="V1435" t="s">
        <v>43</v>
      </c>
      <c r="W1435" t="s">
        <v>44</v>
      </c>
      <c r="X1435" t="s">
        <v>45</v>
      </c>
      <c r="Y1435">
        <v>150</v>
      </c>
      <c r="Z1435" t="s">
        <v>107</v>
      </c>
      <c r="AA1435" t="s">
        <v>108</v>
      </c>
      <c r="AB1435" s="1">
        <v>45974</v>
      </c>
      <c r="AC1435" t="s">
        <v>40</v>
      </c>
      <c r="AD1435" t="s">
        <v>40</v>
      </c>
      <c r="AE1435" t="s">
        <v>86</v>
      </c>
      <c r="AF1435" t="s">
        <v>40</v>
      </c>
      <c r="AG1435">
        <v>0</v>
      </c>
      <c r="AH1435" t="s">
        <v>49</v>
      </c>
    </row>
    <row r="1436" spans="1:34" x14ac:dyDescent="0.3">
      <c r="A1436" t="s">
        <v>2128</v>
      </c>
      <c r="B1436" t="s">
        <v>249</v>
      </c>
      <c r="C1436" t="s">
        <v>129</v>
      </c>
      <c r="D1436" t="s">
        <v>80</v>
      </c>
      <c r="E1436" s="1">
        <v>46131</v>
      </c>
      <c r="F1436" s="1">
        <v>46191</v>
      </c>
      <c r="G1436" t="s">
        <v>64</v>
      </c>
      <c r="H1436">
        <v>3515</v>
      </c>
      <c r="I1436" t="s">
        <v>54</v>
      </c>
      <c r="J1436" t="b">
        <v>0</v>
      </c>
      <c r="K1436">
        <v>60</v>
      </c>
      <c r="L1436">
        <v>6</v>
      </c>
      <c r="M1436">
        <v>2026</v>
      </c>
      <c r="N1436">
        <v>3</v>
      </c>
      <c r="O1436">
        <v>4</v>
      </c>
      <c r="P1436">
        <v>2026</v>
      </c>
      <c r="Q1436">
        <v>6</v>
      </c>
      <c r="R1436" t="s">
        <v>40</v>
      </c>
      <c r="S1436" t="s">
        <v>41</v>
      </c>
      <c r="T1436" t="s">
        <v>42</v>
      </c>
      <c r="U1436" t="s">
        <v>40</v>
      </c>
      <c r="V1436" t="s">
        <v>131</v>
      </c>
      <c r="W1436" t="s">
        <v>132</v>
      </c>
      <c r="X1436" t="s">
        <v>45</v>
      </c>
      <c r="Y1436">
        <v>110</v>
      </c>
      <c r="Z1436" t="s">
        <v>84</v>
      </c>
      <c r="AA1436" t="s">
        <v>85</v>
      </c>
      <c r="AB1436" s="1">
        <v>46191</v>
      </c>
      <c r="AC1436" t="s">
        <v>40</v>
      </c>
      <c r="AD1436" t="s">
        <v>40</v>
      </c>
      <c r="AE1436" t="s">
        <v>60</v>
      </c>
      <c r="AF1436" t="s">
        <v>40</v>
      </c>
      <c r="AG1436">
        <v>1</v>
      </c>
      <c r="AH1436" t="s">
        <v>61</v>
      </c>
    </row>
    <row r="1437" spans="1:34" x14ac:dyDescent="0.3">
      <c r="A1437" t="s">
        <v>2129</v>
      </c>
      <c r="B1437" t="s">
        <v>1633</v>
      </c>
      <c r="C1437" t="s">
        <v>97</v>
      </c>
      <c r="D1437" t="s">
        <v>53</v>
      </c>
      <c r="E1437" s="1">
        <v>45709</v>
      </c>
      <c r="F1437" s="1">
        <v>45723</v>
      </c>
      <c r="G1437" t="s">
        <v>38</v>
      </c>
      <c r="H1437">
        <v>5305</v>
      </c>
      <c r="I1437" t="s">
        <v>39</v>
      </c>
      <c r="J1437" t="b">
        <v>0</v>
      </c>
      <c r="K1437">
        <v>14</v>
      </c>
      <c r="L1437">
        <v>3</v>
      </c>
      <c r="M1437">
        <v>2025</v>
      </c>
      <c r="N1437">
        <v>4</v>
      </c>
      <c r="O1437">
        <v>2</v>
      </c>
      <c r="P1437">
        <v>2025</v>
      </c>
      <c r="Q1437">
        <v>4</v>
      </c>
      <c r="R1437" t="s">
        <v>40</v>
      </c>
      <c r="S1437" t="s">
        <v>67</v>
      </c>
      <c r="T1437" t="s">
        <v>42</v>
      </c>
      <c r="U1437" t="s">
        <v>66</v>
      </c>
      <c r="V1437" t="s">
        <v>98</v>
      </c>
      <c r="W1437" t="s">
        <v>99</v>
      </c>
      <c r="X1437" t="s">
        <v>76</v>
      </c>
      <c r="Y1437">
        <v>80</v>
      </c>
      <c r="Z1437" t="s">
        <v>58</v>
      </c>
      <c r="AA1437" t="s">
        <v>59</v>
      </c>
      <c r="AB1437" s="1">
        <v>45723</v>
      </c>
      <c r="AC1437" t="s">
        <v>40</v>
      </c>
      <c r="AD1437" t="s">
        <v>40</v>
      </c>
      <c r="AE1437" t="s">
        <v>60</v>
      </c>
      <c r="AF1437" t="s">
        <v>40</v>
      </c>
      <c r="AG1437">
        <v>0</v>
      </c>
      <c r="AH1437" t="s">
        <v>70</v>
      </c>
    </row>
    <row r="1438" spans="1:34" x14ac:dyDescent="0.3">
      <c r="A1438" t="s">
        <v>2130</v>
      </c>
      <c r="B1438" t="s">
        <v>469</v>
      </c>
      <c r="C1438" t="s">
        <v>97</v>
      </c>
      <c r="D1438" t="s">
        <v>90</v>
      </c>
      <c r="E1438" s="1">
        <v>45982</v>
      </c>
      <c r="F1438" s="1">
        <v>46012</v>
      </c>
      <c r="G1438" t="s">
        <v>81</v>
      </c>
      <c r="H1438">
        <v>8808</v>
      </c>
      <c r="I1438" t="s">
        <v>65</v>
      </c>
      <c r="J1438" t="b">
        <v>0</v>
      </c>
      <c r="K1438">
        <v>30</v>
      </c>
      <c r="L1438">
        <v>12</v>
      </c>
      <c r="M1438">
        <v>2025</v>
      </c>
      <c r="N1438">
        <v>6</v>
      </c>
      <c r="O1438">
        <v>11</v>
      </c>
      <c r="P1438">
        <v>2025</v>
      </c>
      <c r="Q1438">
        <v>4</v>
      </c>
      <c r="R1438" t="s">
        <v>66</v>
      </c>
      <c r="S1438" t="s">
        <v>67</v>
      </c>
      <c r="T1438" t="s">
        <v>42</v>
      </c>
      <c r="U1438" t="s">
        <v>66</v>
      </c>
      <c r="V1438" t="s">
        <v>98</v>
      </c>
      <c r="W1438" t="s">
        <v>99</v>
      </c>
      <c r="X1438" t="s">
        <v>76</v>
      </c>
      <c r="Y1438">
        <v>80</v>
      </c>
      <c r="Z1438" t="s">
        <v>93</v>
      </c>
      <c r="AA1438" t="s">
        <v>94</v>
      </c>
      <c r="AB1438" s="1">
        <v>46012</v>
      </c>
      <c r="AC1438" t="s">
        <v>66</v>
      </c>
      <c r="AD1438" t="s">
        <v>40</v>
      </c>
      <c r="AE1438" t="s">
        <v>69</v>
      </c>
      <c r="AF1438" t="s">
        <v>40</v>
      </c>
      <c r="AG1438">
        <v>0</v>
      </c>
      <c r="AH1438" t="s">
        <v>70</v>
      </c>
    </row>
    <row r="1439" spans="1:34" x14ac:dyDescent="0.3">
      <c r="A1439" t="s">
        <v>2131</v>
      </c>
      <c r="B1439" t="s">
        <v>1091</v>
      </c>
      <c r="C1439" t="s">
        <v>122</v>
      </c>
      <c r="D1439" t="s">
        <v>90</v>
      </c>
      <c r="E1439" s="1">
        <v>46300</v>
      </c>
      <c r="F1439" s="1">
        <v>46307</v>
      </c>
      <c r="G1439" t="s">
        <v>64</v>
      </c>
      <c r="H1439">
        <v>2404</v>
      </c>
      <c r="I1439" t="s">
        <v>54</v>
      </c>
      <c r="J1439" t="b">
        <v>0</v>
      </c>
      <c r="K1439">
        <v>7</v>
      </c>
      <c r="L1439">
        <v>10</v>
      </c>
      <c r="M1439">
        <v>2026</v>
      </c>
      <c r="N1439">
        <v>0</v>
      </c>
      <c r="O1439">
        <v>10</v>
      </c>
      <c r="P1439">
        <v>2026</v>
      </c>
      <c r="Q1439">
        <v>0</v>
      </c>
      <c r="R1439" t="s">
        <v>40</v>
      </c>
      <c r="S1439" t="s">
        <v>55</v>
      </c>
      <c r="T1439" t="s">
        <v>113</v>
      </c>
      <c r="U1439" t="s">
        <v>40</v>
      </c>
      <c r="V1439" t="s">
        <v>124</v>
      </c>
      <c r="W1439" t="s">
        <v>125</v>
      </c>
      <c r="X1439" t="s">
        <v>126</v>
      </c>
      <c r="Y1439">
        <v>85</v>
      </c>
      <c r="Z1439" t="s">
        <v>93</v>
      </c>
      <c r="AA1439" t="s">
        <v>94</v>
      </c>
      <c r="AB1439" s="1">
        <v>46307</v>
      </c>
      <c r="AC1439" t="s">
        <v>40</v>
      </c>
      <c r="AD1439" t="s">
        <v>40</v>
      </c>
      <c r="AE1439" t="s">
        <v>60</v>
      </c>
      <c r="AF1439" t="s">
        <v>40</v>
      </c>
      <c r="AG1439">
        <v>1</v>
      </c>
      <c r="AH1439" t="s">
        <v>100</v>
      </c>
    </row>
    <row r="1440" spans="1:34" x14ac:dyDescent="0.3">
      <c r="A1440" t="s">
        <v>2132</v>
      </c>
      <c r="B1440" t="s">
        <v>2133</v>
      </c>
      <c r="C1440" t="s">
        <v>146</v>
      </c>
      <c r="D1440" t="s">
        <v>130</v>
      </c>
      <c r="E1440" s="1">
        <v>45899</v>
      </c>
      <c r="F1440" s="1">
        <v>45959</v>
      </c>
      <c r="G1440" t="s">
        <v>41</v>
      </c>
      <c r="H1440">
        <v>8502</v>
      </c>
      <c r="I1440" t="s">
        <v>39</v>
      </c>
      <c r="J1440" t="b">
        <v>0</v>
      </c>
      <c r="K1440">
        <v>60</v>
      </c>
      <c r="L1440">
        <v>10</v>
      </c>
      <c r="M1440">
        <v>2025</v>
      </c>
      <c r="N1440">
        <v>2</v>
      </c>
      <c r="O1440">
        <v>8</v>
      </c>
      <c r="P1440">
        <v>2025</v>
      </c>
      <c r="Q1440">
        <v>5</v>
      </c>
      <c r="R1440" t="s">
        <v>40</v>
      </c>
      <c r="S1440" t="s">
        <v>45</v>
      </c>
      <c r="T1440" t="s">
        <v>42</v>
      </c>
      <c r="U1440" t="s">
        <v>40</v>
      </c>
      <c r="V1440" t="s">
        <v>147</v>
      </c>
      <c r="W1440" t="s">
        <v>148</v>
      </c>
      <c r="X1440" t="s">
        <v>45</v>
      </c>
      <c r="Y1440">
        <v>160</v>
      </c>
      <c r="Z1440" t="s">
        <v>133</v>
      </c>
      <c r="AA1440" t="s">
        <v>134</v>
      </c>
      <c r="AB1440" s="1">
        <v>45959</v>
      </c>
      <c r="AC1440" t="s">
        <v>40</v>
      </c>
      <c r="AD1440" t="s">
        <v>40</v>
      </c>
      <c r="AE1440" t="s">
        <v>60</v>
      </c>
      <c r="AF1440" t="s">
        <v>40</v>
      </c>
      <c r="AG1440">
        <v>0</v>
      </c>
      <c r="AH1440" t="s">
        <v>61</v>
      </c>
    </row>
    <row r="1441" spans="1:34" x14ac:dyDescent="0.3">
      <c r="A1441" t="s">
        <v>2134</v>
      </c>
      <c r="B1441" t="s">
        <v>255</v>
      </c>
      <c r="C1441" t="s">
        <v>129</v>
      </c>
      <c r="D1441" t="s">
        <v>90</v>
      </c>
      <c r="E1441" s="1">
        <v>46270</v>
      </c>
      <c r="F1441" s="1">
        <v>46273</v>
      </c>
      <c r="G1441" t="s">
        <v>64</v>
      </c>
      <c r="H1441">
        <v>4189</v>
      </c>
      <c r="I1441" t="s">
        <v>65</v>
      </c>
      <c r="J1441" t="b">
        <v>0</v>
      </c>
      <c r="K1441">
        <v>3</v>
      </c>
      <c r="L1441">
        <v>9</v>
      </c>
      <c r="M1441">
        <v>2026</v>
      </c>
      <c r="N1441">
        <v>1</v>
      </c>
      <c r="O1441">
        <v>9</v>
      </c>
      <c r="P1441">
        <v>2026</v>
      </c>
      <c r="Q1441">
        <v>5</v>
      </c>
      <c r="R1441" t="s">
        <v>40</v>
      </c>
      <c r="S1441" t="s">
        <v>45</v>
      </c>
      <c r="T1441" t="s">
        <v>68</v>
      </c>
      <c r="U1441" t="s">
        <v>40</v>
      </c>
      <c r="V1441" t="s">
        <v>131</v>
      </c>
      <c r="W1441" t="s">
        <v>132</v>
      </c>
      <c r="X1441" t="s">
        <v>45</v>
      </c>
      <c r="Y1441">
        <v>110</v>
      </c>
      <c r="Z1441" t="s">
        <v>93</v>
      </c>
      <c r="AA1441" t="s">
        <v>94</v>
      </c>
      <c r="AB1441" s="1">
        <v>46273</v>
      </c>
      <c r="AC1441" t="s">
        <v>40</v>
      </c>
      <c r="AD1441" t="s">
        <v>40</v>
      </c>
      <c r="AE1441" t="s">
        <v>60</v>
      </c>
      <c r="AF1441" t="s">
        <v>40</v>
      </c>
      <c r="AG1441">
        <v>0</v>
      </c>
      <c r="AH1441" t="s">
        <v>100</v>
      </c>
    </row>
    <row r="1442" spans="1:34" x14ac:dyDescent="0.3">
      <c r="A1442" t="s">
        <v>2135</v>
      </c>
      <c r="B1442" t="s">
        <v>1088</v>
      </c>
      <c r="C1442" t="s">
        <v>122</v>
      </c>
      <c r="D1442" t="s">
        <v>130</v>
      </c>
      <c r="E1442" s="1">
        <v>45834</v>
      </c>
      <c r="F1442" s="1">
        <v>45837</v>
      </c>
      <c r="G1442" t="s">
        <v>41</v>
      </c>
      <c r="H1442">
        <v>5902</v>
      </c>
      <c r="I1442" t="s">
        <v>39</v>
      </c>
      <c r="J1442" t="b">
        <v>0</v>
      </c>
      <c r="K1442">
        <v>3</v>
      </c>
      <c r="L1442">
        <v>6</v>
      </c>
      <c r="M1442">
        <v>2025</v>
      </c>
      <c r="N1442">
        <v>6</v>
      </c>
      <c r="O1442">
        <v>6</v>
      </c>
      <c r="P1442">
        <v>2025</v>
      </c>
      <c r="Q1442">
        <v>3</v>
      </c>
      <c r="R1442" t="s">
        <v>66</v>
      </c>
      <c r="S1442" t="s">
        <v>55</v>
      </c>
      <c r="T1442" t="s">
        <v>123</v>
      </c>
      <c r="U1442" t="s">
        <v>40</v>
      </c>
      <c r="V1442" t="s">
        <v>124</v>
      </c>
      <c r="W1442" t="s">
        <v>125</v>
      </c>
      <c r="X1442" t="s">
        <v>126</v>
      </c>
      <c r="Y1442">
        <v>85</v>
      </c>
      <c r="Z1442" t="s">
        <v>133</v>
      </c>
      <c r="AA1442" t="s">
        <v>134</v>
      </c>
      <c r="AB1442" s="1">
        <v>45837</v>
      </c>
      <c r="AC1442" t="s">
        <v>66</v>
      </c>
      <c r="AD1442" t="s">
        <v>40</v>
      </c>
      <c r="AE1442" t="s">
        <v>60</v>
      </c>
      <c r="AF1442" t="s">
        <v>40</v>
      </c>
      <c r="AG1442">
        <v>0</v>
      </c>
      <c r="AH1442" t="s">
        <v>100</v>
      </c>
    </row>
    <row r="1443" spans="1:34" x14ac:dyDescent="0.3">
      <c r="A1443" t="s">
        <v>2136</v>
      </c>
      <c r="B1443" t="s">
        <v>558</v>
      </c>
      <c r="C1443" t="s">
        <v>97</v>
      </c>
      <c r="D1443" t="s">
        <v>90</v>
      </c>
      <c r="E1443" s="1">
        <v>45773</v>
      </c>
      <c r="F1443" s="1">
        <v>45787</v>
      </c>
      <c r="G1443" t="s">
        <v>41</v>
      </c>
      <c r="H1443">
        <v>8600</v>
      </c>
      <c r="I1443" t="s">
        <v>39</v>
      </c>
      <c r="J1443" t="b">
        <v>0</v>
      </c>
      <c r="K1443">
        <v>14</v>
      </c>
      <c r="L1443">
        <v>5</v>
      </c>
      <c r="M1443">
        <v>2025</v>
      </c>
      <c r="N1443">
        <v>5</v>
      </c>
      <c r="O1443">
        <v>4</v>
      </c>
      <c r="P1443">
        <v>2025</v>
      </c>
      <c r="Q1443">
        <v>5</v>
      </c>
      <c r="R1443" t="s">
        <v>66</v>
      </c>
      <c r="S1443" t="s">
        <v>55</v>
      </c>
      <c r="T1443" t="s">
        <v>48</v>
      </c>
      <c r="U1443" t="s">
        <v>40</v>
      </c>
      <c r="V1443" t="s">
        <v>98</v>
      </c>
      <c r="W1443" t="s">
        <v>99</v>
      </c>
      <c r="X1443" t="s">
        <v>76</v>
      </c>
      <c r="Y1443">
        <v>80</v>
      </c>
      <c r="Z1443" t="s">
        <v>93</v>
      </c>
      <c r="AA1443" t="s">
        <v>94</v>
      </c>
      <c r="AB1443" s="1">
        <v>45787</v>
      </c>
      <c r="AC1443" t="s">
        <v>66</v>
      </c>
      <c r="AD1443" t="s">
        <v>40</v>
      </c>
      <c r="AE1443" t="s">
        <v>69</v>
      </c>
      <c r="AF1443" t="s">
        <v>40</v>
      </c>
      <c r="AG1443">
        <v>0</v>
      </c>
      <c r="AH1443" t="s">
        <v>70</v>
      </c>
    </row>
    <row r="1444" spans="1:34" x14ac:dyDescent="0.3">
      <c r="A1444" t="s">
        <v>2137</v>
      </c>
      <c r="B1444" t="s">
        <v>1039</v>
      </c>
      <c r="C1444" t="s">
        <v>89</v>
      </c>
      <c r="D1444" t="s">
        <v>37</v>
      </c>
      <c r="E1444" s="1">
        <v>45659</v>
      </c>
      <c r="F1444" s="1">
        <v>45719</v>
      </c>
      <c r="G1444" t="s">
        <v>38</v>
      </c>
      <c r="H1444">
        <v>4687</v>
      </c>
      <c r="I1444" t="s">
        <v>39</v>
      </c>
      <c r="J1444" t="b">
        <v>0</v>
      </c>
      <c r="K1444">
        <v>60</v>
      </c>
      <c r="L1444">
        <v>3</v>
      </c>
      <c r="M1444">
        <v>2025</v>
      </c>
      <c r="N1444">
        <v>0</v>
      </c>
      <c r="O1444">
        <v>1</v>
      </c>
      <c r="P1444">
        <v>2025</v>
      </c>
      <c r="Q1444">
        <v>3</v>
      </c>
      <c r="R1444" t="s">
        <v>40</v>
      </c>
      <c r="S1444" t="s">
        <v>55</v>
      </c>
      <c r="T1444" t="s">
        <v>42</v>
      </c>
      <c r="U1444" t="s">
        <v>40</v>
      </c>
      <c r="V1444" t="s">
        <v>91</v>
      </c>
      <c r="W1444" t="s">
        <v>92</v>
      </c>
      <c r="X1444" t="s">
        <v>76</v>
      </c>
      <c r="Y1444">
        <v>65</v>
      </c>
      <c r="Z1444" t="s">
        <v>46</v>
      </c>
      <c r="AA1444" t="s">
        <v>47</v>
      </c>
      <c r="AB1444" s="1">
        <v>45719</v>
      </c>
      <c r="AC1444" t="s">
        <v>40</v>
      </c>
      <c r="AD1444" t="s">
        <v>40</v>
      </c>
      <c r="AE1444" t="s">
        <v>60</v>
      </c>
      <c r="AF1444" t="s">
        <v>40</v>
      </c>
      <c r="AG1444">
        <v>0</v>
      </c>
      <c r="AH1444" t="s">
        <v>61</v>
      </c>
    </row>
    <row r="1445" spans="1:34" x14ac:dyDescent="0.3">
      <c r="A1445" t="s">
        <v>2138</v>
      </c>
      <c r="B1445" t="s">
        <v>1974</v>
      </c>
      <c r="C1445" t="s">
        <v>146</v>
      </c>
      <c r="D1445" t="s">
        <v>104</v>
      </c>
      <c r="E1445" s="1">
        <v>46178</v>
      </c>
      <c r="F1445" s="1">
        <v>46208</v>
      </c>
      <c r="G1445" t="s">
        <v>81</v>
      </c>
      <c r="H1445">
        <v>6670</v>
      </c>
      <c r="I1445" t="s">
        <v>39</v>
      </c>
      <c r="J1445" t="b">
        <v>0</v>
      </c>
      <c r="K1445">
        <v>30</v>
      </c>
      <c r="L1445">
        <v>7</v>
      </c>
      <c r="M1445">
        <v>2026</v>
      </c>
      <c r="N1445">
        <v>6</v>
      </c>
      <c r="O1445">
        <v>6</v>
      </c>
      <c r="P1445">
        <v>2026</v>
      </c>
      <c r="Q1445">
        <v>4</v>
      </c>
      <c r="R1445" t="s">
        <v>66</v>
      </c>
      <c r="S1445" t="s">
        <v>55</v>
      </c>
      <c r="T1445" t="s">
        <v>42</v>
      </c>
      <c r="U1445" t="s">
        <v>40</v>
      </c>
      <c r="V1445" t="s">
        <v>147</v>
      </c>
      <c r="W1445" t="s">
        <v>148</v>
      </c>
      <c r="X1445" t="s">
        <v>45</v>
      </c>
      <c r="Y1445">
        <v>160</v>
      </c>
      <c r="Z1445" t="s">
        <v>107</v>
      </c>
      <c r="AA1445" t="s">
        <v>108</v>
      </c>
      <c r="AB1445" s="1">
        <v>46208</v>
      </c>
      <c r="AC1445" t="s">
        <v>66</v>
      </c>
      <c r="AD1445" t="s">
        <v>40</v>
      </c>
      <c r="AE1445" t="s">
        <v>86</v>
      </c>
      <c r="AF1445" t="s">
        <v>40</v>
      </c>
      <c r="AG1445">
        <v>0</v>
      </c>
      <c r="AH1445" t="s">
        <v>70</v>
      </c>
    </row>
    <row r="1446" spans="1:34" x14ac:dyDescent="0.3">
      <c r="A1446" t="s">
        <v>2139</v>
      </c>
      <c r="B1446" t="s">
        <v>1969</v>
      </c>
      <c r="C1446" t="s">
        <v>129</v>
      </c>
      <c r="D1446" t="s">
        <v>90</v>
      </c>
      <c r="E1446" s="1">
        <v>45821</v>
      </c>
      <c r="F1446" s="1">
        <v>45971</v>
      </c>
      <c r="G1446" t="s">
        <v>81</v>
      </c>
      <c r="H1446">
        <v>8015</v>
      </c>
      <c r="I1446" t="s">
        <v>65</v>
      </c>
      <c r="J1446" t="b">
        <v>0</v>
      </c>
      <c r="K1446">
        <v>150</v>
      </c>
      <c r="L1446">
        <v>11</v>
      </c>
      <c r="M1446">
        <v>2025</v>
      </c>
      <c r="N1446">
        <v>0</v>
      </c>
      <c r="O1446">
        <v>6</v>
      </c>
      <c r="P1446">
        <v>2025</v>
      </c>
      <c r="Q1446">
        <v>4</v>
      </c>
      <c r="R1446" t="s">
        <v>40</v>
      </c>
      <c r="S1446" t="s">
        <v>45</v>
      </c>
      <c r="T1446" t="s">
        <v>286</v>
      </c>
      <c r="U1446" t="s">
        <v>40</v>
      </c>
      <c r="V1446" t="s">
        <v>131</v>
      </c>
      <c r="W1446" t="s">
        <v>132</v>
      </c>
      <c r="X1446" t="s">
        <v>45</v>
      </c>
      <c r="Y1446">
        <v>110</v>
      </c>
      <c r="Z1446" t="s">
        <v>93</v>
      </c>
      <c r="AA1446" t="s">
        <v>94</v>
      </c>
      <c r="AB1446" s="1">
        <v>45971</v>
      </c>
      <c r="AC1446" t="s">
        <v>40</v>
      </c>
      <c r="AD1446" t="s">
        <v>40</v>
      </c>
      <c r="AE1446" t="s">
        <v>86</v>
      </c>
      <c r="AF1446" t="s">
        <v>40</v>
      </c>
      <c r="AG1446">
        <v>0</v>
      </c>
      <c r="AH1446" t="s">
        <v>49</v>
      </c>
    </row>
    <row r="1447" spans="1:34" x14ac:dyDescent="0.3">
      <c r="A1447" t="s">
        <v>2140</v>
      </c>
      <c r="B1447" t="s">
        <v>797</v>
      </c>
      <c r="C1447" t="s">
        <v>79</v>
      </c>
      <c r="D1447" t="s">
        <v>80</v>
      </c>
      <c r="E1447" s="1">
        <v>45815</v>
      </c>
      <c r="F1447" s="1">
        <v>45816</v>
      </c>
      <c r="G1447" t="s">
        <v>64</v>
      </c>
      <c r="H1447">
        <v>2915</v>
      </c>
      <c r="I1447" t="s">
        <v>65</v>
      </c>
      <c r="J1447" t="b">
        <v>0</v>
      </c>
      <c r="K1447">
        <v>1</v>
      </c>
      <c r="L1447">
        <v>6</v>
      </c>
      <c r="M1447">
        <v>2025</v>
      </c>
      <c r="N1447">
        <v>6</v>
      </c>
      <c r="O1447">
        <v>6</v>
      </c>
      <c r="P1447">
        <v>2025</v>
      </c>
      <c r="Q1447">
        <v>5</v>
      </c>
      <c r="R1447" t="s">
        <v>66</v>
      </c>
      <c r="S1447" t="s">
        <v>45</v>
      </c>
      <c r="T1447" t="s">
        <v>42</v>
      </c>
      <c r="U1447" t="s">
        <v>66</v>
      </c>
      <c r="V1447" t="s">
        <v>82</v>
      </c>
      <c r="W1447" t="s">
        <v>83</v>
      </c>
      <c r="X1447" t="s">
        <v>76</v>
      </c>
      <c r="Y1447">
        <v>100</v>
      </c>
      <c r="Z1447" t="s">
        <v>84</v>
      </c>
      <c r="AA1447" t="s">
        <v>85</v>
      </c>
      <c r="AB1447" s="1">
        <v>45816</v>
      </c>
      <c r="AC1447" t="s">
        <v>66</v>
      </c>
      <c r="AD1447" t="s">
        <v>40</v>
      </c>
      <c r="AE1447" t="s">
        <v>60</v>
      </c>
      <c r="AF1447" t="s">
        <v>40</v>
      </c>
      <c r="AG1447">
        <v>0</v>
      </c>
      <c r="AH1447" t="s">
        <v>100</v>
      </c>
    </row>
    <row r="1448" spans="1:34" x14ac:dyDescent="0.3">
      <c r="A1448" t="s">
        <v>2141</v>
      </c>
      <c r="B1448" t="s">
        <v>890</v>
      </c>
      <c r="C1448" t="s">
        <v>89</v>
      </c>
      <c r="D1448" t="s">
        <v>90</v>
      </c>
      <c r="E1448" s="1">
        <v>45812</v>
      </c>
      <c r="F1448" s="1">
        <v>45842</v>
      </c>
      <c r="G1448" t="s">
        <v>64</v>
      </c>
      <c r="H1448">
        <v>2860</v>
      </c>
      <c r="I1448" t="s">
        <v>65</v>
      </c>
      <c r="J1448" t="b">
        <v>0</v>
      </c>
      <c r="K1448">
        <v>30</v>
      </c>
      <c r="L1448">
        <v>7</v>
      </c>
      <c r="M1448">
        <v>2025</v>
      </c>
      <c r="N1448">
        <v>4</v>
      </c>
      <c r="O1448">
        <v>6</v>
      </c>
      <c r="P1448">
        <v>2025</v>
      </c>
      <c r="Q1448">
        <v>2</v>
      </c>
      <c r="R1448" t="s">
        <v>40</v>
      </c>
      <c r="S1448" t="s">
        <v>41</v>
      </c>
      <c r="T1448" t="s">
        <v>113</v>
      </c>
      <c r="U1448" t="s">
        <v>40</v>
      </c>
      <c r="V1448" t="s">
        <v>91</v>
      </c>
      <c r="W1448" t="s">
        <v>92</v>
      </c>
      <c r="X1448" t="s">
        <v>76</v>
      </c>
      <c r="Y1448">
        <v>65</v>
      </c>
      <c r="Z1448" t="s">
        <v>93</v>
      </c>
      <c r="AA1448" t="s">
        <v>94</v>
      </c>
      <c r="AB1448" s="1">
        <v>45842</v>
      </c>
      <c r="AC1448" t="s">
        <v>40</v>
      </c>
      <c r="AD1448" t="s">
        <v>40</v>
      </c>
      <c r="AE1448" t="s">
        <v>86</v>
      </c>
      <c r="AF1448" t="s">
        <v>40</v>
      </c>
      <c r="AG1448">
        <v>0</v>
      </c>
      <c r="AH1448" t="s">
        <v>70</v>
      </c>
    </row>
    <row r="1449" spans="1:34" x14ac:dyDescent="0.3">
      <c r="A1449" t="s">
        <v>2142</v>
      </c>
      <c r="B1449" t="s">
        <v>1111</v>
      </c>
      <c r="C1449" t="s">
        <v>103</v>
      </c>
      <c r="D1449" t="s">
        <v>90</v>
      </c>
      <c r="E1449" s="1">
        <v>46104</v>
      </c>
      <c r="F1449" s="1">
        <v>46111</v>
      </c>
      <c r="G1449" t="s">
        <v>38</v>
      </c>
      <c r="H1449">
        <v>4715</v>
      </c>
      <c r="I1449" t="s">
        <v>54</v>
      </c>
      <c r="J1449" t="b">
        <v>0</v>
      </c>
      <c r="K1449">
        <v>7</v>
      </c>
      <c r="L1449">
        <v>3</v>
      </c>
      <c r="M1449">
        <v>2026</v>
      </c>
      <c r="N1449">
        <v>0</v>
      </c>
      <c r="O1449">
        <v>3</v>
      </c>
      <c r="P1449">
        <v>2026</v>
      </c>
      <c r="Q1449">
        <v>0</v>
      </c>
      <c r="R1449" t="s">
        <v>40</v>
      </c>
      <c r="S1449" t="s">
        <v>55</v>
      </c>
      <c r="T1449" t="s">
        <v>113</v>
      </c>
      <c r="U1449" t="s">
        <v>40</v>
      </c>
      <c r="V1449" t="s">
        <v>105</v>
      </c>
      <c r="W1449" t="s">
        <v>106</v>
      </c>
      <c r="X1449" t="s">
        <v>45</v>
      </c>
      <c r="Y1449">
        <v>140</v>
      </c>
      <c r="Z1449" t="s">
        <v>93</v>
      </c>
      <c r="AA1449" t="s">
        <v>94</v>
      </c>
      <c r="AB1449" s="1">
        <v>46111</v>
      </c>
      <c r="AC1449" t="s">
        <v>40</v>
      </c>
      <c r="AD1449" t="s">
        <v>40</v>
      </c>
      <c r="AE1449" t="s">
        <v>60</v>
      </c>
      <c r="AF1449" t="s">
        <v>40</v>
      </c>
      <c r="AG1449">
        <v>1</v>
      </c>
      <c r="AH1449" t="s">
        <v>100</v>
      </c>
    </row>
    <row r="1450" spans="1:34" x14ac:dyDescent="0.3">
      <c r="A1450" t="s">
        <v>2143</v>
      </c>
      <c r="B1450" t="s">
        <v>983</v>
      </c>
      <c r="C1450" t="s">
        <v>36</v>
      </c>
      <c r="D1450" t="s">
        <v>53</v>
      </c>
      <c r="E1450" s="1">
        <v>46337</v>
      </c>
      <c r="F1450" s="1">
        <v>46344</v>
      </c>
      <c r="G1450" t="s">
        <v>64</v>
      </c>
      <c r="H1450">
        <v>2895</v>
      </c>
      <c r="I1450" t="s">
        <v>54</v>
      </c>
      <c r="J1450" t="b">
        <v>0</v>
      </c>
      <c r="K1450">
        <v>7</v>
      </c>
      <c r="L1450">
        <v>11</v>
      </c>
      <c r="M1450">
        <v>2026</v>
      </c>
      <c r="N1450">
        <v>2</v>
      </c>
      <c r="O1450">
        <v>11</v>
      </c>
      <c r="P1450">
        <v>2026</v>
      </c>
      <c r="Q1450">
        <v>2</v>
      </c>
      <c r="R1450" t="s">
        <v>40</v>
      </c>
      <c r="S1450" t="s">
        <v>41</v>
      </c>
      <c r="T1450" t="s">
        <v>42</v>
      </c>
      <c r="U1450" t="s">
        <v>40</v>
      </c>
      <c r="V1450" t="s">
        <v>43</v>
      </c>
      <c r="W1450" t="s">
        <v>44</v>
      </c>
      <c r="X1450" t="s">
        <v>45</v>
      </c>
      <c r="Y1450">
        <v>150</v>
      </c>
      <c r="Z1450" t="s">
        <v>58</v>
      </c>
      <c r="AA1450" t="s">
        <v>59</v>
      </c>
      <c r="AB1450" s="1">
        <v>46344</v>
      </c>
      <c r="AC1450" t="s">
        <v>40</v>
      </c>
      <c r="AD1450" t="s">
        <v>40</v>
      </c>
      <c r="AE1450" t="s">
        <v>86</v>
      </c>
      <c r="AF1450" t="s">
        <v>40</v>
      </c>
      <c r="AG1450">
        <v>1</v>
      </c>
      <c r="AH1450" t="s">
        <v>100</v>
      </c>
    </row>
    <row r="1451" spans="1:34" x14ac:dyDescent="0.3">
      <c r="A1451" t="s">
        <v>2144</v>
      </c>
      <c r="B1451" t="s">
        <v>856</v>
      </c>
      <c r="C1451" t="s">
        <v>52</v>
      </c>
      <c r="D1451" t="s">
        <v>130</v>
      </c>
      <c r="E1451" s="1">
        <v>45937</v>
      </c>
      <c r="F1451" s="1">
        <v>45967</v>
      </c>
      <c r="G1451" t="s">
        <v>38</v>
      </c>
      <c r="H1451">
        <v>3842</v>
      </c>
      <c r="I1451" t="s">
        <v>39</v>
      </c>
      <c r="J1451" t="b">
        <v>0</v>
      </c>
      <c r="K1451">
        <v>30</v>
      </c>
      <c r="L1451">
        <v>11</v>
      </c>
      <c r="M1451">
        <v>2025</v>
      </c>
      <c r="N1451">
        <v>3</v>
      </c>
      <c r="O1451">
        <v>10</v>
      </c>
      <c r="P1451">
        <v>2025</v>
      </c>
      <c r="Q1451">
        <v>1</v>
      </c>
      <c r="R1451" t="s">
        <v>40</v>
      </c>
      <c r="S1451" t="s">
        <v>45</v>
      </c>
      <c r="T1451" t="s">
        <v>42</v>
      </c>
      <c r="U1451" t="s">
        <v>40</v>
      </c>
      <c r="V1451" t="s">
        <v>56</v>
      </c>
      <c r="W1451" t="s">
        <v>57</v>
      </c>
      <c r="X1451" t="s">
        <v>45</v>
      </c>
      <c r="Y1451">
        <v>120</v>
      </c>
      <c r="Z1451" t="s">
        <v>133</v>
      </c>
      <c r="AA1451" t="s">
        <v>134</v>
      </c>
      <c r="AB1451" s="1">
        <v>45967</v>
      </c>
      <c r="AC1451" t="s">
        <v>40</v>
      </c>
      <c r="AD1451" t="s">
        <v>40</v>
      </c>
      <c r="AE1451" t="s">
        <v>86</v>
      </c>
      <c r="AF1451" t="s">
        <v>40</v>
      </c>
      <c r="AG1451">
        <v>0</v>
      </c>
      <c r="AH1451" t="s">
        <v>70</v>
      </c>
    </row>
    <row r="1452" spans="1:34" x14ac:dyDescent="0.3">
      <c r="A1452" t="s">
        <v>2145</v>
      </c>
      <c r="B1452" t="s">
        <v>1071</v>
      </c>
      <c r="C1452" t="s">
        <v>79</v>
      </c>
      <c r="D1452" t="s">
        <v>37</v>
      </c>
      <c r="E1452" s="1">
        <v>45961</v>
      </c>
      <c r="F1452" s="1">
        <v>45991</v>
      </c>
      <c r="G1452" t="s">
        <v>64</v>
      </c>
      <c r="H1452">
        <v>3302</v>
      </c>
      <c r="I1452" t="s">
        <v>39</v>
      </c>
      <c r="J1452" t="b">
        <v>0</v>
      </c>
      <c r="K1452">
        <v>30</v>
      </c>
      <c r="L1452">
        <v>11</v>
      </c>
      <c r="M1452">
        <v>2025</v>
      </c>
      <c r="N1452">
        <v>6</v>
      </c>
      <c r="O1452">
        <v>10</v>
      </c>
      <c r="P1452">
        <v>2025</v>
      </c>
      <c r="Q1452">
        <v>4</v>
      </c>
      <c r="R1452" t="s">
        <v>66</v>
      </c>
      <c r="S1452" t="s">
        <v>55</v>
      </c>
      <c r="T1452" t="s">
        <v>42</v>
      </c>
      <c r="U1452" t="s">
        <v>40</v>
      </c>
      <c r="V1452" t="s">
        <v>82</v>
      </c>
      <c r="W1452" t="s">
        <v>83</v>
      </c>
      <c r="X1452" t="s">
        <v>76</v>
      </c>
      <c r="Y1452">
        <v>100</v>
      </c>
      <c r="Z1452" t="s">
        <v>46</v>
      </c>
      <c r="AA1452" t="s">
        <v>47</v>
      </c>
      <c r="AB1452" s="1">
        <v>45991</v>
      </c>
      <c r="AC1452" t="s">
        <v>66</v>
      </c>
      <c r="AD1452" t="s">
        <v>40</v>
      </c>
      <c r="AE1452" t="s">
        <v>86</v>
      </c>
      <c r="AF1452" t="s">
        <v>40</v>
      </c>
      <c r="AG1452">
        <v>0</v>
      </c>
      <c r="AH1452" t="s">
        <v>70</v>
      </c>
    </row>
    <row r="1453" spans="1:34" x14ac:dyDescent="0.3">
      <c r="A1453" t="s">
        <v>2146</v>
      </c>
      <c r="B1453" t="s">
        <v>259</v>
      </c>
      <c r="C1453" t="s">
        <v>36</v>
      </c>
      <c r="D1453" t="s">
        <v>80</v>
      </c>
      <c r="E1453" s="1">
        <v>45770</v>
      </c>
      <c r="F1453" s="1">
        <v>45800</v>
      </c>
      <c r="G1453" t="s">
        <v>81</v>
      </c>
      <c r="H1453">
        <v>9690</v>
      </c>
      <c r="I1453" t="s">
        <v>65</v>
      </c>
      <c r="J1453" t="b">
        <v>0</v>
      </c>
      <c r="K1453">
        <v>30</v>
      </c>
      <c r="L1453">
        <v>5</v>
      </c>
      <c r="M1453">
        <v>2025</v>
      </c>
      <c r="N1453">
        <v>4</v>
      </c>
      <c r="O1453">
        <v>4</v>
      </c>
      <c r="P1453">
        <v>2025</v>
      </c>
      <c r="Q1453">
        <v>2</v>
      </c>
      <c r="R1453" t="s">
        <v>40</v>
      </c>
      <c r="S1453" t="s">
        <v>67</v>
      </c>
      <c r="T1453" t="s">
        <v>42</v>
      </c>
      <c r="U1453" t="s">
        <v>66</v>
      </c>
      <c r="V1453" t="s">
        <v>43</v>
      </c>
      <c r="W1453" t="s">
        <v>44</v>
      </c>
      <c r="X1453" t="s">
        <v>45</v>
      </c>
      <c r="Y1453">
        <v>150</v>
      </c>
      <c r="Z1453" t="s">
        <v>84</v>
      </c>
      <c r="AA1453" t="s">
        <v>85</v>
      </c>
      <c r="AB1453" s="1">
        <v>45800</v>
      </c>
      <c r="AC1453" t="s">
        <v>40</v>
      </c>
      <c r="AD1453" t="s">
        <v>40</v>
      </c>
      <c r="AE1453" t="s">
        <v>69</v>
      </c>
      <c r="AF1453" t="s">
        <v>40</v>
      </c>
      <c r="AG1453">
        <v>0</v>
      </c>
      <c r="AH1453" t="s">
        <v>70</v>
      </c>
    </row>
    <row r="1454" spans="1:34" x14ac:dyDescent="0.3">
      <c r="A1454" t="s">
        <v>2147</v>
      </c>
      <c r="B1454" t="s">
        <v>1237</v>
      </c>
      <c r="C1454" t="s">
        <v>52</v>
      </c>
      <c r="D1454" t="s">
        <v>104</v>
      </c>
      <c r="E1454" s="1">
        <v>45839</v>
      </c>
      <c r="F1454" s="1">
        <v>45869</v>
      </c>
      <c r="G1454" t="s">
        <v>41</v>
      </c>
      <c r="H1454">
        <v>6001</v>
      </c>
      <c r="I1454" t="s">
        <v>65</v>
      </c>
      <c r="J1454" t="b">
        <v>0</v>
      </c>
      <c r="K1454">
        <v>30</v>
      </c>
      <c r="L1454">
        <v>7</v>
      </c>
      <c r="M1454">
        <v>2025</v>
      </c>
      <c r="N1454">
        <v>3</v>
      </c>
      <c r="O1454">
        <v>7</v>
      </c>
      <c r="P1454">
        <v>2025</v>
      </c>
      <c r="Q1454">
        <v>1</v>
      </c>
      <c r="R1454" t="s">
        <v>40</v>
      </c>
      <c r="S1454" t="s">
        <v>41</v>
      </c>
      <c r="T1454" t="s">
        <v>42</v>
      </c>
      <c r="U1454" t="s">
        <v>40</v>
      </c>
      <c r="V1454" t="s">
        <v>56</v>
      </c>
      <c r="W1454" t="s">
        <v>57</v>
      </c>
      <c r="X1454" t="s">
        <v>45</v>
      </c>
      <c r="Y1454">
        <v>120</v>
      </c>
      <c r="Z1454" t="s">
        <v>107</v>
      </c>
      <c r="AA1454" t="s">
        <v>108</v>
      </c>
      <c r="AB1454" s="1">
        <v>45869</v>
      </c>
      <c r="AC1454" t="s">
        <v>40</v>
      </c>
      <c r="AD1454" t="s">
        <v>40</v>
      </c>
      <c r="AE1454" t="s">
        <v>86</v>
      </c>
      <c r="AF1454" t="s">
        <v>40</v>
      </c>
      <c r="AG1454">
        <v>0</v>
      </c>
      <c r="AH1454" t="s">
        <v>70</v>
      </c>
    </row>
    <row r="1455" spans="1:34" x14ac:dyDescent="0.3">
      <c r="A1455" t="s">
        <v>2148</v>
      </c>
      <c r="B1455" t="s">
        <v>1152</v>
      </c>
      <c r="C1455" t="s">
        <v>129</v>
      </c>
      <c r="D1455" t="s">
        <v>104</v>
      </c>
      <c r="E1455" s="1">
        <v>45946</v>
      </c>
      <c r="F1455" s="1">
        <v>46096</v>
      </c>
      <c r="G1455" t="s">
        <v>41</v>
      </c>
      <c r="H1455">
        <v>6783</v>
      </c>
      <c r="I1455" t="s">
        <v>54</v>
      </c>
      <c r="J1455" t="b">
        <v>0</v>
      </c>
      <c r="K1455">
        <v>150</v>
      </c>
      <c r="L1455">
        <v>3</v>
      </c>
      <c r="M1455">
        <v>2026</v>
      </c>
      <c r="N1455">
        <v>6</v>
      </c>
      <c r="O1455">
        <v>10</v>
      </c>
      <c r="P1455">
        <v>2025</v>
      </c>
      <c r="Q1455">
        <v>3</v>
      </c>
      <c r="R1455" t="s">
        <v>66</v>
      </c>
      <c r="S1455" t="s">
        <v>45</v>
      </c>
      <c r="T1455" t="s">
        <v>42</v>
      </c>
      <c r="U1455" t="s">
        <v>66</v>
      </c>
      <c r="V1455" t="s">
        <v>131</v>
      </c>
      <c r="W1455" t="s">
        <v>132</v>
      </c>
      <c r="X1455" t="s">
        <v>45</v>
      </c>
      <c r="Y1455">
        <v>110</v>
      </c>
      <c r="Z1455" t="s">
        <v>107</v>
      </c>
      <c r="AA1455" t="s">
        <v>108</v>
      </c>
      <c r="AB1455" s="1">
        <v>46096</v>
      </c>
      <c r="AC1455" t="s">
        <v>66</v>
      </c>
      <c r="AD1455" t="s">
        <v>40</v>
      </c>
      <c r="AE1455" t="s">
        <v>60</v>
      </c>
      <c r="AF1455" t="s">
        <v>40</v>
      </c>
      <c r="AG1455">
        <v>1</v>
      </c>
      <c r="AH1455" t="s">
        <v>49</v>
      </c>
    </row>
    <row r="1456" spans="1:34" x14ac:dyDescent="0.3">
      <c r="A1456" t="s">
        <v>2149</v>
      </c>
      <c r="B1456" t="s">
        <v>456</v>
      </c>
      <c r="C1456" t="s">
        <v>36</v>
      </c>
      <c r="D1456" t="s">
        <v>80</v>
      </c>
      <c r="E1456" s="1">
        <v>45802</v>
      </c>
      <c r="F1456" s="1">
        <v>45862</v>
      </c>
      <c r="G1456" t="s">
        <v>41</v>
      </c>
      <c r="H1456">
        <v>5749</v>
      </c>
      <c r="I1456" t="s">
        <v>39</v>
      </c>
      <c r="J1456" t="b">
        <v>0</v>
      </c>
      <c r="K1456">
        <v>60</v>
      </c>
      <c r="L1456">
        <v>7</v>
      </c>
      <c r="M1456">
        <v>2025</v>
      </c>
      <c r="N1456">
        <v>3</v>
      </c>
      <c r="O1456">
        <v>5</v>
      </c>
      <c r="P1456">
        <v>2025</v>
      </c>
      <c r="Q1456">
        <v>6</v>
      </c>
      <c r="R1456" t="s">
        <v>40</v>
      </c>
      <c r="S1456" t="s">
        <v>55</v>
      </c>
      <c r="T1456" t="s">
        <v>123</v>
      </c>
      <c r="U1456" t="s">
        <v>40</v>
      </c>
      <c r="V1456" t="s">
        <v>43</v>
      </c>
      <c r="W1456" t="s">
        <v>44</v>
      </c>
      <c r="X1456" t="s">
        <v>45</v>
      </c>
      <c r="Y1456">
        <v>150</v>
      </c>
      <c r="Z1456" t="s">
        <v>84</v>
      </c>
      <c r="AA1456" t="s">
        <v>85</v>
      </c>
      <c r="AB1456" s="1">
        <v>45862</v>
      </c>
      <c r="AC1456" t="s">
        <v>40</v>
      </c>
      <c r="AD1456" t="s">
        <v>40</v>
      </c>
      <c r="AE1456" t="s">
        <v>86</v>
      </c>
      <c r="AF1456" t="s">
        <v>40</v>
      </c>
      <c r="AG1456">
        <v>0</v>
      </c>
      <c r="AH1456" t="s">
        <v>61</v>
      </c>
    </row>
    <row r="1457" spans="1:34" x14ac:dyDescent="0.3">
      <c r="A1457" t="s">
        <v>2150</v>
      </c>
      <c r="B1457" t="s">
        <v>2151</v>
      </c>
      <c r="C1457" t="s">
        <v>155</v>
      </c>
      <c r="D1457" t="s">
        <v>53</v>
      </c>
      <c r="E1457" s="1">
        <v>46202</v>
      </c>
      <c r="F1457" s="1">
        <v>46209</v>
      </c>
      <c r="G1457" t="s">
        <v>64</v>
      </c>
      <c r="H1457">
        <v>3700</v>
      </c>
      <c r="I1457" t="s">
        <v>65</v>
      </c>
      <c r="J1457" t="b">
        <v>0</v>
      </c>
      <c r="K1457">
        <v>7</v>
      </c>
      <c r="L1457">
        <v>7</v>
      </c>
      <c r="M1457">
        <v>2026</v>
      </c>
      <c r="N1457">
        <v>0</v>
      </c>
      <c r="O1457">
        <v>6</v>
      </c>
      <c r="P1457">
        <v>2026</v>
      </c>
      <c r="Q1457">
        <v>0</v>
      </c>
      <c r="R1457" t="s">
        <v>40</v>
      </c>
      <c r="S1457" t="s">
        <v>55</v>
      </c>
      <c r="T1457" t="s">
        <v>42</v>
      </c>
      <c r="U1457" t="s">
        <v>40</v>
      </c>
      <c r="V1457" t="s">
        <v>156</v>
      </c>
      <c r="W1457" t="s">
        <v>157</v>
      </c>
      <c r="X1457" t="s">
        <v>158</v>
      </c>
      <c r="Y1457">
        <v>70</v>
      </c>
      <c r="Z1457" t="s">
        <v>58</v>
      </c>
      <c r="AA1457" t="s">
        <v>59</v>
      </c>
      <c r="AB1457" s="1">
        <v>46209</v>
      </c>
      <c r="AC1457" t="s">
        <v>40</v>
      </c>
      <c r="AD1457" t="s">
        <v>40</v>
      </c>
      <c r="AE1457" t="s">
        <v>86</v>
      </c>
      <c r="AF1457" t="s">
        <v>40</v>
      </c>
      <c r="AG1457">
        <v>0</v>
      </c>
      <c r="AH1457" t="s">
        <v>100</v>
      </c>
    </row>
    <row r="1458" spans="1:34" x14ac:dyDescent="0.3">
      <c r="A1458" t="s">
        <v>2152</v>
      </c>
      <c r="B1458" t="s">
        <v>760</v>
      </c>
      <c r="C1458" t="s">
        <v>36</v>
      </c>
      <c r="D1458" t="s">
        <v>104</v>
      </c>
      <c r="E1458" s="1">
        <v>46287</v>
      </c>
      <c r="F1458" s="1">
        <v>46301</v>
      </c>
      <c r="G1458" t="s">
        <v>41</v>
      </c>
      <c r="H1458">
        <v>6137</v>
      </c>
      <c r="I1458" t="s">
        <v>65</v>
      </c>
      <c r="J1458" t="b">
        <v>0</v>
      </c>
      <c r="K1458">
        <v>14</v>
      </c>
      <c r="L1458">
        <v>10</v>
      </c>
      <c r="M1458">
        <v>2026</v>
      </c>
      <c r="N1458">
        <v>1</v>
      </c>
      <c r="O1458">
        <v>9</v>
      </c>
      <c r="P1458">
        <v>2026</v>
      </c>
      <c r="Q1458">
        <v>1</v>
      </c>
      <c r="R1458" t="s">
        <v>40</v>
      </c>
      <c r="S1458" t="s">
        <v>55</v>
      </c>
      <c r="T1458" t="s">
        <v>42</v>
      </c>
      <c r="U1458" t="s">
        <v>40</v>
      </c>
      <c r="V1458" t="s">
        <v>43</v>
      </c>
      <c r="W1458" t="s">
        <v>44</v>
      </c>
      <c r="X1458" t="s">
        <v>45</v>
      </c>
      <c r="Y1458">
        <v>150</v>
      </c>
      <c r="Z1458" t="s">
        <v>107</v>
      </c>
      <c r="AA1458" t="s">
        <v>108</v>
      </c>
      <c r="AB1458" s="1">
        <v>46301</v>
      </c>
      <c r="AC1458" t="s">
        <v>40</v>
      </c>
      <c r="AD1458" t="s">
        <v>40</v>
      </c>
      <c r="AE1458" t="s">
        <v>60</v>
      </c>
      <c r="AF1458" t="s">
        <v>40</v>
      </c>
      <c r="AG1458">
        <v>0</v>
      </c>
      <c r="AH1458" t="s">
        <v>70</v>
      </c>
    </row>
    <row r="1459" spans="1:34" x14ac:dyDescent="0.3">
      <c r="A1459" t="s">
        <v>2153</v>
      </c>
      <c r="B1459" t="s">
        <v>1433</v>
      </c>
      <c r="C1459" t="s">
        <v>89</v>
      </c>
      <c r="D1459" t="s">
        <v>90</v>
      </c>
      <c r="E1459" s="1">
        <v>45771</v>
      </c>
      <c r="F1459" s="1">
        <v>45831</v>
      </c>
      <c r="G1459" t="s">
        <v>64</v>
      </c>
      <c r="H1459">
        <v>2649</v>
      </c>
      <c r="I1459" t="s">
        <v>39</v>
      </c>
      <c r="J1459" t="b">
        <v>0</v>
      </c>
      <c r="K1459">
        <v>60</v>
      </c>
      <c r="L1459">
        <v>6</v>
      </c>
      <c r="M1459">
        <v>2025</v>
      </c>
      <c r="N1459">
        <v>0</v>
      </c>
      <c r="O1459">
        <v>4</v>
      </c>
      <c r="P1459">
        <v>2025</v>
      </c>
      <c r="Q1459">
        <v>3</v>
      </c>
      <c r="R1459" t="s">
        <v>40</v>
      </c>
      <c r="S1459" t="s">
        <v>55</v>
      </c>
      <c r="T1459" t="s">
        <v>68</v>
      </c>
      <c r="U1459" t="s">
        <v>40</v>
      </c>
      <c r="V1459" t="s">
        <v>91</v>
      </c>
      <c r="W1459" t="s">
        <v>92</v>
      </c>
      <c r="X1459" t="s">
        <v>76</v>
      </c>
      <c r="Y1459">
        <v>65</v>
      </c>
      <c r="Z1459" t="s">
        <v>93</v>
      </c>
      <c r="AA1459" t="s">
        <v>94</v>
      </c>
      <c r="AB1459" s="1">
        <v>45831</v>
      </c>
      <c r="AC1459" t="s">
        <v>40</v>
      </c>
      <c r="AD1459" t="s">
        <v>40</v>
      </c>
      <c r="AE1459" t="s">
        <v>60</v>
      </c>
      <c r="AF1459" t="s">
        <v>40</v>
      </c>
      <c r="AG1459">
        <v>0</v>
      </c>
      <c r="AH1459" t="s">
        <v>61</v>
      </c>
    </row>
    <row r="1460" spans="1:34" x14ac:dyDescent="0.3">
      <c r="A1460" t="s">
        <v>2154</v>
      </c>
      <c r="B1460" t="s">
        <v>2155</v>
      </c>
      <c r="C1460" t="s">
        <v>52</v>
      </c>
      <c r="D1460" t="s">
        <v>130</v>
      </c>
      <c r="E1460" s="1">
        <v>46014</v>
      </c>
      <c r="F1460" s="1">
        <v>46164</v>
      </c>
      <c r="G1460" t="s">
        <v>38</v>
      </c>
      <c r="H1460">
        <v>4292</v>
      </c>
      <c r="I1460" t="s">
        <v>54</v>
      </c>
      <c r="J1460" t="b">
        <v>0</v>
      </c>
      <c r="K1460">
        <v>150</v>
      </c>
      <c r="L1460">
        <v>5</v>
      </c>
      <c r="M1460">
        <v>2026</v>
      </c>
      <c r="N1460">
        <v>4</v>
      </c>
      <c r="O1460">
        <v>12</v>
      </c>
      <c r="P1460">
        <v>2025</v>
      </c>
      <c r="Q1460">
        <v>1</v>
      </c>
      <c r="R1460" t="s">
        <v>40</v>
      </c>
      <c r="S1460" t="s">
        <v>67</v>
      </c>
      <c r="T1460" t="s">
        <v>42</v>
      </c>
      <c r="U1460" t="s">
        <v>40</v>
      </c>
      <c r="V1460" t="s">
        <v>56</v>
      </c>
      <c r="W1460" t="s">
        <v>57</v>
      </c>
      <c r="X1460" t="s">
        <v>45</v>
      </c>
      <c r="Y1460">
        <v>120</v>
      </c>
      <c r="Z1460" t="s">
        <v>133</v>
      </c>
      <c r="AA1460" t="s">
        <v>134</v>
      </c>
      <c r="AB1460" s="1">
        <v>46164</v>
      </c>
      <c r="AC1460" t="s">
        <v>40</v>
      </c>
      <c r="AD1460" t="s">
        <v>40</v>
      </c>
      <c r="AE1460" t="s">
        <v>69</v>
      </c>
      <c r="AF1460" t="s">
        <v>40</v>
      </c>
      <c r="AG1460">
        <v>1</v>
      </c>
      <c r="AH1460" t="s">
        <v>49</v>
      </c>
    </row>
    <row r="1461" spans="1:34" x14ac:dyDescent="0.3">
      <c r="A1461" t="s">
        <v>2156</v>
      </c>
      <c r="B1461" t="s">
        <v>1525</v>
      </c>
      <c r="C1461" t="s">
        <v>129</v>
      </c>
      <c r="D1461" t="s">
        <v>130</v>
      </c>
      <c r="E1461" s="1">
        <v>45992</v>
      </c>
      <c r="F1461" s="1">
        <v>46052</v>
      </c>
      <c r="G1461" t="s">
        <v>81</v>
      </c>
      <c r="H1461">
        <v>8424</v>
      </c>
      <c r="I1461" t="s">
        <v>39</v>
      </c>
      <c r="J1461" t="b">
        <v>0</v>
      </c>
      <c r="K1461">
        <v>60</v>
      </c>
      <c r="L1461">
        <v>1</v>
      </c>
      <c r="M1461">
        <v>2026</v>
      </c>
      <c r="N1461">
        <v>4</v>
      </c>
      <c r="O1461">
        <v>12</v>
      </c>
      <c r="P1461">
        <v>2025</v>
      </c>
      <c r="Q1461">
        <v>0</v>
      </c>
      <c r="R1461" t="s">
        <v>40</v>
      </c>
      <c r="S1461" t="s">
        <v>45</v>
      </c>
      <c r="T1461" t="s">
        <v>113</v>
      </c>
      <c r="U1461" t="s">
        <v>66</v>
      </c>
      <c r="V1461" t="s">
        <v>131</v>
      </c>
      <c r="W1461" t="s">
        <v>132</v>
      </c>
      <c r="X1461" t="s">
        <v>45</v>
      </c>
      <c r="Y1461">
        <v>110</v>
      </c>
      <c r="Z1461" t="s">
        <v>133</v>
      </c>
      <c r="AA1461" t="s">
        <v>134</v>
      </c>
      <c r="AB1461" s="1">
        <v>46052</v>
      </c>
      <c r="AC1461" t="s">
        <v>40</v>
      </c>
      <c r="AD1461" t="s">
        <v>40</v>
      </c>
      <c r="AE1461" t="s">
        <v>86</v>
      </c>
      <c r="AF1461" t="s">
        <v>40</v>
      </c>
      <c r="AG1461">
        <v>0</v>
      </c>
      <c r="AH1461" t="s">
        <v>61</v>
      </c>
    </row>
    <row r="1462" spans="1:34" x14ac:dyDescent="0.3">
      <c r="A1462" t="s">
        <v>2157</v>
      </c>
      <c r="B1462" t="s">
        <v>866</v>
      </c>
      <c r="C1462" t="s">
        <v>103</v>
      </c>
      <c r="D1462" t="s">
        <v>80</v>
      </c>
      <c r="E1462" s="1">
        <v>45833</v>
      </c>
      <c r="F1462" s="1">
        <v>45863</v>
      </c>
      <c r="G1462" t="s">
        <v>64</v>
      </c>
      <c r="H1462">
        <v>3123</v>
      </c>
      <c r="I1462" t="s">
        <v>65</v>
      </c>
      <c r="J1462" t="b">
        <v>0</v>
      </c>
      <c r="K1462">
        <v>30</v>
      </c>
      <c r="L1462">
        <v>7</v>
      </c>
      <c r="M1462">
        <v>2025</v>
      </c>
      <c r="N1462">
        <v>4</v>
      </c>
      <c r="O1462">
        <v>6</v>
      </c>
      <c r="P1462">
        <v>2025</v>
      </c>
      <c r="Q1462">
        <v>2</v>
      </c>
      <c r="R1462" t="s">
        <v>40</v>
      </c>
      <c r="S1462" t="s">
        <v>41</v>
      </c>
      <c r="T1462" t="s">
        <v>42</v>
      </c>
      <c r="U1462" t="s">
        <v>66</v>
      </c>
      <c r="V1462" t="s">
        <v>105</v>
      </c>
      <c r="W1462" t="s">
        <v>106</v>
      </c>
      <c r="X1462" t="s">
        <v>45</v>
      </c>
      <c r="Y1462">
        <v>140</v>
      </c>
      <c r="Z1462" t="s">
        <v>84</v>
      </c>
      <c r="AA1462" t="s">
        <v>85</v>
      </c>
      <c r="AB1462" s="1">
        <v>45863</v>
      </c>
      <c r="AC1462" t="s">
        <v>40</v>
      </c>
      <c r="AD1462" t="s">
        <v>40</v>
      </c>
      <c r="AE1462" t="s">
        <v>86</v>
      </c>
      <c r="AF1462" t="s">
        <v>40</v>
      </c>
      <c r="AG1462">
        <v>0</v>
      </c>
      <c r="AH1462" t="s">
        <v>70</v>
      </c>
    </row>
    <row r="1463" spans="1:34" x14ac:dyDescent="0.3">
      <c r="A1463" t="s">
        <v>2158</v>
      </c>
      <c r="B1463" t="s">
        <v>1394</v>
      </c>
      <c r="C1463" t="s">
        <v>73</v>
      </c>
      <c r="D1463" t="s">
        <v>90</v>
      </c>
      <c r="E1463" s="1">
        <v>46227</v>
      </c>
      <c r="F1463" s="1">
        <v>46447</v>
      </c>
      <c r="G1463" t="s">
        <v>38</v>
      </c>
      <c r="H1463">
        <v>5078</v>
      </c>
      <c r="I1463" t="s">
        <v>65</v>
      </c>
      <c r="J1463" t="b">
        <v>0</v>
      </c>
      <c r="K1463">
        <v>220</v>
      </c>
      <c r="L1463">
        <v>3</v>
      </c>
      <c r="M1463">
        <v>2027</v>
      </c>
      <c r="N1463">
        <v>0</v>
      </c>
      <c r="O1463">
        <v>7</v>
      </c>
      <c r="P1463">
        <v>2026</v>
      </c>
      <c r="Q1463">
        <v>4</v>
      </c>
      <c r="R1463" t="s">
        <v>40</v>
      </c>
      <c r="S1463" t="s">
        <v>45</v>
      </c>
      <c r="T1463" t="s">
        <v>42</v>
      </c>
      <c r="U1463" t="s">
        <v>40</v>
      </c>
      <c r="V1463" t="s">
        <v>74</v>
      </c>
      <c r="W1463" t="s">
        <v>75</v>
      </c>
      <c r="X1463" t="s">
        <v>76</v>
      </c>
      <c r="Y1463">
        <v>75</v>
      </c>
      <c r="Z1463" t="s">
        <v>93</v>
      </c>
      <c r="AA1463" t="s">
        <v>94</v>
      </c>
      <c r="AB1463" s="1"/>
      <c r="AC1463" t="s">
        <v>48</v>
      </c>
      <c r="AD1463" t="s">
        <v>48</v>
      </c>
      <c r="AE1463" t="s">
        <v>48</v>
      </c>
      <c r="AF1463" t="s">
        <v>48</v>
      </c>
      <c r="AG1463">
        <v>0</v>
      </c>
      <c r="AH1463" t="s">
        <v>142</v>
      </c>
    </row>
    <row r="1464" spans="1:34" x14ac:dyDescent="0.3">
      <c r="A1464" t="s">
        <v>2159</v>
      </c>
      <c r="B1464" t="s">
        <v>886</v>
      </c>
      <c r="C1464" t="s">
        <v>79</v>
      </c>
      <c r="D1464" t="s">
        <v>37</v>
      </c>
      <c r="E1464" s="1">
        <v>45774</v>
      </c>
      <c r="F1464" s="1">
        <v>45874</v>
      </c>
      <c r="G1464" t="s">
        <v>41</v>
      </c>
      <c r="H1464">
        <v>6015</v>
      </c>
      <c r="I1464" t="s">
        <v>65</v>
      </c>
      <c r="J1464" t="b">
        <v>0</v>
      </c>
      <c r="K1464">
        <v>100</v>
      </c>
      <c r="L1464">
        <v>8</v>
      </c>
      <c r="M1464">
        <v>2025</v>
      </c>
      <c r="N1464">
        <v>1</v>
      </c>
      <c r="O1464">
        <v>4</v>
      </c>
      <c r="P1464">
        <v>2025</v>
      </c>
      <c r="Q1464">
        <v>6</v>
      </c>
      <c r="R1464" t="s">
        <v>40</v>
      </c>
      <c r="S1464" t="s">
        <v>45</v>
      </c>
      <c r="T1464" t="s">
        <v>42</v>
      </c>
      <c r="U1464" t="s">
        <v>66</v>
      </c>
      <c r="V1464" t="s">
        <v>82</v>
      </c>
      <c r="W1464" t="s">
        <v>83</v>
      </c>
      <c r="X1464" t="s">
        <v>76</v>
      </c>
      <c r="Y1464">
        <v>100</v>
      </c>
      <c r="Z1464" t="s">
        <v>46</v>
      </c>
      <c r="AA1464" t="s">
        <v>47</v>
      </c>
      <c r="AB1464" s="1">
        <v>45874</v>
      </c>
      <c r="AC1464" t="s">
        <v>40</v>
      </c>
      <c r="AD1464" t="s">
        <v>40</v>
      </c>
      <c r="AE1464" t="s">
        <v>86</v>
      </c>
      <c r="AF1464" t="s">
        <v>40</v>
      </c>
      <c r="AG1464">
        <v>0</v>
      </c>
      <c r="AH1464" t="s">
        <v>49</v>
      </c>
    </row>
    <row r="1465" spans="1:34" x14ac:dyDescent="0.3">
      <c r="A1465" t="s">
        <v>2160</v>
      </c>
      <c r="B1465" t="s">
        <v>1237</v>
      </c>
      <c r="C1465" t="s">
        <v>36</v>
      </c>
      <c r="D1465" t="s">
        <v>90</v>
      </c>
      <c r="E1465" s="1">
        <v>45816</v>
      </c>
      <c r="F1465" s="1">
        <v>45846</v>
      </c>
      <c r="G1465" t="s">
        <v>38</v>
      </c>
      <c r="H1465">
        <v>4424</v>
      </c>
      <c r="I1465" t="s">
        <v>39</v>
      </c>
      <c r="J1465" t="b">
        <v>0</v>
      </c>
      <c r="K1465">
        <v>30</v>
      </c>
      <c r="L1465">
        <v>7</v>
      </c>
      <c r="M1465">
        <v>2025</v>
      </c>
      <c r="N1465">
        <v>1</v>
      </c>
      <c r="O1465">
        <v>6</v>
      </c>
      <c r="P1465">
        <v>2025</v>
      </c>
      <c r="Q1465">
        <v>6</v>
      </c>
      <c r="R1465" t="s">
        <v>40</v>
      </c>
      <c r="S1465" t="s">
        <v>41</v>
      </c>
      <c r="T1465" t="s">
        <v>42</v>
      </c>
      <c r="U1465" t="s">
        <v>40</v>
      </c>
      <c r="V1465" t="s">
        <v>43</v>
      </c>
      <c r="W1465" t="s">
        <v>44</v>
      </c>
      <c r="X1465" t="s">
        <v>45</v>
      </c>
      <c r="Y1465">
        <v>150</v>
      </c>
      <c r="Z1465" t="s">
        <v>93</v>
      </c>
      <c r="AA1465" t="s">
        <v>94</v>
      </c>
      <c r="AB1465" s="1">
        <v>45846</v>
      </c>
      <c r="AC1465" t="s">
        <v>40</v>
      </c>
      <c r="AD1465" t="s">
        <v>40</v>
      </c>
      <c r="AE1465" t="s">
        <v>86</v>
      </c>
      <c r="AF1465" t="s">
        <v>40</v>
      </c>
      <c r="AG1465">
        <v>0</v>
      </c>
      <c r="AH1465" t="s">
        <v>70</v>
      </c>
    </row>
    <row r="1466" spans="1:34" x14ac:dyDescent="0.3">
      <c r="A1466" t="s">
        <v>2161</v>
      </c>
      <c r="B1466" t="s">
        <v>344</v>
      </c>
      <c r="C1466" t="s">
        <v>79</v>
      </c>
      <c r="D1466" t="s">
        <v>90</v>
      </c>
      <c r="E1466" s="1">
        <v>46130</v>
      </c>
      <c r="F1466" s="1">
        <v>46190</v>
      </c>
      <c r="G1466" t="s">
        <v>64</v>
      </c>
      <c r="H1466">
        <v>3176</v>
      </c>
      <c r="I1466" t="s">
        <v>39</v>
      </c>
      <c r="J1466" t="b">
        <v>0</v>
      </c>
      <c r="K1466">
        <v>60</v>
      </c>
      <c r="L1466">
        <v>6</v>
      </c>
      <c r="M1466">
        <v>2026</v>
      </c>
      <c r="N1466">
        <v>2</v>
      </c>
      <c r="O1466">
        <v>4</v>
      </c>
      <c r="P1466">
        <v>2026</v>
      </c>
      <c r="Q1466">
        <v>5</v>
      </c>
      <c r="R1466" t="s">
        <v>40</v>
      </c>
      <c r="S1466" t="s">
        <v>55</v>
      </c>
      <c r="T1466" t="s">
        <v>42</v>
      </c>
      <c r="U1466" t="s">
        <v>40</v>
      </c>
      <c r="V1466" t="s">
        <v>82</v>
      </c>
      <c r="W1466" t="s">
        <v>83</v>
      </c>
      <c r="X1466" t="s">
        <v>76</v>
      </c>
      <c r="Y1466">
        <v>100</v>
      </c>
      <c r="Z1466" t="s">
        <v>93</v>
      </c>
      <c r="AA1466" t="s">
        <v>94</v>
      </c>
      <c r="AB1466" s="1">
        <v>46190</v>
      </c>
      <c r="AC1466" t="s">
        <v>40</v>
      </c>
      <c r="AD1466" t="s">
        <v>40</v>
      </c>
      <c r="AE1466" t="s">
        <v>60</v>
      </c>
      <c r="AF1466" t="s">
        <v>40</v>
      </c>
      <c r="AG1466">
        <v>0</v>
      </c>
      <c r="AH1466" t="s">
        <v>61</v>
      </c>
    </row>
    <row r="1467" spans="1:34" x14ac:dyDescent="0.3">
      <c r="A1467" t="s">
        <v>2162</v>
      </c>
      <c r="B1467" t="s">
        <v>762</v>
      </c>
      <c r="C1467" t="s">
        <v>103</v>
      </c>
      <c r="D1467" t="s">
        <v>37</v>
      </c>
      <c r="E1467" s="1">
        <v>46037</v>
      </c>
      <c r="F1467" s="1">
        <v>46137</v>
      </c>
      <c r="G1467" t="s">
        <v>38</v>
      </c>
      <c r="H1467">
        <v>5704</v>
      </c>
      <c r="I1467" t="s">
        <v>39</v>
      </c>
      <c r="J1467" t="b">
        <v>0</v>
      </c>
      <c r="K1467">
        <v>100</v>
      </c>
      <c r="L1467">
        <v>4</v>
      </c>
      <c r="M1467">
        <v>2026</v>
      </c>
      <c r="N1467">
        <v>5</v>
      </c>
      <c r="O1467">
        <v>1</v>
      </c>
      <c r="P1467">
        <v>2026</v>
      </c>
      <c r="Q1467">
        <v>3</v>
      </c>
      <c r="R1467" t="s">
        <v>66</v>
      </c>
      <c r="S1467" t="s">
        <v>67</v>
      </c>
      <c r="T1467" t="s">
        <v>68</v>
      </c>
      <c r="U1467" t="s">
        <v>66</v>
      </c>
      <c r="V1467" t="s">
        <v>105</v>
      </c>
      <c r="W1467" t="s">
        <v>106</v>
      </c>
      <c r="X1467" t="s">
        <v>45</v>
      </c>
      <c r="Y1467">
        <v>140</v>
      </c>
      <c r="Z1467" t="s">
        <v>46</v>
      </c>
      <c r="AA1467" t="s">
        <v>47</v>
      </c>
      <c r="AB1467" s="1">
        <v>46137</v>
      </c>
      <c r="AC1467" t="s">
        <v>66</v>
      </c>
      <c r="AD1467" t="s">
        <v>40</v>
      </c>
      <c r="AE1467" t="s">
        <v>69</v>
      </c>
      <c r="AF1467" t="s">
        <v>40</v>
      </c>
      <c r="AG1467">
        <v>0</v>
      </c>
      <c r="AH1467" t="s">
        <v>49</v>
      </c>
    </row>
    <row r="1468" spans="1:34" x14ac:dyDescent="0.3">
      <c r="A1468" t="s">
        <v>2163</v>
      </c>
      <c r="B1468" t="s">
        <v>128</v>
      </c>
      <c r="C1468" t="s">
        <v>155</v>
      </c>
      <c r="D1468" t="s">
        <v>90</v>
      </c>
      <c r="E1468" s="1">
        <v>46136</v>
      </c>
      <c r="F1468" s="1">
        <v>46166</v>
      </c>
      <c r="G1468" t="s">
        <v>41</v>
      </c>
      <c r="H1468">
        <v>6443</v>
      </c>
      <c r="I1468" t="s">
        <v>65</v>
      </c>
      <c r="J1468" t="b">
        <v>0</v>
      </c>
      <c r="K1468">
        <v>30</v>
      </c>
      <c r="L1468">
        <v>5</v>
      </c>
      <c r="M1468">
        <v>2026</v>
      </c>
      <c r="N1468">
        <v>6</v>
      </c>
      <c r="O1468">
        <v>4</v>
      </c>
      <c r="P1468">
        <v>2026</v>
      </c>
      <c r="Q1468">
        <v>4</v>
      </c>
      <c r="R1468" t="s">
        <v>66</v>
      </c>
      <c r="S1468" t="s">
        <v>55</v>
      </c>
      <c r="T1468" t="s">
        <v>68</v>
      </c>
      <c r="U1468" t="s">
        <v>66</v>
      </c>
      <c r="V1468" t="s">
        <v>156</v>
      </c>
      <c r="W1468" t="s">
        <v>157</v>
      </c>
      <c r="X1468" t="s">
        <v>158</v>
      </c>
      <c r="Y1468">
        <v>70</v>
      </c>
      <c r="Z1468" t="s">
        <v>93</v>
      </c>
      <c r="AA1468" t="s">
        <v>94</v>
      </c>
      <c r="AB1468" s="1">
        <v>46166</v>
      </c>
      <c r="AC1468" t="s">
        <v>66</v>
      </c>
      <c r="AD1468" t="s">
        <v>40</v>
      </c>
      <c r="AE1468" t="s">
        <v>69</v>
      </c>
      <c r="AF1468" t="s">
        <v>40</v>
      </c>
      <c r="AG1468">
        <v>0</v>
      </c>
      <c r="AH1468" t="s">
        <v>70</v>
      </c>
    </row>
    <row r="1469" spans="1:34" x14ac:dyDescent="0.3">
      <c r="A1469" t="s">
        <v>2164</v>
      </c>
      <c r="B1469" t="s">
        <v>1588</v>
      </c>
      <c r="C1469" t="s">
        <v>146</v>
      </c>
      <c r="D1469" t="s">
        <v>37</v>
      </c>
      <c r="E1469" s="1">
        <v>45964</v>
      </c>
      <c r="F1469" s="1">
        <v>45978</v>
      </c>
      <c r="G1469" t="s">
        <v>41</v>
      </c>
      <c r="H1469">
        <v>7873</v>
      </c>
      <c r="I1469" t="s">
        <v>212</v>
      </c>
      <c r="J1469" t="b">
        <v>0</v>
      </c>
      <c r="K1469">
        <v>14</v>
      </c>
      <c r="L1469">
        <v>11</v>
      </c>
      <c r="M1469">
        <v>2025</v>
      </c>
      <c r="N1469">
        <v>0</v>
      </c>
      <c r="O1469">
        <v>11</v>
      </c>
      <c r="P1469">
        <v>2025</v>
      </c>
      <c r="Q1469">
        <v>0</v>
      </c>
      <c r="R1469" t="s">
        <v>40</v>
      </c>
      <c r="S1469" t="s">
        <v>45</v>
      </c>
      <c r="T1469" t="s">
        <v>42</v>
      </c>
      <c r="U1469" t="s">
        <v>66</v>
      </c>
      <c r="V1469" t="s">
        <v>147</v>
      </c>
      <c r="W1469" t="s">
        <v>148</v>
      </c>
      <c r="X1469" t="s">
        <v>45</v>
      </c>
      <c r="Y1469">
        <v>160</v>
      </c>
      <c r="Z1469" t="s">
        <v>46</v>
      </c>
      <c r="AA1469" t="s">
        <v>47</v>
      </c>
      <c r="AB1469" s="1">
        <v>45978</v>
      </c>
      <c r="AC1469" t="s">
        <v>40</v>
      </c>
      <c r="AD1469" t="s">
        <v>40</v>
      </c>
      <c r="AE1469" t="s">
        <v>86</v>
      </c>
      <c r="AF1469" t="s">
        <v>40</v>
      </c>
      <c r="AG1469">
        <v>0</v>
      </c>
      <c r="AH1469" t="s">
        <v>70</v>
      </c>
    </row>
    <row r="1470" spans="1:34" x14ac:dyDescent="0.3">
      <c r="A1470" t="s">
        <v>2165</v>
      </c>
      <c r="B1470" t="s">
        <v>2166</v>
      </c>
      <c r="C1470" t="s">
        <v>146</v>
      </c>
      <c r="D1470" t="s">
        <v>104</v>
      </c>
      <c r="E1470" s="1">
        <v>45832</v>
      </c>
      <c r="F1470" s="1">
        <v>45862</v>
      </c>
      <c r="G1470" t="s">
        <v>81</v>
      </c>
      <c r="H1470">
        <v>7633</v>
      </c>
      <c r="I1470" t="s">
        <v>39</v>
      </c>
      <c r="J1470" t="b">
        <v>0</v>
      </c>
      <c r="K1470">
        <v>30</v>
      </c>
      <c r="L1470">
        <v>7</v>
      </c>
      <c r="M1470">
        <v>2025</v>
      </c>
      <c r="N1470">
        <v>3</v>
      </c>
      <c r="O1470">
        <v>6</v>
      </c>
      <c r="P1470">
        <v>2025</v>
      </c>
      <c r="Q1470">
        <v>1</v>
      </c>
      <c r="R1470" t="s">
        <v>40</v>
      </c>
      <c r="S1470" t="s">
        <v>41</v>
      </c>
      <c r="T1470" t="s">
        <v>42</v>
      </c>
      <c r="U1470" t="s">
        <v>40</v>
      </c>
      <c r="V1470" t="s">
        <v>147</v>
      </c>
      <c r="W1470" t="s">
        <v>148</v>
      </c>
      <c r="X1470" t="s">
        <v>45</v>
      </c>
      <c r="Y1470">
        <v>160</v>
      </c>
      <c r="Z1470" t="s">
        <v>107</v>
      </c>
      <c r="AA1470" t="s">
        <v>108</v>
      </c>
      <c r="AB1470" s="1">
        <v>45862</v>
      </c>
      <c r="AC1470" t="s">
        <v>40</v>
      </c>
      <c r="AD1470" t="s">
        <v>40</v>
      </c>
      <c r="AE1470" t="s">
        <v>86</v>
      </c>
      <c r="AF1470" t="s">
        <v>40</v>
      </c>
      <c r="AG1470">
        <v>0</v>
      </c>
      <c r="AH1470" t="s">
        <v>70</v>
      </c>
    </row>
    <row r="1471" spans="1:34" x14ac:dyDescent="0.3">
      <c r="A1471" t="s">
        <v>2167</v>
      </c>
      <c r="B1471" t="s">
        <v>1988</v>
      </c>
      <c r="C1471" t="s">
        <v>97</v>
      </c>
      <c r="D1471" t="s">
        <v>53</v>
      </c>
      <c r="E1471" s="1">
        <v>45991</v>
      </c>
      <c r="F1471" s="1">
        <v>45998</v>
      </c>
      <c r="G1471" t="s">
        <v>81</v>
      </c>
      <c r="H1471">
        <v>10140</v>
      </c>
      <c r="I1471" t="s">
        <v>54</v>
      </c>
      <c r="J1471" t="b">
        <v>0</v>
      </c>
      <c r="K1471">
        <v>7</v>
      </c>
      <c r="L1471">
        <v>12</v>
      </c>
      <c r="M1471">
        <v>2025</v>
      </c>
      <c r="N1471">
        <v>6</v>
      </c>
      <c r="O1471">
        <v>11</v>
      </c>
      <c r="P1471">
        <v>2025</v>
      </c>
      <c r="Q1471">
        <v>6</v>
      </c>
      <c r="R1471" t="s">
        <v>66</v>
      </c>
      <c r="S1471" t="s">
        <v>55</v>
      </c>
      <c r="T1471" t="s">
        <v>42</v>
      </c>
      <c r="U1471" t="s">
        <v>40</v>
      </c>
      <c r="V1471" t="s">
        <v>98</v>
      </c>
      <c r="W1471" t="s">
        <v>99</v>
      </c>
      <c r="X1471" t="s">
        <v>76</v>
      </c>
      <c r="Y1471">
        <v>80</v>
      </c>
      <c r="Z1471" t="s">
        <v>58</v>
      </c>
      <c r="AA1471" t="s">
        <v>59</v>
      </c>
      <c r="AB1471" s="1">
        <v>45998</v>
      </c>
      <c r="AC1471" t="s">
        <v>66</v>
      </c>
      <c r="AD1471" t="s">
        <v>40</v>
      </c>
      <c r="AE1471" t="s">
        <v>69</v>
      </c>
      <c r="AF1471" t="s">
        <v>40</v>
      </c>
      <c r="AG1471">
        <v>1</v>
      </c>
      <c r="AH1471" t="s">
        <v>100</v>
      </c>
    </row>
    <row r="1472" spans="1:34" x14ac:dyDescent="0.3">
      <c r="A1472" t="s">
        <v>2168</v>
      </c>
      <c r="B1472" t="s">
        <v>1193</v>
      </c>
      <c r="C1472" t="s">
        <v>52</v>
      </c>
      <c r="D1472" t="s">
        <v>104</v>
      </c>
      <c r="E1472" s="1">
        <v>45932</v>
      </c>
      <c r="F1472" s="1">
        <v>45962</v>
      </c>
      <c r="G1472" t="s">
        <v>38</v>
      </c>
      <c r="H1472">
        <v>5232</v>
      </c>
      <c r="I1472" t="s">
        <v>39</v>
      </c>
      <c r="J1472" t="b">
        <v>0</v>
      </c>
      <c r="K1472">
        <v>30</v>
      </c>
      <c r="L1472">
        <v>11</v>
      </c>
      <c r="M1472">
        <v>2025</v>
      </c>
      <c r="N1472">
        <v>5</v>
      </c>
      <c r="O1472">
        <v>10</v>
      </c>
      <c r="P1472">
        <v>2025</v>
      </c>
      <c r="Q1472">
        <v>3</v>
      </c>
      <c r="R1472" t="s">
        <v>66</v>
      </c>
      <c r="S1472" t="s">
        <v>55</v>
      </c>
      <c r="T1472" t="s">
        <v>42</v>
      </c>
      <c r="U1472" t="s">
        <v>66</v>
      </c>
      <c r="V1472" t="s">
        <v>56</v>
      </c>
      <c r="W1472" t="s">
        <v>57</v>
      </c>
      <c r="X1472" t="s">
        <v>45</v>
      </c>
      <c r="Y1472">
        <v>120</v>
      </c>
      <c r="Z1472" t="s">
        <v>107</v>
      </c>
      <c r="AA1472" t="s">
        <v>108</v>
      </c>
      <c r="AB1472" s="1">
        <v>45962</v>
      </c>
      <c r="AC1472" t="s">
        <v>66</v>
      </c>
      <c r="AD1472" t="s">
        <v>40</v>
      </c>
      <c r="AE1472" t="s">
        <v>86</v>
      </c>
      <c r="AF1472" t="s">
        <v>40</v>
      </c>
      <c r="AG1472">
        <v>0</v>
      </c>
      <c r="AH1472" t="s">
        <v>70</v>
      </c>
    </row>
    <row r="1473" spans="1:34" x14ac:dyDescent="0.3">
      <c r="A1473" t="s">
        <v>2169</v>
      </c>
      <c r="B1473" t="s">
        <v>858</v>
      </c>
      <c r="C1473" t="s">
        <v>52</v>
      </c>
      <c r="D1473" t="s">
        <v>80</v>
      </c>
      <c r="E1473" s="1">
        <v>45661</v>
      </c>
      <c r="F1473" s="1">
        <v>45691</v>
      </c>
      <c r="G1473" t="s">
        <v>41</v>
      </c>
      <c r="H1473">
        <v>7290</v>
      </c>
      <c r="I1473" t="s">
        <v>39</v>
      </c>
      <c r="J1473" t="b">
        <v>0</v>
      </c>
      <c r="K1473">
        <v>30</v>
      </c>
      <c r="L1473">
        <v>2</v>
      </c>
      <c r="M1473">
        <v>2025</v>
      </c>
      <c r="N1473">
        <v>0</v>
      </c>
      <c r="O1473">
        <v>1</v>
      </c>
      <c r="P1473">
        <v>2025</v>
      </c>
      <c r="Q1473">
        <v>5</v>
      </c>
      <c r="R1473" t="s">
        <v>40</v>
      </c>
      <c r="S1473" t="s">
        <v>55</v>
      </c>
      <c r="T1473" t="s">
        <v>42</v>
      </c>
      <c r="U1473" t="s">
        <v>40</v>
      </c>
      <c r="V1473" t="s">
        <v>56</v>
      </c>
      <c r="W1473" t="s">
        <v>57</v>
      </c>
      <c r="X1473" t="s">
        <v>45</v>
      </c>
      <c r="Y1473">
        <v>120</v>
      </c>
      <c r="Z1473" t="s">
        <v>84</v>
      </c>
      <c r="AA1473" t="s">
        <v>85</v>
      </c>
      <c r="AB1473" s="1">
        <v>45691</v>
      </c>
      <c r="AC1473" t="s">
        <v>40</v>
      </c>
      <c r="AD1473" t="s">
        <v>40</v>
      </c>
      <c r="AE1473" t="s">
        <v>60</v>
      </c>
      <c r="AF1473" t="s">
        <v>40</v>
      </c>
      <c r="AG1473">
        <v>0</v>
      </c>
      <c r="AH1473" t="s">
        <v>70</v>
      </c>
    </row>
    <row r="1474" spans="1:34" x14ac:dyDescent="0.3">
      <c r="A1474" t="s">
        <v>2170</v>
      </c>
      <c r="B1474" t="s">
        <v>141</v>
      </c>
      <c r="C1474" t="s">
        <v>169</v>
      </c>
      <c r="D1474" t="s">
        <v>130</v>
      </c>
      <c r="E1474" s="1">
        <v>46179</v>
      </c>
      <c r="F1474" s="1">
        <v>46186</v>
      </c>
      <c r="G1474" t="s">
        <v>81</v>
      </c>
      <c r="H1474">
        <v>8486</v>
      </c>
      <c r="I1474" t="s">
        <v>39</v>
      </c>
      <c r="J1474" t="b">
        <v>0</v>
      </c>
      <c r="K1474">
        <v>7</v>
      </c>
      <c r="L1474">
        <v>6</v>
      </c>
      <c r="M1474">
        <v>2026</v>
      </c>
      <c r="N1474">
        <v>5</v>
      </c>
      <c r="O1474">
        <v>6</v>
      </c>
      <c r="P1474">
        <v>2026</v>
      </c>
      <c r="Q1474">
        <v>5</v>
      </c>
      <c r="R1474" t="s">
        <v>66</v>
      </c>
      <c r="S1474" t="s">
        <v>41</v>
      </c>
      <c r="T1474" t="s">
        <v>42</v>
      </c>
      <c r="U1474" t="s">
        <v>40</v>
      </c>
      <c r="V1474" t="s">
        <v>170</v>
      </c>
      <c r="W1474" t="s">
        <v>171</v>
      </c>
      <c r="X1474" t="s">
        <v>126</v>
      </c>
      <c r="Y1474">
        <v>90</v>
      </c>
      <c r="Z1474" t="s">
        <v>133</v>
      </c>
      <c r="AA1474" t="s">
        <v>134</v>
      </c>
      <c r="AB1474" s="1">
        <v>46186</v>
      </c>
      <c r="AC1474" t="s">
        <v>66</v>
      </c>
      <c r="AD1474" t="s">
        <v>40</v>
      </c>
      <c r="AE1474" t="s">
        <v>60</v>
      </c>
      <c r="AF1474" t="s">
        <v>40</v>
      </c>
      <c r="AG1474">
        <v>0</v>
      </c>
      <c r="AH1474" t="s">
        <v>100</v>
      </c>
    </row>
    <row r="1475" spans="1:34" x14ac:dyDescent="0.3">
      <c r="A1475" t="s">
        <v>2171</v>
      </c>
      <c r="B1475" t="s">
        <v>446</v>
      </c>
      <c r="C1475" t="s">
        <v>103</v>
      </c>
      <c r="D1475" t="s">
        <v>37</v>
      </c>
      <c r="E1475" s="1">
        <v>46253</v>
      </c>
      <c r="F1475" s="1">
        <v>46283</v>
      </c>
      <c r="G1475" t="s">
        <v>64</v>
      </c>
      <c r="H1475">
        <v>2799</v>
      </c>
      <c r="I1475" t="s">
        <v>65</v>
      </c>
      <c r="J1475" t="b">
        <v>0</v>
      </c>
      <c r="K1475">
        <v>30</v>
      </c>
      <c r="L1475">
        <v>9</v>
      </c>
      <c r="M1475">
        <v>2026</v>
      </c>
      <c r="N1475">
        <v>4</v>
      </c>
      <c r="O1475">
        <v>8</v>
      </c>
      <c r="P1475">
        <v>2026</v>
      </c>
      <c r="Q1475">
        <v>2</v>
      </c>
      <c r="R1475" t="s">
        <v>40</v>
      </c>
      <c r="S1475" t="s">
        <v>55</v>
      </c>
      <c r="T1475" t="s">
        <v>42</v>
      </c>
      <c r="U1475" t="s">
        <v>66</v>
      </c>
      <c r="V1475" t="s">
        <v>105</v>
      </c>
      <c r="W1475" t="s">
        <v>106</v>
      </c>
      <c r="X1475" t="s">
        <v>45</v>
      </c>
      <c r="Y1475">
        <v>140</v>
      </c>
      <c r="Z1475" t="s">
        <v>46</v>
      </c>
      <c r="AA1475" t="s">
        <v>47</v>
      </c>
      <c r="AB1475" s="1">
        <v>46283</v>
      </c>
      <c r="AC1475" t="s">
        <v>40</v>
      </c>
      <c r="AD1475" t="s">
        <v>40</v>
      </c>
      <c r="AE1475" t="s">
        <v>60</v>
      </c>
      <c r="AF1475" t="s">
        <v>40</v>
      </c>
      <c r="AG1475">
        <v>0</v>
      </c>
      <c r="AH1475" t="s">
        <v>70</v>
      </c>
    </row>
    <row r="1476" spans="1:34" x14ac:dyDescent="0.3">
      <c r="A1476" t="s">
        <v>2172</v>
      </c>
      <c r="B1476" t="s">
        <v>505</v>
      </c>
      <c r="C1476" t="s">
        <v>129</v>
      </c>
      <c r="D1476" t="s">
        <v>37</v>
      </c>
      <c r="E1476" s="1">
        <v>46185</v>
      </c>
      <c r="F1476" s="1">
        <v>46245</v>
      </c>
      <c r="G1476" t="s">
        <v>64</v>
      </c>
      <c r="H1476">
        <v>4176</v>
      </c>
      <c r="I1476" t="s">
        <v>54</v>
      </c>
      <c r="J1476" t="b">
        <v>0</v>
      </c>
      <c r="K1476">
        <v>60</v>
      </c>
      <c r="L1476">
        <v>8</v>
      </c>
      <c r="M1476">
        <v>2026</v>
      </c>
      <c r="N1476">
        <v>1</v>
      </c>
      <c r="O1476">
        <v>6</v>
      </c>
      <c r="P1476">
        <v>2026</v>
      </c>
      <c r="Q1476">
        <v>4</v>
      </c>
      <c r="R1476" t="s">
        <v>40</v>
      </c>
      <c r="S1476" t="s">
        <v>55</v>
      </c>
      <c r="T1476" t="s">
        <v>42</v>
      </c>
      <c r="U1476" t="s">
        <v>40</v>
      </c>
      <c r="V1476" t="s">
        <v>131</v>
      </c>
      <c r="W1476" t="s">
        <v>132</v>
      </c>
      <c r="X1476" t="s">
        <v>45</v>
      </c>
      <c r="Y1476">
        <v>110</v>
      </c>
      <c r="Z1476" t="s">
        <v>46</v>
      </c>
      <c r="AA1476" t="s">
        <v>47</v>
      </c>
      <c r="AB1476" s="1">
        <v>46245</v>
      </c>
      <c r="AC1476" t="s">
        <v>40</v>
      </c>
      <c r="AD1476" t="s">
        <v>40</v>
      </c>
      <c r="AE1476" t="s">
        <v>86</v>
      </c>
      <c r="AF1476" t="s">
        <v>40</v>
      </c>
      <c r="AG1476">
        <v>1</v>
      </c>
      <c r="AH1476" t="s">
        <v>61</v>
      </c>
    </row>
    <row r="1477" spans="1:34" x14ac:dyDescent="0.3">
      <c r="A1477" t="s">
        <v>2173</v>
      </c>
      <c r="B1477" t="s">
        <v>2166</v>
      </c>
      <c r="C1477" t="s">
        <v>97</v>
      </c>
      <c r="D1477" t="s">
        <v>104</v>
      </c>
      <c r="E1477" s="1">
        <v>45698</v>
      </c>
      <c r="F1477" s="1">
        <v>45712</v>
      </c>
      <c r="G1477" t="s">
        <v>81</v>
      </c>
      <c r="H1477">
        <v>6648</v>
      </c>
      <c r="I1477" t="s">
        <v>65</v>
      </c>
      <c r="J1477" t="b">
        <v>0</v>
      </c>
      <c r="K1477">
        <v>14</v>
      </c>
      <c r="L1477">
        <v>2</v>
      </c>
      <c r="M1477">
        <v>2025</v>
      </c>
      <c r="N1477">
        <v>0</v>
      </c>
      <c r="O1477">
        <v>2</v>
      </c>
      <c r="P1477">
        <v>2025</v>
      </c>
      <c r="Q1477">
        <v>0</v>
      </c>
      <c r="R1477" t="s">
        <v>40</v>
      </c>
      <c r="S1477" t="s">
        <v>41</v>
      </c>
      <c r="T1477" t="s">
        <v>42</v>
      </c>
      <c r="U1477" t="s">
        <v>40</v>
      </c>
      <c r="V1477" t="s">
        <v>98</v>
      </c>
      <c r="W1477" t="s">
        <v>99</v>
      </c>
      <c r="X1477" t="s">
        <v>76</v>
      </c>
      <c r="Y1477">
        <v>80</v>
      </c>
      <c r="Z1477" t="s">
        <v>107</v>
      </c>
      <c r="AA1477" t="s">
        <v>108</v>
      </c>
      <c r="AB1477" s="1">
        <v>45712</v>
      </c>
      <c r="AC1477" t="s">
        <v>40</v>
      </c>
      <c r="AD1477" t="s">
        <v>40</v>
      </c>
      <c r="AE1477" t="s">
        <v>60</v>
      </c>
      <c r="AF1477" t="s">
        <v>40</v>
      </c>
      <c r="AG1477">
        <v>0</v>
      </c>
      <c r="AH1477" t="s">
        <v>70</v>
      </c>
    </row>
    <row r="1478" spans="1:34" x14ac:dyDescent="0.3">
      <c r="A1478" t="s">
        <v>2174</v>
      </c>
      <c r="B1478" t="s">
        <v>205</v>
      </c>
      <c r="C1478" t="s">
        <v>146</v>
      </c>
      <c r="D1478" t="s">
        <v>130</v>
      </c>
      <c r="E1478" s="1">
        <v>45884</v>
      </c>
      <c r="F1478" s="1">
        <v>45885</v>
      </c>
      <c r="G1478" t="s">
        <v>38</v>
      </c>
      <c r="H1478">
        <v>5476</v>
      </c>
      <c r="I1478" t="s">
        <v>39</v>
      </c>
      <c r="J1478" t="b">
        <v>0</v>
      </c>
      <c r="K1478">
        <v>1</v>
      </c>
      <c r="L1478">
        <v>8</v>
      </c>
      <c r="M1478">
        <v>2025</v>
      </c>
      <c r="N1478">
        <v>5</v>
      </c>
      <c r="O1478">
        <v>8</v>
      </c>
      <c r="P1478">
        <v>2025</v>
      </c>
      <c r="Q1478">
        <v>4</v>
      </c>
      <c r="R1478" t="s">
        <v>66</v>
      </c>
      <c r="S1478" t="s">
        <v>55</v>
      </c>
      <c r="T1478" t="s">
        <v>42</v>
      </c>
      <c r="U1478" t="s">
        <v>40</v>
      </c>
      <c r="V1478" t="s">
        <v>147</v>
      </c>
      <c r="W1478" t="s">
        <v>148</v>
      </c>
      <c r="X1478" t="s">
        <v>45</v>
      </c>
      <c r="Y1478">
        <v>160</v>
      </c>
      <c r="Z1478" t="s">
        <v>133</v>
      </c>
      <c r="AA1478" t="s">
        <v>134</v>
      </c>
      <c r="AB1478" s="1">
        <v>45885</v>
      </c>
      <c r="AC1478" t="s">
        <v>66</v>
      </c>
      <c r="AD1478" t="s">
        <v>40</v>
      </c>
      <c r="AE1478" t="s">
        <v>86</v>
      </c>
      <c r="AF1478" t="s">
        <v>40</v>
      </c>
      <c r="AG1478">
        <v>0</v>
      </c>
      <c r="AH1478" t="s">
        <v>100</v>
      </c>
    </row>
    <row r="1479" spans="1:34" x14ac:dyDescent="0.3">
      <c r="A1479" t="s">
        <v>2175</v>
      </c>
      <c r="B1479" t="s">
        <v>1214</v>
      </c>
      <c r="C1479" t="s">
        <v>169</v>
      </c>
      <c r="D1479" t="s">
        <v>37</v>
      </c>
      <c r="E1479" s="1">
        <v>45766</v>
      </c>
      <c r="F1479" s="1">
        <v>45796</v>
      </c>
      <c r="G1479" t="s">
        <v>41</v>
      </c>
      <c r="H1479">
        <v>8228</v>
      </c>
      <c r="I1479" t="s">
        <v>54</v>
      </c>
      <c r="J1479" t="b">
        <v>0</v>
      </c>
      <c r="K1479">
        <v>30</v>
      </c>
      <c r="L1479">
        <v>5</v>
      </c>
      <c r="M1479">
        <v>2025</v>
      </c>
      <c r="N1479">
        <v>0</v>
      </c>
      <c r="O1479">
        <v>4</v>
      </c>
      <c r="P1479">
        <v>2025</v>
      </c>
      <c r="Q1479">
        <v>5</v>
      </c>
      <c r="R1479" t="s">
        <v>40</v>
      </c>
      <c r="S1479" t="s">
        <v>67</v>
      </c>
      <c r="T1479" t="s">
        <v>42</v>
      </c>
      <c r="U1479" t="s">
        <v>66</v>
      </c>
      <c r="V1479" t="s">
        <v>170</v>
      </c>
      <c r="W1479" t="s">
        <v>171</v>
      </c>
      <c r="X1479" t="s">
        <v>126</v>
      </c>
      <c r="Y1479">
        <v>90</v>
      </c>
      <c r="Z1479" t="s">
        <v>46</v>
      </c>
      <c r="AA1479" t="s">
        <v>47</v>
      </c>
      <c r="AB1479" s="1">
        <v>45796</v>
      </c>
      <c r="AC1479" t="s">
        <v>40</v>
      </c>
      <c r="AD1479" t="s">
        <v>40</v>
      </c>
      <c r="AE1479" t="s">
        <v>69</v>
      </c>
      <c r="AF1479" t="s">
        <v>40</v>
      </c>
      <c r="AG1479">
        <v>1</v>
      </c>
      <c r="AH1479" t="s">
        <v>70</v>
      </c>
    </row>
    <row r="1480" spans="1:34" x14ac:dyDescent="0.3">
      <c r="A1480" t="s">
        <v>2176</v>
      </c>
      <c r="B1480" t="s">
        <v>1237</v>
      </c>
      <c r="C1480" t="s">
        <v>73</v>
      </c>
      <c r="D1480" t="s">
        <v>130</v>
      </c>
      <c r="E1480" s="1">
        <v>46353</v>
      </c>
      <c r="F1480" s="1">
        <v>46367</v>
      </c>
      <c r="G1480" t="s">
        <v>41</v>
      </c>
      <c r="H1480">
        <v>6457</v>
      </c>
      <c r="I1480" t="s">
        <v>54</v>
      </c>
      <c r="J1480" t="b">
        <v>0</v>
      </c>
      <c r="K1480">
        <v>14</v>
      </c>
      <c r="L1480">
        <v>12</v>
      </c>
      <c r="M1480">
        <v>2026</v>
      </c>
      <c r="N1480">
        <v>4</v>
      </c>
      <c r="O1480">
        <v>11</v>
      </c>
      <c r="P1480">
        <v>2026</v>
      </c>
      <c r="Q1480">
        <v>4</v>
      </c>
      <c r="R1480" t="s">
        <v>40</v>
      </c>
      <c r="S1480" t="s">
        <v>41</v>
      </c>
      <c r="T1480" t="s">
        <v>42</v>
      </c>
      <c r="U1480" t="s">
        <v>40</v>
      </c>
      <c r="V1480" t="s">
        <v>74</v>
      </c>
      <c r="W1480" t="s">
        <v>75</v>
      </c>
      <c r="X1480" t="s">
        <v>76</v>
      </c>
      <c r="Y1480">
        <v>75</v>
      </c>
      <c r="Z1480" t="s">
        <v>133</v>
      </c>
      <c r="AA1480" t="s">
        <v>134</v>
      </c>
      <c r="AB1480" s="1">
        <v>46367</v>
      </c>
      <c r="AC1480" t="s">
        <v>40</v>
      </c>
      <c r="AD1480" t="s">
        <v>40</v>
      </c>
      <c r="AE1480" t="s">
        <v>69</v>
      </c>
      <c r="AF1480" t="s">
        <v>40</v>
      </c>
      <c r="AG1480">
        <v>1</v>
      </c>
      <c r="AH1480" t="s">
        <v>70</v>
      </c>
    </row>
    <row r="1481" spans="1:34" x14ac:dyDescent="0.3">
      <c r="A1481" t="s">
        <v>2177</v>
      </c>
      <c r="B1481" t="s">
        <v>373</v>
      </c>
      <c r="C1481" t="s">
        <v>103</v>
      </c>
      <c r="D1481" t="s">
        <v>53</v>
      </c>
      <c r="E1481" s="1">
        <v>45757</v>
      </c>
      <c r="F1481" s="1">
        <v>45787</v>
      </c>
      <c r="G1481" t="s">
        <v>38</v>
      </c>
      <c r="H1481">
        <v>4705</v>
      </c>
      <c r="I1481" t="s">
        <v>39</v>
      </c>
      <c r="J1481" t="b">
        <v>0</v>
      </c>
      <c r="K1481">
        <v>30</v>
      </c>
      <c r="L1481">
        <v>5</v>
      </c>
      <c r="M1481">
        <v>2025</v>
      </c>
      <c r="N1481">
        <v>5</v>
      </c>
      <c r="O1481">
        <v>4</v>
      </c>
      <c r="P1481">
        <v>2025</v>
      </c>
      <c r="Q1481">
        <v>3</v>
      </c>
      <c r="R1481" t="s">
        <v>66</v>
      </c>
      <c r="S1481" t="s">
        <v>45</v>
      </c>
      <c r="T1481" t="s">
        <v>42</v>
      </c>
      <c r="U1481" t="s">
        <v>40</v>
      </c>
      <c r="V1481" t="s">
        <v>105</v>
      </c>
      <c r="W1481" t="s">
        <v>106</v>
      </c>
      <c r="X1481" t="s">
        <v>45</v>
      </c>
      <c r="Y1481">
        <v>140</v>
      </c>
      <c r="Z1481" t="s">
        <v>58</v>
      </c>
      <c r="AA1481" t="s">
        <v>59</v>
      </c>
      <c r="AB1481" s="1">
        <v>45787</v>
      </c>
      <c r="AC1481" t="s">
        <v>66</v>
      </c>
      <c r="AD1481" t="s">
        <v>40</v>
      </c>
      <c r="AE1481" t="s">
        <v>69</v>
      </c>
      <c r="AF1481" t="s">
        <v>40</v>
      </c>
      <c r="AG1481">
        <v>0</v>
      </c>
      <c r="AH1481" t="s">
        <v>70</v>
      </c>
    </row>
    <row r="1482" spans="1:34" x14ac:dyDescent="0.3">
      <c r="A1482" t="s">
        <v>2178</v>
      </c>
      <c r="B1482" t="s">
        <v>536</v>
      </c>
      <c r="C1482" t="s">
        <v>129</v>
      </c>
      <c r="D1482" t="s">
        <v>130</v>
      </c>
      <c r="E1482" s="1">
        <v>46201</v>
      </c>
      <c r="F1482" s="1">
        <v>46215</v>
      </c>
      <c r="G1482" t="s">
        <v>41</v>
      </c>
      <c r="H1482">
        <v>8072</v>
      </c>
      <c r="I1482" t="s">
        <v>65</v>
      </c>
      <c r="J1482" t="b">
        <v>0</v>
      </c>
      <c r="K1482">
        <v>14</v>
      </c>
      <c r="L1482">
        <v>7</v>
      </c>
      <c r="M1482">
        <v>2026</v>
      </c>
      <c r="N1482">
        <v>6</v>
      </c>
      <c r="O1482">
        <v>6</v>
      </c>
      <c r="P1482">
        <v>2026</v>
      </c>
      <c r="Q1482">
        <v>6</v>
      </c>
      <c r="R1482" t="s">
        <v>66</v>
      </c>
      <c r="S1482" t="s">
        <v>41</v>
      </c>
      <c r="T1482" t="s">
        <v>42</v>
      </c>
      <c r="U1482" t="s">
        <v>40</v>
      </c>
      <c r="V1482" t="s">
        <v>131</v>
      </c>
      <c r="W1482" t="s">
        <v>132</v>
      </c>
      <c r="X1482" t="s">
        <v>45</v>
      </c>
      <c r="Y1482">
        <v>110</v>
      </c>
      <c r="Z1482" t="s">
        <v>133</v>
      </c>
      <c r="AA1482" t="s">
        <v>134</v>
      </c>
      <c r="AB1482" s="1">
        <v>46215</v>
      </c>
      <c r="AC1482" t="s">
        <v>66</v>
      </c>
      <c r="AD1482" t="s">
        <v>40</v>
      </c>
      <c r="AE1482" t="s">
        <v>86</v>
      </c>
      <c r="AF1482" t="s">
        <v>40</v>
      </c>
      <c r="AG1482">
        <v>0</v>
      </c>
      <c r="AH1482" t="s">
        <v>70</v>
      </c>
    </row>
    <row r="1483" spans="1:34" x14ac:dyDescent="0.3">
      <c r="A1483" t="s">
        <v>2179</v>
      </c>
      <c r="B1483" t="s">
        <v>1614</v>
      </c>
      <c r="C1483" t="s">
        <v>73</v>
      </c>
      <c r="D1483" t="s">
        <v>53</v>
      </c>
      <c r="E1483" s="1">
        <v>45960</v>
      </c>
      <c r="F1483" s="1">
        <v>45967</v>
      </c>
      <c r="G1483" t="s">
        <v>81</v>
      </c>
      <c r="H1483">
        <v>6854</v>
      </c>
      <c r="I1483" t="s">
        <v>212</v>
      </c>
      <c r="J1483" t="b">
        <v>0</v>
      </c>
      <c r="K1483">
        <v>7</v>
      </c>
      <c r="L1483">
        <v>11</v>
      </c>
      <c r="M1483">
        <v>2025</v>
      </c>
      <c r="N1483">
        <v>3</v>
      </c>
      <c r="O1483">
        <v>10</v>
      </c>
      <c r="P1483">
        <v>2025</v>
      </c>
      <c r="Q1483">
        <v>3</v>
      </c>
      <c r="R1483" t="s">
        <v>40</v>
      </c>
      <c r="S1483" t="s">
        <v>45</v>
      </c>
      <c r="T1483" t="s">
        <v>48</v>
      </c>
      <c r="U1483" t="s">
        <v>40</v>
      </c>
      <c r="V1483" t="s">
        <v>74</v>
      </c>
      <c r="W1483" t="s">
        <v>75</v>
      </c>
      <c r="X1483" t="s">
        <v>76</v>
      </c>
      <c r="Y1483">
        <v>75</v>
      </c>
      <c r="Z1483" t="s">
        <v>58</v>
      </c>
      <c r="AA1483" t="s">
        <v>59</v>
      </c>
      <c r="AB1483" s="1">
        <v>45967</v>
      </c>
      <c r="AC1483" t="s">
        <v>40</v>
      </c>
      <c r="AD1483" t="s">
        <v>40</v>
      </c>
      <c r="AE1483" t="s">
        <v>86</v>
      </c>
      <c r="AF1483" t="s">
        <v>40</v>
      </c>
      <c r="AG1483">
        <v>0</v>
      </c>
      <c r="AH1483" t="s">
        <v>100</v>
      </c>
    </row>
    <row r="1484" spans="1:34" x14ac:dyDescent="0.3">
      <c r="A1484" t="s">
        <v>2180</v>
      </c>
      <c r="B1484" t="s">
        <v>166</v>
      </c>
      <c r="C1484" t="s">
        <v>103</v>
      </c>
      <c r="D1484" t="s">
        <v>53</v>
      </c>
      <c r="E1484" s="1">
        <v>45826</v>
      </c>
      <c r="F1484" s="1">
        <v>45833</v>
      </c>
      <c r="G1484" t="s">
        <v>64</v>
      </c>
      <c r="H1484">
        <v>2490</v>
      </c>
      <c r="I1484" t="s">
        <v>39</v>
      </c>
      <c r="J1484" t="b">
        <v>0</v>
      </c>
      <c r="K1484">
        <v>7</v>
      </c>
      <c r="L1484">
        <v>6</v>
      </c>
      <c r="M1484">
        <v>2025</v>
      </c>
      <c r="N1484">
        <v>2</v>
      </c>
      <c r="O1484">
        <v>6</v>
      </c>
      <c r="P1484">
        <v>2025</v>
      </c>
      <c r="Q1484">
        <v>2</v>
      </c>
      <c r="R1484" t="s">
        <v>40</v>
      </c>
      <c r="S1484" t="s">
        <v>67</v>
      </c>
      <c r="T1484" t="s">
        <v>42</v>
      </c>
      <c r="U1484" t="s">
        <v>40</v>
      </c>
      <c r="V1484" t="s">
        <v>105</v>
      </c>
      <c r="W1484" t="s">
        <v>106</v>
      </c>
      <c r="X1484" t="s">
        <v>45</v>
      </c>
      <c r="Y1484">
        <v>140</v>
      </c>
      <c r="Z1484" t="s">
        <v>58</v>
      </c>
      <c r="AA1484" t="s">
        <v>59</v>
      </c>
      <c r="AB1484" s="1">
        <v>45833</v>
      </c>
      <c r="AC1484" t="s">
        <v>40</v>
      </c>
      <c r="AD1484" t="s">
        <v>40</v>
      </c>
      <c r="AE1484" t="s">
        <v>60</v>
      </c>
      <c r="AF1484" t="s">
        <v>40</v>
      </c>
      <c r="AG1484">
        <v>0</v>
      </c>
      <c r="AH1484" t="s">
        <v>100</v>
      </c>
    </row>
    <row r="1485" spans="1:34" x14ac:dyDescent="0.3">
      <c r="A1485" t="s">
        <v>2181</v>
      </c>
      <c r="B1485" t="s">
        <v>1122</v>
      </c>
      <c r="C1485" t="s">
        <v>97</v>
      </c>
      <c r="D1485" t="s">
        <v>53</v>
      </c>
      <c r="E1485" s="1">
        <v>46093</v>
      </c>
      <c r="F1485" s="1">
        <v>46153</v>
      </c>
      <c r="G1485" t="s">
        <v>38</v>
      </c>
      <c r="H1485">
        <v>5994</v>
      </c>
      <c r="I1485" t="s">
        <v>39</v>
      </c>
      <c r="J1485" t="b">
        <v>0</v>
      </c>
      <c r="K1485">
        <v>60</v>
      </c>
      <c r="L1485">
        <v>5</v>
      </c>
      <c r="M1485">
        <v>2026</v>
      </c>
      <c r="N1485">
        <v>0</v>
      </c>
      <c r="O1485">
        <v>3</v>
      </c>
      <c r="P1485">
        <v>2026</v>
      </c>
      <c r="Q1485">
        <v>3</v>
      </c>
      <c r="R1485" t="s">
        <v>40</v>
      </c>
      <c r="S1485" t="s">
        <v>41</v>
      </c>
      <c r="T1485" t="s">
        <v>139</v>
      </c>
      <c r="U1485" t="s">
        <v>40</v>
      </c>
      <c r="V1485" t="s">
        <v>98</v>
      </c>
      <c r="W1485" t="s">
        <v>99</v>
      </c>
      <c r="X1485" t="s">
        <v>76</v>
      </c>
      <c r="Y1485">
        <v>80</v>
      </c>
      <c r="Z1485" t="s">
        <v>58</v>
      </c>
      <c r="AA1485" t="s">
        <v>59</v>
      </c>
      <c r="AB1485" s="1">
        <v>46153</v>
      </c>
      <c r="AC1485" t="s">
        <v>40</v>
      </c>
      <c r="AD1485" t="s">
        <v>40</v>
      </c>
      <c r="AE1485" t="s">
        <v>69</v>
      </c>
      <c r="AF1485" t="s">
        <v>40</v>
      </c>
      <c r="AG1485">
        <v>0</v>
      </c>
      <c r="AH1485" t="s">
        <v>61</v>
      </c>
    </row>
    <row r="1486" spans="1:34" x14ac:dyDescent="0.3">
      <c r="A1486" t="s">
        <v>2182</v>
      </c>
      <c r="B1486" t="s">
        <v>646</v>
      </c>
      <c r="C1486" t="s">
        <v>122</v>
      </c>
      <c r="D1486" t="s">
        <v>130</v>
      </c>
      <c r="E1486" s="1">
        <v>45922</v>
      </c>
      <c r="F1486" s="1">
        <v>45952</v>
      </c>
      <c r="G1486" t="s">
        <v>41</v>
      </c>
      <c r="H1486">
        <v>7804</v>
      </c>
      <c r="I1486" t="s">
        <v>39</v>
      </c>
      <c r="J1486" t="b">
        <v>0</v>
      </c>
      <c r="K1486">
        <v>30</v>
      </c>
      <c r="L1486">
        <v>10</v>
      </c>
      <c r="M1486">
        <v>2025</v>
      </c>
      <c r="N1486">
        <v>2</v>
      </c>
      <c r="O1486">
        <v>9</v>
      </c>
      <c r="P1486">
        <v>2025</v>
      </c>
      <c r="Q1486">
        <v>0</v>
      </c>
      <c r="R1486" t="s">
        <v>40</v>
      </c>
      <c r="S1486" t="s">
        <v>41</v>
      </c>
      <c r="T1486" t="s">
        <v>42</v>
      </c>
      <c r="U1486" t="s">
        <v>40</v>
      </c>
      <c r="V1486" t="s">
        <v>124</v>
      </c>
      <c r="W1486" t="s">
        <v>125</v>
      </c>
      <c r="X1486" t="s">
        <v>126</v>
      </c>
      <c r="Y1486">
        <v>85</v>
      </c>
      <c r="Z1486" t="s">
        <v>133</v>
      </c>
      <c r="AA1486" t="s">
        <v>134</v>
      </c>
      <c r="AB1486" s="1">
        <v>45952</v>
      </c>
      <c r="AC1486" t="s">
        <v>40</v>
      </c>
      <c r="AD1486" t="s">
        <v>40</v>
      </c>
      <c r="AE1486" t="s">
        <v>60</v>
      </c>
      <c r="AF1486" t="s">
        <v>40</v>
      </c>
      <c r="AG1486">
        <v>0</v>
      </c>
      <c r="AH1486" t="s">
        <v>70</v>
      </c>
    </row>
    <row r="1487" spans="1:34" x14ac:dyDescent="0.3">
      <c r="A1487" t="s">
        <v>2183</v>
      </c>
      <c r="B1487" t="s">
        <v>1167</v>
      </c>
      <c r="C1487" t="s">
        <v>79</v>
      </c>
      <c r="D1487" t="s">
        <v>90</v>
      </c>
      <c r="E1487" s="1">
        <v>45756</v>
      </c>
      <c r="F1487" s="1">
        <v>45856</v>
      </c>
      <c r="G1487" t="s">
        <v>38</v>
      </c>
      <c r="H1487">
        <v>4780</v>
      </c>
      <c r="I1487" t="s">
        <v>39</v>
      </c>
      <c r="J1487" t="b">
        <v>0</v>
      </c>
      <c r="K1487">
        <v>100</v>
      </c>
      <c r="L1487">
        <v>7</v>
      </c>
      <c r="M1487">
        <v>2025</v>
      </c>
      <c r="N1487">
        <v>4</v>
      </c>
      <c r="O1487">
        <v>4</v>
      </c>
      <c r="P1487">
        <v>2025</v>
      </c>
      <c r="Q1487">
        <v>2</v>
      </c>
      <c r="R1487" t="s">
        <v>40</v>
      </c>
      <c r="S1487" t="s">
        <v>55</v>
      </c>
      <c r="T1487" t="s">
        <v>123</v>
      </c>
      <c r="U1487" t="s">
        <v>40</v>
      </c>
      <c r="V1487" t="s">
        <v>82</v>
      </c>
      <c r="W1487" t="s">
        <v>83</v>
      </c>
      <c r="X1487" t="s">
        <v>76</v>
      </c>
      <c r="Y1487">
        <v>100</v>
      </c>
      <c r="Z1487" t="s">
        <v>93</v>
      </c>
      <c r="AA1487" t="s">
        <v>94</v>
      </c>
      <c r="AB1487" s="1">
        <v>45856</v>
      </c>
      <c r="AC1487" t="s">
        <v>40</v>
      </c>
      <c r="AD1487" t="s">
        <v>40</v>
      </c>
      <c r="AE1487" t="s">
        <v>86</v>
      </c>
      <c r="AF1487" t="s">
        <v>40</v>
      </c>
      <c r="AG1487">
        <v>0</v>
      </c>
      <c r="AH1487" t="s">
        <v>49</v>
      </c>
    </row>
    <row r="1488" spans="1:34" x14ac:dyDescent="0.3">
      <c r="A1488" t="s">
        <v>2184</v>
      </c>
      <c r="B1488" t="s">
        <v>1891</v>
      </c>
      <c r="C1488" t="s">
        <v>73</v>
      </c>
      <c r="D1488" t="s">
        <v>130</v>
      </c>
      <c r="E1488" s="1">
        <v>45828</v>
      </c>
      <c r="F1488" s="1">
        <v>45888</v>
      </c>
      <c r="G1488" t="s">
        <v>64</v>
      </c>
      <c r="H1488">
        <v>3717</v>
      </c>
      <c r="I1488" t="s">
        <v>65</v>
      </c>
      <c r="J1488" t="b">
        <v>0</v>
      </c>
      <c r="K1488">
        <v>60</v>
      </c>
      <c r="L1488">
        <v>8</v>
      </c>
      <c r="M1488">
        <v>2025</v>
      </c>
      <c r="N1488">
        <v>1</v>
      </c>
      <c r="O1488">
        <v>6</v>
      </c>
      <c r="P1488">
        <v>2025</v>
      </c>
      <c r="Q1488">
        <v>4</v>
      </c>
      <c r="R1488" t="s">
        <v>40</v>
      </c>
      <c r="S1488" t="s">
        <v>55</v>
      </c>
      <c r="T1488" t="s">
        <v>48</v>
      </c>
      <c r="U1488" t="s">
        <v>40</v>
      </c>
      <c r="V1488" t="s">
        <v>74</v>
      </c>
      <c r="W1488" t="s">
        <v>75</v>
      </c>
      <c r="X1488" t="s">
        <v>76</v>
      </c>
      <c r="Y1488">
        <v>75</v>
      </c>
      <c r="Z1488" t="s">
        <v>133</v>
      </c>
      <c r="AA1488" t="s">
        <v>134</v>
      </c>
      <c r="AB1488" s="1">
        <v>45888</v>
      </c>
      <c r="AC1488" t="s">
        <v>40</v>
      </c>
      <c r="AD1488" t="s">
        <v>40</v>
      </c>
      <c r="AE1488" t="s">
        <v>86</v>
      </c>
      <c r="AF1488" t="s">
        <v>40</v>
      </c>
      <c r="AG1488">
        <v>0</v>
      </c>
      <c r="AH1488" t="s">
        <v>61</v>
      </c>
    </row>
    <row r="1489" spans="1:34" x14ac:dyDescent="0.3">
      <c r="A1489" t="s">
        <v>2185</v>
      </c>
      <c r="B1489" t="s">
        <v>2186</v>
      </c>
      <c r="C1489" t="s">
        <v>89</v>
      </c>
      <c r="D1489" t="s">
        <v>104</v>
      </c>
      <c r="E1489" s="1">
        <v>45900</v>
      </c>
      <c r="F1489" s="1">
        <v>46050</v>
      </c>
      <c r="G1489" t="s">
        <v>38</v>
      </c>
      <c r="H1489">
        <v>4143</v>
      </c>
      <c r="I1489" t="s">
        <v>65</v>
      </c>
      <c r="J1489" t="b">
        <v>0</v>
      </c>
      <c r="K1489">
        <v>150</v>
      </c>
      <c r="L1489">
        <v>1</v>
      </c>
      <c r="M1489">
        <v>2026</v>
      </c>
      <c r="N1489">
        <v>2</v>
      </c>
      <c r="O1489">
        <v>8</v>
      </c>
      <c r="P1489">
        <v>2025</v>
      </c>
      <c r="Q1489">
        <v>6</v>
      </c>
      <c r="R1489" t="s">
        <v>40</v>
      </c>
      <c r="S1489" t="s">
        <v>55</v>
      </c>
      <c r="T1489" t="s">
        <v>42</v>
      </c>
      <c r="U1489" t="s">
        <v>40</v>
      </c>
      <c r="V1489" t="s">
        <v>91</v>
      </c>
      <c r="W1489" t="s">
        <v>92</v>
      </c>
      <c r="X1489" t="s">
        <v>76</v>
      </c>
      <c r="Y1489">
        <v>65</v>
      </c>
      <c r="Z1489" t="s">
        <v>107</v>
      </c>
      <c r="AA1489" t="s">
        <v>108</v>
      </c>
      <c r="AB1489" s="1">
        <v>46050</v>
      </c>
      <c r="AC1489" t="s">
        <v>40</v>
      </c>
      <c r="AD1489" t="s">
        <v>40</v>
      </c>
      <c r="AE1489" t="s">
        <v>86</v>
      </c>
      <c r="AF1489" t="s">
        <v>40</v>
      </c>
      <c r="AG1489">
        <v>0</v>
      </c>
      <c r="AH1489" t="s">
        <v>49</v>
      </c>
    </row>
    <row r="1490" spans="1:34" x14ac:dyDescent="0.3">
      <c r="A1490" t="s">
        <v>2187</v>
      </c>
      <c r="B1490" t="s">
        <v>2188</v>
      </c>
      <c r="C1490" t="s">
        <v>79</v>
      </c>
      <c r="D1490" t="s">
        <v>80</v>
      </c>
      <c r="E1490" s="1">
        <v>45986</v>
      </c>
      <c r="F1490" s="1">
        <v>46046</v>
      </c>
      <c r="G1490" t="s">
        <v>81</v>
      </c>
      <c r="H1490">
        <v>7982</v>
      </c>
      <c r="I1490" t="s">
        <v>65</v>
      </c>
      <c r="J1490" t="b">
        <v>0</v>
      </c>
      <c r="K1490">
        <v>60</v>
      </c>
      <c r="L1490">
        <v>1</v>
      </c>
      <c r="M1490">
        <v>2026</v>
      </c>
      <c r="N1490">
        <v>5</v>
      </c>
      <c r="O1490">
        <v>11</v>
      </c>
      <c r="P1490">
        <v>2025</v>
      </c>
      <c r="Q1490">
        <v>1</v>
      </c>
      <c r="R1490" t="s">
        <v>66</v>
      </c>
      <c r="S1490" t="s">
        <v>45</v>
      </c>
      <c r="T1490" t="s">
        <v>42</v>
      </c>
      <c r="U1490" t="s">
        <v>40</v>
      </c>
      <c r="V1490" t="s">
        <v>82</v>
      </c>
      <c r="W1490" t="s">
        <v>83</v>
      </c>
      <c r="X1490" t="s">
        <v>76</v>
      </c>
      <c r="Y1490">
        <v>100</v>
      </c>
      <c r="Z1490" t="s">
        <v>84</v>
      </c>
      <c r="AA1490" t="s">
        <v>85</v>
      </c>
      <c r="AB1490" s="1">
        <v>46046</v>
      </c>
      <c r="AC1490" t="s">
        <v>66</v>
      </c>
      <c r="AD1490" t="s">
        <v>40</v>
      </c>
      <c r="AE1490" t="s">
        <v>86</v>
      </c>
      <c r="AF1490" t="s">
        <v>40</v>
      </c>
      <c r="AG1490">
        <v>0</v>
      </c>
      <c r="AH1490" t="s">
        <v>61</v>
      </c>
    </row>
    <row r="1491" spans="1:34" x14ac:dyDescent="0.3">
      <c r="A1491" t="s">
        <v>2189</v>
      </c>
      <c r="B1491" t="s">
        <v>235</v>
      </c>
      <c r="C1491" t="s">
        <v>89</v>
      </c>
      <c r="D1491" t="s">
        <v>53</v>
      </c>
      <c r="E1491" s="1">
        <v>45761</v>
      </c>
      <c r="F1491" s="1">
        <v>45775</v>
      </c>
      <c r="G1491" t="s">
        <v>81</v>
      </c>
      <c r="H1491">
        <v>10175</v>
      </c>
      <c r="I1491" t="s">
        <v>39</v>
      </c>
      <c r="J1491" t="b">
        <v>0</v>
      </c>
      <c r="K1491">
        <v>14</v>
      </c>
      <c r="L1491">
        <v>4</v>
      </c>
      <c r="M1491">
        <v>2025</v>
      </c>
      <c r="N1491">
        <v>0</v>
      </c>
      <c r="O1491">
        <v>4</v>
      </c>
      <c r="P1491">
        <v>2025</v>
      </c>
      <c r="Q1491">
        <v>0</v>
      </c>
      <c r="R1491" t="s">
        <v>40</v>
      </c>
      <c r="S1491" t="s">
        <v>41</v>
      </c>
      <c r="T1491" t="s">
        <v>42</v>
      </c>
      <c r="U1491" t="s">
        <v>40</v>
      </c>
      <c r="V1491" t="s">
        <v>91</v>
      </c>
      <c r="W1491" t="s">
        <v>92</v>
      </c>
      <c r="X1491" t="s">
        <v>76</v>
      </c>
      <c r="Y1491">
        <v>65</v>
      </c>
      <c r="Z1491" t="s">
        <v>58</v>
      </c>
      <c r="AA1491" t="s">
        <v>59</v>
      </c>
      <c r="AB1491" s="1">
        <v>45775</v>
      </c>
      <c r="AC1491" t="s">
        <v>40</v>
      </c>
      <c r="AD1491" t="s">
        <v>40</v>
      </c>
      <c r="AE1491" t="s">
        <v>69</v>
      </c>
      <c r="AF1491" t="s">
        <v>40</v>
      </c>
      <c r="AG1491">
        <v>0</v>
      </c>
      <c r="AH1491" t="s">
        <v>70</v>
      </c>
    </row>
    <row r="1492" spans="1:34" x14ac:dyDescent="0.3">
      <c r="A1492" t="s">
        <v>2190</v>
      </c>
      <c r="B1492" t="s">
        <v>1614</v>
      </c>
      <c r="C1492" t="s">
        <v>79</v>
      </c>
      <c r="D1492" t="s">
        <v>53</v>
      </c>
      <c r="E1492" s="1">
        <v>46271</v>
      </c>
      <c r="F1492" s="1">
        <v>46274</v>
      </c>
      <c r="G1492" t="s">
        <v>41</v>
      </c>
      <c r="H1492">
        <v>5943</v>
      </c>
      <c r="I1492" t="s">
        <v>39</v>
      </c>
      <c r="J1492" t="b">
        <v>0</v>
      </c>
      <c r="K1492">
        <v>3</v>
      </c>
      <c r="L1492">
        <v>9</v>
      </c>
      <c r="M1492">
        <v>2026</v>
      </c>
      <c r="N1492">
        <v>2</v>
      </c>
      <c r="O1492">
        <v>9</v>
      </c>
      <c r="P1492">
        <v>2026</v>
      </c>
      <c r="Q1492">
        <v>6</v>
      </c>
      <c r="R1492" t="s">
        <v>40</v>
      </c>
      <c r="S1492" t="s">
        <v>45</v>
      </c>
      <c r="T1492" t="s">
        <v>48</v>
      </c>
      <c r="U1492" t="s">
        <v>40</v>
      </c>
      <c r="V1492" t="s">
        <v>82</v>
      </c>
      <c r="W1492" t="s">
        <v>83</v>
      </c>
      <c r="X1492" t="s">
        <v>76</v>
      </c>
      <c r="Y1492">
        <v>100</v>
      </c>
      <c r="Z1492" t="s">
        <v>58</v>
      </c>
      <c r="AA1492" t="s">
        <v>59</v>
      </c>
      <c r="AB1492" s="1">
        <v>46274</v>
      </c>
      <c r="AC1492" t="s">
        <v>40</v>
      </c>
      <c r="AD1492" t="s">
        <v>40</v>
      </c>
      <c r="AE1492" t="s">
        <v>60</v>
      </c>
      <c r="AF1492" t="s">
        <v>40</v>
      </c>
      <c r="AG1492">
        <v>0</v>
      </c>
      <c r="AH1492" t="s">
        <v>100</v>
      </c>
    </row>
    <row r="1493" spans="1:34" x14ac:dyDescent="0.3">
      <c r="A1493" t="s">
        <v>2191</v>
      </c>
      <c r="B1493" t="s">
        <v>2120</v>
      </c>
      <c r="C1493" t="s">
        <v>169</v>
      </c>
      <c r="D1493" t="s">
        <v>104</v>
      </c>
      <c r="E1493" s="1">
        <v>46199</v>
      </c>
      <c r="F1493" s="1">
        <v>46259</v>
      </c>
      <c r="G1493" t="s">
        <v>81</v>
      </c>
      <c r="H1493">
        <v>7475</v>
      </c>
      <c r="I1493" t="s">
        <v>212</v>
      </c>
      <c r="J1493" t="b">
        <v>0</v>
      </c>
      <c r="K1493">
        <v>60</v>
      </c>
      <c r="L1493">
        <v>8</v>
      </c>
      <c r="M1493">
        <v>2026</v>
      </c>
      <c r="N1493">
        <v>1</v>
      </c>
      <c r="O1493">
        <v>6</v>
      </c>
      <c r="P1493">
        <v>2026</v>
      </c>
      <c r="Q1493">
        <v>4</v>
      </c>
      <c r="R1493" t="s">
        <v>40</v>
      </c>
      <c r="S1493" t="s">
        <v>55</v>
      </c>
      <c r="T1493" t="s">
        <v>68</v>
      </c>
      <c r="U1493" t="s">
        <v>40</v>
      </c>
      <c r="V1493" t="s">
        <v>170</v>
      </c>
      <c r="W1493" t="s">
        <v>171</v>
      </c>
      <c r="X1493" t="s">
        <v>126</v>
      </c>
      <c r="Y1493">
        <v>90</v>
      </c>
      <c r="Z1493" t="s">
        <v>107</v>
      </c>
      <c r="AA1493" t="s">
        <v>108</v>
      </c>
      <c r="AB1493" s="1">
        <v>46259</v>
      </c>
      <c r="AC1493" t="s">
        <v>40</v>
      </c>
      <c r="AD1493" t="s">
        <v>40</v>
      </c>
      <c r="AE1493" t="s">
        <v>86</v>
      </c>
      <c r="AF1493" t="s">
        <v>40</v>
      </c>
      <c r="AG1493">
        <v>0</v>
      </c>
      <c r="AH1493" t="s">
        <v>61</v>
      </c>
    </row>
    <row r="1494" spans="1:34" x14ac:dyDescent="0.3">
      <c r="A1494" t="s">
        <v>2192</v>
      </c>
      <c r="B1494" t="s">
        <v>2193</v>
      </c>
      <c r="C1494" t="s">
        <v>73</v>
      </c>
      <c r="D1494" t="s">
        <v>53</v>
      </c>
      <c r="E1494" s="1">
        <v>45954</v>
      </c>
      <c r="F1494" s="1">
        <v>46054</v>
      </c>
      <c r="G1494" t="s">
        <v>38</v>
      </c>
      <c r="H1494">
        <v>4447</v>
      </c>
      <c r="I1494" t="s">
        <v>54</v>
      </c>
      <c r="J1494" t="b">
        <v>0</v>
      </c>
      <c r="K1494">
        <v>100</v>
      </c>
      <c r="L1494">
        <v>2</v>
      </c>
      <c r="M1494">
        <v>2026</v>
      </c>
      <c r="N1494">
        <v>6</v>
      </c>
      <c r="O1494">
        <v>10</v>
      </c>
      <c r="P1494">
        <v>2025</v>
      </c>
      <c r="Q1494">
        <v>4</v>
      </c>
      <c r="R1494" t="s">
        <v>66</v>
      </c>
      <c r="S1494" t="s">
        <v>55</v>
      </c>
      <c r="T1494" t="s">
        <v>42</v>
      </c>
      <c r="U1494" t="s">
        <v>40</v>
      </c>
      <c r="V1494" t="s">
        <v>74</v>
      </c>
      <c r="W1494" t="s">
        <v>75</v>
      </c>
      <c r="X1494" t="s">
        <v>76</v>
      </c>
      <c r="Y1494">
        <v>75</v>
      </c>
      <c r="Z1494" t="s">
        <v>58</v>
      </c>
      <c r="AA1494" t="s">
        <v>59</v>
      </c>
      <c r="AB1494" s="1">
        <v>46054</v>
      </c>
      <c r="AC1494" t="s">
        <v>66</v>
      </c>
      <c r="AD1494" t="s">
        <v>40</v>
      </c>
      <c r="AE1494" t="s">
        <v>60</v>
      </c>
      <c r="AF1494" t="s">
        <v>40</v>
      </c>
      <c r="AG1494">
        <v>1</v>
      </c>
      <c r="AH1494" t="s">
        <v>49</v>
      </c>
    </row>
    <row r="1495" spans="1:34" x14ac:dyDescent="0.3">
      <c r="A1495" t="s">
        <v>2194</v>
      </c>
      <c r="B1495" t="s">
        <v>747</v>
      </c>
      <c r="C1495" t="s">
        <v>146</v>
      </c>
      <c r="D1495" t="s">
        <v>90</v>
      </c>
      <c r="E1495" s="1">
        <v>46089</v>
      </c>
      <c r="F1495" s="1">
        <v>46092</v>
      </c>
      <c r="G1495" t="s">
        <v>64</v>
      </c>
      <c r="H1495">
        <v>2690</v>
      </c>
      <c r="I1495" t="s">
        <v>54</v>
      </c>
      <c r="J1495" t="b">
        <v>0</v>
      </c>
      <c r="K1495">
        <v>3</v>
      </c>
      <c r="L1495">
        <v>3</v>
      </c>
      <c r="M1495">
        <v>2026</v>
      </c>
      <c r="N1495">
        <v>2</v>
      </c>
      <c r="O1495">
        <v>3</v>
      </c>
      <c r="P1495">
        <v>2026</v>
      </c>
      <c r="Q1495">
        <v>6</v>
      </c>
      <c r="R1495" t="s">
        <v>40</v>
      </c>
      <c r="S1495" t="s">
        <v>55</v>
      </c>
      <c r="T1495" t="s">
        <v>42</v>
      </c>
      <c r="U1495" t="s">
        <v>40</v>
      </c>
      <c r="V1495" t="s">
        <v>147</v>
      </c>
      <c r="W1495" t="s">
        <v>148</v>
      </c>
      <c r="X1495" t="s">
        <v>45</v>
      </c>
      <c r="Y1495">
        <v>160</v>
      </c>
      <c r="Z1495" t="s">
        <v>93</v>
      </c>
      <c r="AA1495" t="s">
        <v>94</v>
      </c>
      <c r="AB1495" s="1">
        <v>46092</v>
      </c>
      <c r="AC1495" t="s">
        <v>40</v>
      </c>
      <c r="AD1495" t="s">
        <v>40</v>
      </c>
      <c r="AE1495" t="s">
        <v>60</v>
      </c>
      <c r="AF1495" t="s">
        <v>40</v>
      </c>
      <c r="AG1495">
        <v>1</v>
      </c>
      <c r="AH1495" t="s">
        <v>100</v>
      </c>
    </row>
    <row r="1496" spans="1:34" x14ac:dyDescent="0.3">
      <c r="A1496" t="s">
        <v>2195</v>
      </c>
      <c r="B1496" t="s">
        <v>1214</v>
      </c>
      <c r="C1496" t="s">
        <v>146</v>
      </c>
      <c r="D1496" t="s">
        <v>80</v>
      </c>
      <c r="E1496" s="1">
        <v>45837</v>
      </c>
      <c r="F1496" s="1">
        <v>45937</v>
      </c>
      <c r="G1496" t="s">
        <v>64</v>
      </c>
      <c r="H1496">
        <v>3826</v>
      </c>
      <c r="I1496" t="s">
        <v>54</v>
      </c>
      <c r="J1496" t="b">
        <v>0</v>
      </c>
      <c r="K1496">
        <v>100</v>
      </c>
      <c r="L1496">
        <v>10</v>
      </c>
      <c r="M1496">
        <v>2025</v>
      </c>
      <c r="N1496">
        <v>1</v>
      </c>
      <c r="O1496">
        <v>6</v>
      </c>
      <c r="P1496">
        <v>2025</v>
      </c>
      <c r="Q1496">
        <v>6</v>
      </c>
      <c r="R1496" t="s">
        <v>40</v>
      </c>
      <c r="S1496" t="s">
        <v>67</v>
      </c>
      <c r="T1496" t="s">
        <v>42</v>
      </c>
      <c r="U1496" t="s">
        <v>66</v>
      </c>
      <c r="V1496" t="s">
        <v>147</v>
      </c>
      <c r="W1496" t="s">
        <v>148</v>
      </c>
      <c r="X1496" t="s">
        <v>45</v>
      </c>
      <c r="Y1496">
        <v>160</v>
      </c>
      <c r="Z1496" t="s">
        <v>84</v>
      </c>
      <c r="AA1496" t="s">
        <v>85</v>
      </c>
      <c r="AB1496" s="1">
        <v>45937</v>
      </c>
      <c r="AC1496" t="s">
        <v>40</v>
      </c>
      <c r="AD1496" t="s">
        <v>40</v>
      </c>
      <c r="AE1496" t="s">
        <v>60</v>
      </c>
      <c r="AF1496" t="s">
        <v>40</v>
      </c>
      <c r="AG1496">
        <v>1</v>
      </c>
      <c r="AH1496" t="s">
        <v>49</v>
      </c>
    </row>
    <row r="1497" spans="1:34" x14ac:dyDescent="0.3">
      <c r="A1497" t="s">
        <v>2196</v>
      </c>
      <c r="B1497" t="s">
        <v>911</v>
      </c>
      <c r="C1497" t="s">
        <v>103</v>
      </c>
      <c r="D1497" t="s">
        <v>90</v>
      </c>
      <c r="E1497" s="1">
        <v>45981</v>
      </c>
      <c r="F1497" s="1">
        <v>46041</v>
      </c>
      <c r="G1497" t="s">
        <v>81</v>
      </c>
      <c r="H1497">
        <v>9004</v>
      </c>
      <c r="I1497" t="s">
        <v>65</v>
      </c>
      <c r="J1497" t="b">
        <v>0</v>
      </c>
      <c r="K1497">
        <v>60</v>
      </c>
      <c r="L1497">
        <v>1</v>
      </c>
      <c r="M1497">
        <v>2026</v>
      </c>
      <c r="N1497">
        <v>0</v>
      </c>
      <c r="O1497">
        <v>11</v>
      </c>
      <c r="P1497">
        <v>2025</v>
      </c>
      <c r="Q1497">
        <v>3</v>
      </c>
      <c r="R1497" t="s">
        <v>40</v>
      </c>
      <c r="S1497" t="s">
        <v>55</v>
      </c>
      <c r="T1497" t="s">
        <v>48</v>
      </c>
      <c r="U1497" t="s">
        <v>40</v>
      </c>
      <c r="V1497" t="s">
        <v>105</v>
      </c>
      <c r="W1497" t="s">
        <v>106</v>
      </c>
      <c r="X1497" t="s">
        <v>45</v>
      </c>
      <c r="Y1497">
        <v>140</v>
      </c>
      <c r="Z1497" t="s">
        <v>93</v>
      </c>
      <c r="AA1497" t="s">
        <v>94</v>
      </c>
      <c r="AB1497" s="1">
        <v>46041</v>
      </c>
      <c r="AC1497" t="s">
        <v>40</v>
      </c>
      <c r="AD1497" t="s">
        <v>40</v>
      </c>
      <c r="AE1497" t="s">
        <v>86</v>
      </c>
      <c r="AF1497" t="s">
        <v>40</v>
      </c>
      <c r="AG1497">
        <v>0</v>
      </c>
      <c r="AH1497" t="s">
        <v>61</v>
      </c>
    </row>
    <row r="1498" spans="1:34" x14ac:dyDescent="0.3">
      <c r="A1498" t="s">
        <v>2197</v>
      </c>
      <c r="B1498" t="s">
        <v>1790</v>
      </c>
      <c r="C1498" t="s">
        <v>122</v>
      </c>
      <c r="D1498" t="s">
        <v>80</v>
      </c>
      <c r="E1498" s="1">
        <v>45709</v>
      </c>
      <c r="F1498" s="1">
        <v>45712</v>
      </c>
      <c r="G1498" t="s">
        <v>64</v>
      </c>
      <c r="H1498">
        <v>3070</v>
      </c>
      <c r="I1498" t="s">
        <v>39</v>
      </c>
      <c r="J1498" t="b">
        <v>0</v>
      </c>
      <c r="K1498">
        <v>3</v>
      </c>
      <c r="L1498">
        <v>2</v>
      </c>
      <c r="M1498">
        <v>2025</v>
      </c>
      <c r="N1498">
        <v>0</v>
      </c>
      <c r="O1498">
        <v>2</v>
      </c>
      <c r="P1498">
        <v>2025</v>
      </c>
      <c r="Q1498">
        <v>4</v>
      </c>
      <c r="R1498" t="s">
        <v>40</v>
      </c>
      <c r="S1498" t="s">
        <v>67</v>
      </c>
      <c r="T1498" t="s">
        <v>123</v>
      </c>
      <c r="U1498" t="s">
        <v>40</v>
      </c>
      <c r="V1498" t="s">
        <v>124</v>
      </c>
      <c r="W1498" t="s">
        <v>125</v>
      </c>
      <c r="X1498" t="s">
        <v>126</v>
      </c>
      <c r="Y1498">
        <v>85</v>
      </c>
      <c r="Z1498" t="s">
        <v>84</v>
      </c>
      <c r="AA1498" t="s">
        <v>85</v>
      </c>
      <c r="AB1498" s="1">
        <v>45712</v>
      </c>
      <c r="AC1498" t="s">
        <v>40</v>
      </c>
      <c r="AD1498" t="s">
        <v>40</v>
      </c>
      <c r="AE1498" t="s">
        <v>60</v>
      </c>
      <c r="AF1498" t="s">
        <v>40</v>
      </c>
      <c r="AG1498">
        <v>0</v>
      </c>
      <c r="AH1498" t="s">
        <v>100</v>
      </c>
    </row>
    <row r="1499" spans="1:34" x14ac:dyDescent="0.3">
      <c r="A1499" t="s">
        <v>2198</v>
      </c>
      <c r="B1499" t="s">
        <v>1683</v>
      </c>
      <c r="C1499" t="s">
        <v>122</v>
      </c>
      <c r="D1499" t="s">
        <v>37</v>
      </c>
      <c r="E1499" s="1">
        <v>46045</v>
      </c>
      <c r="F1499" s="1">
        <v>46195</v>
      </c>
      <c r="G1499" t="s">
        <v>41</v>
      </c>
      <c r="H1499">
        <v>5919</v>
      </c>
      <c r="I1499" t="s">
        <v>39</v>
      </c>
      <c r="J1499" t="b">
        <v>0</v>
      </c>
      <c r="K1499">
        <v>150</v>
      </c>
      <c r="L1499">
        <v>6</v>
      </c>
      <c r="M1499">
        <v>2026</v>
      </c>
      <c r="N1499">
        <v>0</v>
      </c>
      <c r="O1499">
        <v>1</v>
      </c>
      <c r="P1499">
        <v>2026</v>
      </c>
      <c r="Q1499">
        <v>4</v>
      </c>
      <c r="R1499" t="s">
        <v>40</v>
      </c>
      <c r="S1499" t="s">
        <v>67</v>
      </c>
      <c r="T1499" t="s">
        <v>42</v>
      </c>
      <c r="U1499" t="s">
        <v>40</v>
      </c>
      <c r="V1499" t="s">
        <v>124</v>
      </c>
      <c r="W1499" t="s">
        <v>125</v>
      </c>
      <c r="X1499" t="s">
        <v>126</v>
      </c>
      <c r="Y1499">
        <v>85</v>
      </c>
      <c r="Z1499" t="s">
        <v>46</v>
      </c>
      <c r="AA1499" t="s">
        <v>47</v>
      </c>
      <c r="AB1499" s="1">
        <v>46195</v>
      </c>
      <c r="AC1499" t="s">
        <v>40</v>
      </c>
      <c r="AD1499" t="s">
        <v>40</v>
      </c>
      <c r="AE1499" t="s">
        <v>60</v>
      </c>
      <c r="AF1499" t="s">
        <v>40</v>
      </c>
      <c r="AG1499">
        <v>0</v>
      </c>
      <c r="AH1499" t="s">
        <v>49</v>
      </c>
    </row>
    <row r="1500" spans="1:34" x14ac:dyDescent="0.3">
      <c r="A1500" t="s">
        <v>2199</v>
      </c>
      <c r="B1500" t="s">
        <v>78</v>
      </c>
      <c r="C1500" t="s">
        <v>169</v>
      </c>
      <c r="D1500" t="s">
        <v>104</v>
      </c>
      <c r="E1500" s="1">
        <v>46302</v>
      </c>
      <c r="F1500" s="1">
        <v>46362</v>
      </c>
      <c r="G1500" t="s">
        <v>81</v>
      </c>
      <c r="H1500">
        <v>11313</v>
      </c>
      <c r="I1500" t="s">
        <v>54</v>
      </c>
      <c r="J1500" t="b">
        <v>0</v>
      </c>
      <c r="K1500">
        <v>60</v>
      </c>
      <c r="L1500">
        <v>12</v>
      </c>
      <c r="M1500">
        <v>2026</v>
      </c>
      <c r="N1500">
        <v>6</v>
      </c>
      <c r="O1500">
        <v>10</v>
      </c>
      <c r="P1500">
        <v>2026</v>
      </c>
      <c r="Q1500">
        <v>2</v>
      </c>
      <c r="R1500" t="s">
        <v>66</v>
      </c>
      <c r="S1500" t="s">
        <v>67</v>
      </c>
      <c r="T1500" t="s">
        <v>42</v>
      </c>
      <c r="U1500" t="s">
        <v>40</v>
      </c>
      <c r="V1500" t="s">
        <v>170</v>
      </c>
      <c r="W1500" t="s">
        <v>171</v>
      </c>
      <c r="X1500" t="s">
        <v>126</v>
      </c>
      <c r="Y1500">
        <v>90</v>
      </c>
      <c r="Z1500" t="s">
        <v>107</v>
      </c>
      <c r="AA1500" t="s">
        <v>108</v>
      </c>
      <c r="AB1500" s="1">
        <v>46362</v>
      </c>
      <c r="AC1500" t="s">
        <v>66</v>
      </c>
      <c r="AD1500" t="s">
        <v>40</v>
      </c>
      <c r="AE1500" t="s">
        <v>69</v>
      </c>
      <c r="AF1500" t="s">
        <v>40</v>
      </c>
      <c r="AG1500">
        <v>1</v>
      </c>
      <c r="AH1500" t="s">
        <v>61</v>
      </c>
    </row>
    <row r="1501" spans="1:34" x14ac:dyDescent="0.3">
      <c r="A1501" t="s">
        <v>2200</v>
      </c>
      <c r="B1501" t="s">
        <v>1284</v>
      </c>
      <c r="C1501" t="s">
        <v>36</v>
      </c>
      <c r="D1501" t="s">
        <v>130</v>
      </c>
      <c r="E1501" s="1">
        <v>46203</v>
      </c>
      <c r="F1501" s="1">
        <v>46233</v>
      </c>
      <c r="G1501" t="s">
        <v>81</v>
      </c>
      <c r="H1501">
        <v>6638</v>
      </c>
      <c r="I1501" t="s">
        <v>65</v>
      </c>
      <c r="J1501" t="b">
        <v>0</v>
      </c>
      <c r="K1501">
        <v>30</v>
      </c>
      <c r="L1501">
        <v>7</v>
      </c>
      <c r="M1501">
        <v>2026</v>
      </c>
      <c r="N1501">
        <v>3</v>
      </c>
      <c r="O1501">
        <v>6</v>
      </c>
      <c r="P1501">
        <v>2026</v>
      </c>
      <c r="Q1501">
        <v>1</v>
      </c>
      <c r="R1501" t="s">
        <v>40</v>
      </c>
      <c r="S1501" t="s">
        <v>55</v>
      </c>
      <c r="T1501" t="s">
        <v>42</v>
      </c>
      <c r="U1501" t="s">
        <v>66</v>
      </c>
      <c r="V1501" t="s">
        <v>43</v>
      </c>
      <c r="W1501" t="s">
        <v>44</v>
      </c>
      <c r="X1501" t="s">
        <v>45</v>
      </c>
      <c r="Y1501">
        <v>150</v>
      </c>
      <c r="Z1501" t="s">
        <v>133</v>
      </c>
      <c r="AA1501" t="s">
        <v>134</v>
      </c>
      <c r="AB1501" s="1">
        <v>46233</v>
      </c>
      <c r="AC1501" t="s">
        <v>40</v>
      </c>
      <c r="AD1501" t="s">
        <v>40</v>
      </c>
      <c r="AE1501" t="s">
        <v>86</v>
      </c>
      <c r="AF1501" t="s">
        <v>40</v>
      </c>
      <c r="AG1501">
        <v>0</v>
      </c>
      <c r="AH1501" t="s">
        <v>70</v>
      </c>
    </row>
    <row r="1502" spans="1:34" x14ac:dyDescent="0.3">
      <c r="A1502" t="s">
        <v>2201</v>
      </c>
      <c r="B1502" t="s">
        <v>1498</v>
      </c>
      <c r="C1502" t="s">
        <v>97</v>
      </c>
      <c r="D1502" t="s">
        <v>130</v>
      </c>
      <c r="E1502" s="1">
        <v>45745</v>
      </c>
      <c r="F1502" s="1">
        <v>45775</v>
      </c>
      <c r="G1502" t="s">
        <v>41</v>
      </c>
      <c r="H1502">
        <v>7664</v>
      </c>
      <c r="I1502" t="s">
        <v>65</v>
      </c>
      <c r="J1502" t="b">
        <v>0</v>
      </c>
      <c r="K1502">
        <v>30</v>
      </c>
      <c r="L1502">
        <v>4</v>
      </c>
      <c r="M1502">
        <v>2025</v>
      </c>
      <c r="N1502">
        <v>0</v>
      </c>
      <c r="O1502">
        <v>3</v>
      </c>
      <c r="P1502">
        <v>2025</v>
      </c>
      <c r="Q1502">
        <v>5</v>
      </c>
      <c r="R1502" t="s">
        <v>40</v>
      </c>
      <c r="S1502" t="s">
        <v>41</v>
      </c>
      <c r="T1502" t="s">
        <v>42</v>
      </c>
      <c r="U1502" t="s">
        <v>66</v>
      </c>
      <c r="V1502" t="s">
        <v>98</v>
      </c>
      <c r="W1502" t="s">
        <v>99</v>
      </c>
      <c r="X1502" t="s">
        <v>76</v>
      </c>
      <c r="Y1502">
        <v>80</v>
      </c>
      <c r="Z1502" t="s">
        <v>133</v>
      </c>
      <c r="AA1502" t="s">
        <v>134</v>
      </c>
      <c r="AB1502" s="1">
        <v>45775</v>
      </c>
      <c r="AC1502" t="s">
        <v>40</v>
      </c>
      <c r="AD1502" t="s">
        <v>40</v>
      </c>
      <c r="AE1502" t="s">
        <v>69</v>
      </c>
      <c r="AF1502" t="s">
        <v>40</v>
      </c>
      <c r="AG1502">
        <v>0</v>
      </c>
      <c r="AH1502" t="s">
        <v>70</v>
      </c>
    </row>
    <row r="1503" spans="1:34" x14ac:dyDescent="0.3">
      <c r="A1503" t="s">
        <v>2202</v>
      </c>
      <c r="B1503" t="s">
        <v>593</v>
      </c>
      <c r="C1503" t="s">
        <v>169</v>
      </c>
      <c r="D1503" t="s">
        <v>80</v>
      </c>
      <c r="E1503" s="1">
        <v>46344</v>
      </c>
      <c r="F1503" s="1">
        <v>46374</v>
      </c>
      <c r="G1503" t="s">
        <v>41</v>
      </c>
      <c r="H1503">
        <v>7298</v>
      </c>
      <c r="I1503" t="s">
        <v>65</v>
      </c>
      <c r="J1503" t="b">
        <v>0</v>
      </c>
      <c r="K1503">
        <v>30</v>
      </c>
      <c r="L1503">
        <v>12</v>
      </c>
      <c r="M1503">
        <v>2026</v>
      </c>
      <c r="N1503">
        <v>4</v>
      </c>
      <c r="O1503">
        <v>11</v>
      </c>
      <c r="P1503">
        <v>2026</v>
      </c>
      <c r="Q1503">
        <v>2</v>
      </c>
      <c r="R1503" t="s">
        <v>40</v>
      </c>
      <c r="S1503" t="s">
        <v>41</v>
      </c>
      <c r="T1503" t="s">
        <v>42</v>
      </c>
      <c r="U1503" t="s">
        <v>40</v>
      </c>
      <c r="V1503" t="s">
        <v>170</v>
      </c>
      <c r="W1503" t="s">
        <v>171</v>
      </c>
      <c r="X1503" t="s">
        <v>126</v>
      </c>
      <c r="Y1503">
        <v>90</v>
      </c>
      <c r="Z1503" t="s">
        <v>84</v>
      </c>
      <c r="AA1503" t="s">
        <v>85</v>
      </c>
      <c r="AB1503" s="1">
        <v>46374</v>
      </c>
      <c r="AC1503" t="s">
        <v>40</v>
      </c>
      <c r="AD1503" t="s">
        <v>40</v>
      </c>
      <c r="AE1503" t="s">
        <v>69</v>
      </c>
      <c r="AF1503" t="s">
        <v>40</v>
      </c>
      <c r="AG1503">
        <v>0</v>
      </c>
      <c r="AH1503" t="s">
        <v>70</v>
      </c>
    </row>
    <row r="1504" spans="1:34" x14ac:dyDescent="0.3">
      <c r="A1504" t="s">
        <v>2203</v>
      </c>
      <c r="B1504" t="s">
        <v>121</v>
      </c>
      <c r="C1504" t="s">
        <v>79</v>
      </c>
      <c r="D1504" t="s">
        <v>37</v>
      </c>
      <c r="E1504" s="1">
        <v>46242</v>
      </c>
      <c r="F1504" s="1">
        <v>46256</v>
      </c>
      <c r="G1504" t="s">
        <v>38</v>
      </c>
      <c r="H1504">
        <v>3955</v>
      </c>
      <c r="I1504" t="s">
        <v>54</v>
      </c>
      <c r="J1504" t="b">
        <v>0</v>
      </c>
      <c r="K1504">
        <v>14</v>
      </c>
      <c r="L1504">
        <v>8</v>
      </c>
      <c r="M1504">
        <v>2026</v>
      </c>
      <c r="N1504">
        <v>5</v>
      </c>
      <c r="O1504">
        <v>8</v>
      </c>
      <c r="P1504">
        <v>2026</v>
      </c>
      <c r="Q1504">
        <v>5</v>
      </c>
      <c r="R1504" t="s">
        <v>66</v>
      </c>
      <c r="S1504" t="s">
        <v>55</v>
      </c>
      <c r="T1504" t="s">
        <v>123</v>
      </c>
      <c r="U1504" t="s">
        <v>40</v>
      </c>
      <c r="V1504" t="s">
        <v>82</v>
      </c>
      <c r="W1504" t="s">
        <v>83</v>
      </c>
      <c r="X1504" t="s">
        <v>76</v>
      </c>
      <c r="Y1504">
        <v>100</v>
      </c>
      <c r="Z1504" t="s">
        <v>46</v>
      </c>
      <c r="AA1504" t="s">
        <v>47</v>
      </c>
      <c r="AB1504" s="1">
        <v>46256</v>
      </c>
      <c r="AC1504" t="s">
        <v>66</v>
      </c>
      <c r="AD1504" t="s">
        <v>40</v>
      </c>
      <c r="AE1504" t="s">
        <v>86</v>
      </c>
      <c r="AF1504" t="s">
        <v>40</v>
      </c>
      <c r="AG1504">
        <v>1</v>
      </c>
      <c r="AH1504" t="s">
        <v>70</v>
      </c>
    </row>
    <row r="1505" spans="1:34" x14ac:dyDescent="0.3">
      <c r="A1505" t="s">
        <v>2204</v>
      </c>
      <c r="B1505" t="s">
        <v>955</v>
      </c>
      <c r="C1505" t="s">
        <v>122</v>
      </c>
      <c r="D1505" t="s">
        <v>37</v>
      </c>
      <c r="E1505" s="1">
        <v>46209</v>
      </c>
      <c r="F1505" s="1">
        <v>46239</v>
      </c>
      <c r="G1505" t="s">
        <v>64</v>
      </c>
      <c r="H1505">
        <v>2812</v>
      </c>
      <c r="I1505" t="s">
        <v>39</v>
      </c>
      <c r="J1505" t="b">
        <v>0</v>
      </c>
      <c r="K1505">
        <v>30</v>
      </c>
      <c r="L1505">
        <v>8</v>
      </c>
      <c r="M1505">
        <v>2026</v>
      </c>
      <c r="N1505">
        <v>2</v>
      </c>
      <c r="O1505">
        <v>7</v>
      </c>
      <c r="P1505">
        <v>2026</v>
      </c>
      <c r="Q1505">
        <v>0</v>
      </c>
      <c r="R1505" t="s">
        <v>40</v>
      </c>
      <c r="S1505" t="s">
        <v>55</v>
      </c>
      <c r="T1505" t="s">
        <v>42</v>
      </c>
      <c r="U1505" t="s">
        <v>40</v>
      </c>
      <c r="V1505" t="s">
        <v>124</v>
      </c>
      <c r="W1505" t="s">
        <v>125</v>
      </c>
      <c r="X1505" t="s">
        <v>126</v>
      </c>
      <c r="Y1505">
        <v>85</v>
      </c>
      <c r="Z1505" t="s">
        <v>46</v>
      </c>
      <c r="AA1505" t="s">
        <v>47</v>
      </c>
      <c r="AB1505" s="1">
        <v>46239</v>
      </c>
      <c r="AC1505" t="s">
        <v>40</v>
      </c>
      <c r="AD1505" t="s">
        <v>40</v>
      </c>
      <c r="AE1505" t="s">
        <v>86</v>
      </c>
      <c r="AF1505" t="s">
        <v>40</v>
      </c>
      <c r="AG1505">
        <v>0</v>
      </c>
      <c r="AH1505" t="s">
        <v>70</v>
      </c>
    </row>
    <row r="1506" spans="1:34" x14ac:dyDescent="0.3">
      <c r="A1506" t="s">
        <v>2205</v>
      </c>
      <c r="B1506" t="s">
        <v>1337</v>
      </c>
      <c r="C1506" t="s">
        <v>122</v>
      </c>
      <c r="D1506" t="s">
        <v>130</v>
      </c>
      <c r="E1506" s="1">
        <v>45994</v>
      </c>
      <c r="F1506" s="1">
        <v>46054</v>
      </c>
      <c r="G1506" t="s">
        <v>81</v>
      </c>
      <c r="H1506">
        <v>7310</v>
      </c>
      <c r="I1506" t="s">
        <v>39</v>
      </c>
      <c r="J1506" t="b">
        <v>0</v>
      </c>
      <c r="K1506">
        <v>60</v>
      </c>
      <c r="L1506">
        <v>2</v>
      </c>
      <c r="M1506">
        <v>2026</v>
      </c>
      <c r="N1506">
        <v>6</v>
      </c>
      <c r="O1506">
        <v>12</v>
      </c>
      <c r="P1506">
        <v>2025</v>
      </c>
      <c r="Q1506">
        <v>2</v>
      </c>
      <c r="R1506" t="s">
        <v>66</v>
      </c>
      <c r="S1506" t="s">
        <v>55</v>
      </c>
      <c r="T1506" t="s">
        <v>42</v>
      </c>
      <c r="U1506" t="s">
        <v>40</v>
      </c>
      <c r="V1506" t="s">
        <v>124</v>
      </c>
      <c r="W1506" t="s">
        <v>125</v>
      </c>
      <c r="X1506" t="s">
        <v>126</v>
      </c>
      <c r="Y1506">
        <v>85</v>
      </c>
      <c r="Z1506" t="s">
        <v>133</v>
      </c>
      <c r="AA1506" t="s">
        <v>134</v>
      </c>
      <c r="AB1506" s="1">
        <v>46054</v>
      </c>
      <c r="AC1506" t="s">
        <v>66</v>
      </c>
      <c r="AD1506" t="s">
        <v>40</v>
      </c>
      <c r="AE1506" t="s">
        <v>60</v>
      </c>
      <c r="AF1506" t="s">
        <v>40</v>
      </c>
      <c r="AG1506">
        <v>0</v>
      </c>
      <c r="AH1506" t="s">
        <v>61</v>
      </c>
    </row>
    <row r="1507" spans="1:34" x14ac:dyDescent="0.3">
      <c r="A1507" t="s">
        <v>2206</v>
      </c>
      <c r="B1507" t="s">
        <v>797</v>
      </c>
      <c r="C1507" t="s">
        <v>146</v>
      </c>
      <c r="D1507" t="s">
        <v>104</v>
      </c>
      <c r="E1507" s="1">
        <v>46193</v>
      </c>
      <c r="F1507" s="1">
        <v>46196</v>
      </c>
      <c r="G1507" t="s">
        <v>38</v>
      </c>
      <c r="H1507">
        <v>3621</v>
      </c>
      <c r="I1507" t="s">
        <v>65</v>
      </c>
      <c r="J1507" t="b">
        <v>0</v>
      </c>
      <c r="K1507">
        <v>3</v>
      </c>
      <c r="L1507">
        <v>6</v>
      </c>
      <c r="M1507">
        <v>2026</v>
      </c>
      <c r="N1507">
        <v>1</v>
      </c>
      <c r="O1507">
        <v>6</v>
      </c>
      <c r="P1507">
        <v>2026</v>
      </c>
      <c r="Q1507">
        <v>5</v>
      </c>
      <c r="R1507" t="s">
        <v>40</v>
      </c>
      <c r="S1507" t="s">
        <v>45</v>
      </c>
      <c r="T1507" t="s">
        <v>42</v>
      </c>
      <c r="U1507" t="s">
        <v>66</v>
      </c>
      <c r="V1507" t="s">
        <v>147</v>
      </c>
      <c r="W1507" t="s">
        <v>148</v>
      </c>
      <c r="X1507" t="s">
        <v>45</v>
      </c>
      <c r="Y1507">
        <v>160</v>
      </c>
      <c r="Z1507" t="s">
        <v>107</v>
      </c>
      <c r="AA1507" t="s">
        <v>108</v>
      </c>
      <c r="AB1507" s="1">
        <v>46196</v>
      </c>
      <c r="AC1507" t="s">
        <v>40</v>
      </c>
      <c r="AD1507" t="s">
        <v>40</v>
      </c>
      <c r="AE1507" t="s">
        <v>60</v>
      </c>
      <c r="AF1507" t="s">
        <v>40</v>
      </c>
      <c r="AG1507">
        <v>0</v>
      </c>
      <c r="AH1507" t="s">
        <v>100</v>
      </c>
    </row>
    <row r="1508" spans="1:34" x14ac:dyDescent="0.3">
      <c r="A1508" t="s">
        <v>2207</v>
      </c>
      <c r="B1508" t="s">
        <v>795</v>
      </c>
      <c r="C1508" t="s">
        <v>36</v>
      </c>
      <c r="D1508" t="s">
        <v>80</v>
      </c>
      <c r="E1508" s="1">
        <v>45909</v>
      </c>
      <c r="F1508" s="1">
        <v>45939</v>
      </c>
      <c r="G1508" t="s">
        <v>41</v>
      </c>
      <c r="H1508">
        <v>36805</v>
      </c>
      <c r="I1508" t="s">
        <v>39</v>
      </c>
      <c r="J1508" t="b">
        <v>0</v>
      </c>
      <c r="K1508">
        <v>30</v>
      </c>
      <c r="L1508">
        <v>10</v>
      </c>
      <c r="M1508">
        <v>2025</v>
      </c>
      <c r="N1508">
        <v>3</v>
      </c>
      <c r="O1508">
        <v>9</v>
      </c>
      <c r="P1508">
        <v>2025</v>
      </c>
      <c r="Q1508">
        <v>1</v>
      </c>
      <c r="R1508" t="s">
        <v>40</v>
      </c>
      <c r="S1508" t="s">
        <v>41</v>
      </c>
      <c r="T1508" t="s">
        <v>42</v>
      </c>
      <c r="U1508" t="s">
        <v>40</v>
      </c>
      <c r="V1508" t="s">
        <v>43</v>
      </c>
      <c r="W1508" t="s">
        <v>44</v>
      </c>
      <c r="X1508" t="s">
        <v>45</v>
      </c>
      <c r="Y1508">
        <v>150</v>
      </c>
      <c r="Z1508" t="s">
        <v>84</v>
      </c>
      <c r="AA1508" t="s">
        <v>85</v>
      </c>
      <c r="AB1508" s="1">
        <v>45939</v>
      </c>
      <c r="AC1508" t="s">
        <v>40</v>
      </c>
      <c r="AD1508" t="s">
        <v>40</v>
      </c>
      <c r="AE1508" t="s">
        <v>60</v>
      </c>
      <c r="AF1508" t="s">
        <v>40</v>
      </c>
      <c r="AG1508">
        <v>0</v>
      </c>
      <c r="AH1508" t="s">
        <v>70</v>
      </c>
    </row>
    <row r="1509" spans="1:34" x14ac:dyDescent="0.3">
      <c r="A1509" t="s">
        <v>2208</v>
      </c>
      <c r="B1509" t="s">
        <v>890</v>
      </c>
      <c r="C1509" t="s">
        <v>129</v>
      </c>
      <c r="D1509" t="s">
        <v>90</v>
      </c>
      <c r="E1509" s="1">
        <v>45765</v>
      </c>
      <c r="F1509" s="1">
        <v>45779</v>
      </c>
      <c r="G1509" t="s">
        <v>64</v>
      </c>
      <c r="H1509">
        <v>2846</v>
      </c>
      <c r="I1509" t="s">
        <v>39</v>
      </c>
      <c r="J1509" t="b">
        <v>0</v>
      </c>
      <c r="K1509">
        <v>14</v>
      </c>
      <c r="L1509">
        <v>5</v>
      </c>
      <c r="M1509">
        <v>2025</v>
      </c>
      <c r="N1509">
        <v>4</v>
      </c>
      <c r="O1509">
        <v>4</v>
      </c>
      <c r="P1509">
        <v>2025</v>
      </c>
      <c r="Q1509">
        <v>4</v>
      </c>
      <c r="R1509" t="s">
        <v>40</v>
      </c>
      <c r="S1509" t="s">
        <v>41</v>
      </c>
      <c r="T1509" t="s">
        <v>113</v>
      </c>
      <c r="U1509" t="s">
        <v>40</v>
      </c>
      <c r="V1509" t="s">
        <v>131</v>
      </c>
      <c r="W1509" t="s">
        <v>132</v>
      </c>
      <c r="X1509" t="s">
        <v>45</v>
      </c>
      <c r="Y1509">
        <v>110</v>
      </c>
      <c r="Z1509" t="s">
        <v>93</v>
      </c>
      <c r="AA1509" t="s">
        <v>94</v>
      </c>
      <c r="AB1509" s="1">
        <v>45779</v>
      </c>
      <c r="AC1509" t="s">
        <v>40</v>
      </c>
      <c r="AD1509" t="s">
        <v>40</v>
      </c>
      <c r="AE1509" t="s">
        <v>69</v>
      </c>
      <c r="AF1509" t="s">
        <v>40</v>
      </c>
      <c r="AG1509">
        <v>0</v>
      </c>
      <c r="AH1509" t="s">
        <v>70</v>
      </c>
    </row>
    <row r="1510" spans="1:34" x14ac:dyDescent="0.3">
      <c r="A1510" t="s">
        <v>2209</v>
      </c>
      <c r="B1510" t="s">
        <v>1003</v>
      </c>
      <c r="C1510" t="s">
        <v>36</v>
      </c>
      <c r="D1510" t="s">
        <v>37</v>
      </c>
      <c r="E1510" s="1">
        <v>46330</v>
      </c>
      <c r="F1510" s="1">
        <v>46337</v>
      </c>
      <c r="G1510" t="s">
        <v>64</v>
      </c>
      <c r="H1510">
        <v>4168</v>
      </c>
      <c r="I1510" t="s">
        <v>39</v>
      </c>
      <c r="J1510" t="b">
        <v>0</v>
      </c>
      <c r="K1510">
        <v>7</v>
      </c>
      <c r="L1510">
        <v>11</v>
      </c>
      <c r="M1510">
        <v>2026</v>
      </c>
      <c r="N1510">
        <v>2</v>
      </c>
      <c r="O1510">
        <v>11</v>
      </c>
      <c r="P1510">
        <v>2026</v>
      </c>
      <c r="Q1510">
        <v>2</v>
      </c>
      <c r="R1510" t="s">
        <v>40</v>
      </c>
      <c r="S1510" t="s">
        <v>41</v>
      </c>
      <c r="T1510" t="s">
        <v>42</v>
      </c>
      <c r="U1510" t="s">
        <v>66</v>
      </c>
      <c r="V1510" t="s">
        <v>43</v>
      </c>
      <c r="W1510" t="s">
        <v>44</v>
      </c>
      <c r="X1510" t="s">
        <v>45</v>
      </c>
      <c r="Y1510">
        <v>150</v>
      </c>
      <c r="Z1510" t="s">
        <v>46</v>
      </c>
      <c r="AA1510" t="s">
        <v>47</v>
      </c>
      <c r="AB1510" s="1">
        <v>46337</v>
      </c>
      <c r="AC1510" t="s">
        <v>40</v>
      </c>
      <c r="AD1510" t="s">
        <v>40</v>
      </c>
      <c r="AE1510" t="s">
        <v>86</v>
      </c>
      <c r="AF1510" t="s">
        <v>40</v>
      </c>
      <c r="AG1510">
        <v>0</v>
      </c>
      <c r="AH1510" t="s">
        <v>100</v>
      </c>
    </row>
    <row r="1511" spans="1:34" x14ac:dyDescent="0.3">
      <c r="A1511" t="s">
        <v>2210</v>
      </c>
      <c r="B1511" t="s">
        <v>500</v>
      </c>
      <c r="C1511" t="s">
        <v>36</v>
      </c>
      <c r="D1511" t="s">
        <v>80</v>
      </c>
      <c r="E1511" s="1">
        <v>45904</v>
      </c>
      <c r="F1511" s="1">
        <v>45964</v>
      </c>
      <c r="G1511" t="s">
        <v>64</v>
      </c>
      <c r="H1511">
        <v>2709</v>
      </c>
      <c r="I1511" t="s">
        <v>39</v>
      </c>
      <c r="J1511" t="b">
        <v>0</v>
      </c>
      <c r="K1511">
        <v>60</v>
      </c>
      <c r="L1511">
        <v>11</v>
      </c>
      <c r="M1511">
        <v>2025</v>
      </c>
      <c r="N1511">
        <v>0</v>
      </c>
      <c r="O1511">
        <v>9</v>
      </c>
      <c r="P1511">
        <v>2025</v>
      </c>
      <c r="Q1511">
        <v>3</v>
      </c>
      <c r="R1511" t="s">
        <v>40</v>
      </c>
      <c r="S1511" t="s">
        <v>41</v>
      </c>
      <c r="T1511" t="s">
        <v>42</v>
      </c>
      <c r="U1511" t="s">
        <v>40</v>
      </c>
      <c r="V1511" t="s">
        <v>43</v>
      </c>
      <c r="W1511" t="s">
        <v>44</v>
      </c>
      <c r="X1511" t="s">
        <v>45</v>
      </c>
      <c r="Y1511">
        <v>150</v>
      </c>
      <c r="Z1511" t="s">
        <v>84</v>
      </c>
      <c r="AA1511" t="s">
        <v>85</v>
      </c>
      <c r="AB1511" s="1">
        <v>45964</v>
      </c>
      <c r="AC1511" t="s">
        <v>40</v>
      </c>
      <c r="AD1511" t="s">
        <v>40</v>
      </c>
      <c r="AE1511" t="s">
        <v>86</v>
      </c>
      <c r="AF1511" t="s">
        <v>40</v>
      </c>
      <c r="AG1511">
        <v>0</v>
      </c>
      <c r="AH1511" t="s">
        <v>61</v>
      </c>
    </row>
    <row r="1512" spans="1:34" x14ac:dyDescent="0.3">
      <c r="A1512" t="s">
        <v>2211</v>
      </c>
      <c r="B1512" t="s">
        <v>150</v>
      </c>
      <c r="C1512" t="s">
        <v>79</v>
      </c>
      <c r="D1512" t="s">
        <v>130</v>
      </c>
      <c r="E1512" s="1">
        <v>45907</v>
      </c>
      <c r="F1512" s="1">
        <v>45967</v>
      </c>
      <c r="G1512" t="s">
        <v>64</v>
      </c>
      <c r="H1512">
        <v>2320</v>
      </c>
      <c r="I1512" t="s">
        <v>54</v>
      </c>
      <c r="J1512" t="b">
        <v>0</v>
      </c>
      <c r="K1512">
        <v>60</v>
      </c>
      <c r="L1512">
        <v>11</v>
      </c>
      <c r="M1512">
        <v>2025</v>
      </c>
      <c r="N1512">
        <v>3</v>
      </c>
      <c r="O1512">
        <v>9</v>
      </c>
      <c r="P1512">
        <v>2025</v>
      </c>
      <c r="Q1512">
        <v>6</v>
      </c>
      <c r="R1512" t="s">
        <v>40</v>
      </c>
      <c r="S1512" t="s">
        <v>55</v>
      </c>
      <c r="T1512" t="s">
        <v>139</v>
      </c>
      <c r="U1512" t="s">
        <v>40</v>
      </c>
      <c r="V1512" t="s">
        <v>82</v>
      </c>
      <c r="W1512" t="s">
        <v>83</v>
      </c>
      <c r="X1512" t="s">
        <v>76</v>
      </c>
      <c r="Y1512">
        <v>100</v>
      </c>
      <c r="Z1512" t="s">
        <v>133</v>
      </c>
      <c r="AA1512" t="s">
        <v>134</v>
      </c>
      <c r="AB1512" s="1">
        <v>45967</v>
      </c>
      <c r="AC1512" t="s">
        <v>40</v>
      </c>
      <c r="AD1512" t="s">
        <v>40</v>
      </c>
      <c r="AE1512" t="s">
        <v>86</v>
      </c>
      <c r="AF1512" t="s">
        <v>40</v>
      </c>
      <c r="AG1512">
        <v>1</v>
      </c>
      <c r="AH1512" t="s">
        <v>61</v>
      </c>
    </row>
    <row r="1513" spans="1:34" x14ac:dyDescent="0.3">
      <c r="A1513" t="s">
        <v>2212</v>
      </c>
      <c r="B1513" t="s">
        <v>1974</v>
      </c>
      <c r="C1513" t="s">
        <v>89</v>
      </c>
      <c r="D1513" t="s">
        <v>130</v>
      </c>
      <c r="E1513" s="1">
        <v>45701</v>
      </c>
      <c r="F1513" s="1">
        <v>45708</v>
      </c>
      <c r="G1513" t="s">
        <v>64</v>
      </c>
      <c r="H1513">
        <v>2813</v>
      </c>
      <c r="I1513" t="s">
        <v>65</v>
      </c>
      <c r="J1513" t="b">
        <v>0</v>
      </c>
      <c r="K1513">
        <v>7</v>
      </c>
      <c r="L1513">
        <v>2</v>
      </c>
      <c r="M1513">
        <v>2025</v>
      </c>
      <c r="N1513">
        <v>3</v>
      </c>
      <c r="O1513">
        <v>2</v>
      </c>
      <c r="P1513">
        <v>2025</v>
      </c>
      <c r="Q1513">
        <v>3</v>
      </c>
      <c r="R1513" t="s">
        <v>40</v>
      </c>
      <c r="S1513" t="s">
        <v>55</v>
      </c>
      <c r="T1513" t="s">
        <v>42</v>
      </c>
      <c r="U1513" t="s">
        <v>40</v>
      </c>
      <c r="V1513" t="s">
        <v>91</v>
      </c>
      <c r="W1513" t="s">
        <v>92</v>
      </c>
      <c r="X1513" t="s">
        <v>76</v>
      </c>
      <c r="Y1513">
        <v>65</v>
      </c>
      <c r="Z1513" t="s">
        <v>133</v>
      </c>
      <c r="AA1513" t="s">
        <v>134</v>
      </c>
      <c r="AB1513" s="1">
        <v>45708</v>
      </c>
      <c r="AC1513" t="s">
        <v>40</v>
      </c>
      <c r="AD1513" t="s">
        <v>40</v>
      </c>
      <c r="AE1513" t="s">
        <v>60</v>
      </c>
      <c r="AF1513" t="s">
        <v>40</v>
      </c>
      <c r="AG1513">
        <v>0</v>
      </c>
      <c r="AH1513" t="s">
        <v>100</v>
      </c>
    </row>
    <row r="1514" spans="1:34" x14ac:dyDescent="0.3">
      <c r="A1514" t="s">
        <v>2213</v>
      </c>
      <c r="B1514" t="s">
        <v>1450</v>
      </c>
      <c r="C1514" t="s">
        <v>122</v>
      </c>
      <c r="D1514" t="s">
        <v>90</v>
      </c>
      <c r="E1514" s="1">
        <v>46046</v>
      </c>
      <c r="F1514" s="1">
        <v>46106</v>
      </c>
      <c r="G1514" t="s">
        <v>38</v>
      </c>
      <c r="H1514">
        <v>4388</v>
      </c>
      <c r="I1514" t="s">
        <v>39</v>
      </c>
      <c r="J1514" t="b">
        <v>0</v>
      </c>
      <c r="K1514">
        <v>60</v>
      </c>
      <c r="L1514">
        <v>3</v>
      </c>
      <c r="M1514">
        <v>2026</v>
      </c>
      <c r="N1514">
        <v>2</v>
      </c>
      <c r="O1514">
        <v>1</v>
      </c>
      <c r="P1514">
        <v>2026</v>
      </c>
      <c r="Q1514">
        <v>5</v>
      </c>
      <c r="R1514" t="s">
        <v>40</v>
      </c>
      <c r="S1514" t="s">
        <v>45</v>
      </c>
      <c r="T1514" t="s">
        <v>42</v>
      </c>
      <c r="U1514" t="s">
        <v>40</v>
      </c>
      <c r="V1514" t="s">
        <v>124</v>
      </c>
      <c r="W1514" t="s">
        <v>125</v>
      </c>
      <c r="X1514" t="s">
        <v>126</v>
      </c>
      <c r="Y1514">
        <v>85</v>
      </c>
      <c r="Z1514" t="s">
        <v>93</v>
      </c>
      <c r="AA1514" t="s">
        <v>94</v>
      </c>
      <c r="AB1514" s="1">
        <v>46106</v>
      </c>
      <c r="AC1514" t="s">
        <v>40</v>
      </c>
      <c r="AD1514" t="s">
        <v>40</v>
      </c>
      <c r="AE1514" t="s">
        <v>60</v>
      </c>
      <c r="AF1514" t="s">
        <v>40</v>
      </c>
      <c r="AG1514">
        <v>0</v>
      </c>
      <c r="AH1514" t="s">
        <v>61</v>
      </c>
    </row>
    <row r="1515" spans="1:34" x14ac:dyDescent="0.3">
      <c r="A1515" t="s">
        <v>2214</v>
      </c>
      <c r="B1515" t="s">
        <v>450</v>
      </c>
      <c r="C1515" t="s">
        <v>73</v>
      </c>
      <c r="D1515" t="s">
        <v>80</v>
      </c>
      <c r="E1515" s="1">
        <v>45719</v>
      </c>
      <c r="F1515" s="1">
        <v>45779</v>
      </c>
      <c r="G1515" t="s">
        <v>81</v>
      </c>
      <c r="H1515">
        <v>7240</v>
      </c>
      <c r="I1515" t="s">
        <v>65</v>
      </c>
      <c r="J1515" t="b">
        <v>0</v>
      </c>
      <c r="K1515">
        <v>60</v>
      </c>
      <c r="L1515">
        <v>5</v>
      </c>
      <c r="M1515">
        <v>2025</v>
      </c>
      <c r="N1515">
        <v>4</v>
      </c>
      <c r="O1515">
        <v>3</v>
      </c>
      <c r="P1515">
        <v>2025</v>
      </c>
      <c r="Q1515">
        <v>0</v>
      </c>
      <c r="R1515" t="s">
        <v>40</v>
      </c>
      <c r="S1515" t="s">
        <v>45</v>
      </c>
      <c r="T1515" t="s">
        <v>42</v>
      </c>
      <c r="U1515" t="s">
        <v>66</v>
      </c>
      <c r="V1515" t="s">
        <v>74</v>
      </c>
      <c r="W1515" t="s">
        <v>75</v>
      </c>
      <c r="X1515" t="s">
        <v>76</v>
      </c>
      <c r="Y1515">
        <v>75</v>
      </c>
      <c r="Z1515" t="s">
        <v>84</v>
      </c>
      <c r="AA1515" t="s">
        <v>85</v>
      </c>
      <c r="AB1515" s="1">
        <v>45779</v>
      </c>
      <c r="AC1515" t="s">
        <v>40</v>
      </c>
      <c r="AD1515" t="s">
        <v>40</v>
      </c>
      <c r="AE1515" t="s">
        <v>69</v>
      </c>
      <c r="AF1515" t="s">
        <v>40</v>
      </c>
      <c r="AG1515">
        <v>0</v>
      </c>
      <c r="AH1515" t="s">
        <v>61</v>
      </c>
    </row>
    <row r="1516" spans="1:34" x14ac:dyDescent="0.3">
      <c r="A1516" t="s">
        <v>2215</v>
      </c>
      <c r="B1516" t="s">
        <v>2004</v>
      </c>
      <c r="C1516" t="s">
        <v>129</v>
      </c>
      <c r="D1516" t="s">
        <v>53</v>
      </c>
      <c r="E1516" s="1">
        <v>46053</v>
      </c>
      <c r="F1516" s="1">
        <v>46153</v>
      </c>
      <c r="G1516" t="s">
        <v>38</v>
      </c>
      <c r="H1516">
        <v>5826</v>
      </c>
      <c r="I1516" t="s">
        <v>39</v>
      </c>
      <c r="J1516" t="b">
        <v>0</v>
      </c>
      <c r="K1516">
        <v>100</v>
      </c>
      <c r="L1516">
        <v>5</v>
      </c>
      <c r="M1516">
        <v>2026</v>
      </c>
      <c r="N1516">
        <v>0</v>
      </c>
      <c r="O1516">
        <v>1</v>
      </c>
      <c r="P1516">
        <v>2026</v>
      </c>
      <c r="Q1516">
        <v>5</v>
      </c>
      <c r="R1516" t="s">
        <v>40</v>
      </c>
      <c r="S1516" t="s">
        <v>41</v>
      </c>
      <c r="T1516" t="s">
        <v>113</v>
      </c>
      <c r="U1516" t="s">
        <v>40</v>
      </c>
      <c r="V1516" t="s">
        <v>131</v>
      </c>
      <c r="W1516" t="s">
        <v>132</v>
      </c>
      <c r="X1516" t="s">
        <v>45</v>
      </c>
      <c r="Y1516">
        <v>110</v>
      </c>
      <c r="Z1516" t="s">
        <v>58</v>
      </c>
      <c r="AA1516" t="s">
        <v>59</v>
      </c>
      <c r="AB1516" s="1">
        <v>46153</v>
      </c>
      <c r="AC1516" t="s">
        <v>40</v>
      </c>
      <c r="AD1516" t="s">
        <v>40</v>
      </c>
      <c r="AE1516" t="s">
        <v>69</v>
      </c>
      <c r="AF1516" t="s">
        <v>40</v>
      </c>
      <c r="AG1516">
        <v>0</v>
      </c>
      <c r="AH1516" t="s">
        <v>49</v>
      </c>
    </row>
    <row r="1517" spans="1:34" x14ac:dyDescent="0.3">
      <c r="A1517" t="s">
        <v>2216</v>
      </c>
      <c r="B1517" t="s">
        <v>822</v>
      </c>
      <c r="C1517" t="s">
        <v>73</v>
      </c>
      <c r="D1517" t="s">
        <v>104</v>
      </c>
      <c r="E1517" s="1">
        <v>46353</v>
      </c>
      <c r="F1517" s="1">
        <v>46383</v>
      </c>
      <c r="G1517" t="s">
        <v>38</v>
      </c>
      <c r="H1517">
        <v>4482</v>
      </c>
      <c r="I1517" t="s">
        <v>54</v>
      </c>
      <c r="J1517" t="b">
        <v>0</v>
      </c>
      <c r="K1517">
        <v>30</v>
      </c>
      <c r="L1517">
        <v>12</v>
      </c>
      <c r="M1517">
        <v>2026</v>
      </c>
      <c r="N1517">
        <v>6</v>
      </c>
      <c r="O1517">
        <v>11</v>
      </c>
      <c r="P1517">
        <v>2026</v>
      </c>
      <c r="Q1517">
        <v>4</v>
      </c>
      <c r="R1517" t="s">
        <v>66</v>
      </c>
      <c r="S1517" t="s">
        <v>45</v>
      </c>
      <c r="T1517" t="s">
        <v>42</v>
      </c>
      <c r="U1517" t="s">
        <v>40</v>
      </c>
      <c r="V1517" t="s">
        <v>74</v>
      </c>
      <c r="W1517" t="s">
        <v>75</v>
      </c>
      <c r="X1517" t="s">
        <v>76</v>
      </c>
      <c r="Y1517">
        <v>75</v>
      </c>
      <c r="Z1517" t="s">
        <v>107</v>
      </c>
      <c r="AA1517" t="s">
        <v>108</v>
      </c>
      <c r="AB1517" s="1">
        <v>46383</v>
      </c>
      <c r="AC1517" t="s">
        <v>66</v>
      </c>
      <c r="AD1517" t="s">
        <v>40</v>
      </c>
      <c r="AE1517" t="s">
        <v>69</v>
      </c>
      <c r="AF1517" t="s">
        <v>40</v>
      </c>
      <c r="AG1517">
        <v>1</v>
      </c>
      <c r="AH1517" t="s">
        <v>70</v>
      </c>
    </row>
    <row r="1518" spans="1:34" x14ac:dyDescent="0.3">
      <c r="A1518" t="s">
        <v>2217</v>
      </c>
      <c r="B1518" t="s">
        <v>1244</v>
      </c>
      <c r="C1518" t="s">
        <v>146</v>
      </c>
      <c r="D1518" t="s">
        <v>80</v>
      </c>
      <c r="E1518" s="1">
        <v>46089</v>
      </c>
      <c r="F1518" s="1">
        <v>46309</v>
      </c>
      <c r="G1518" t="s">
        <v>41</v>
      </c>
      <c r="H1518">
        <v>6208</v>
      </c>
      <c r="I1518" t="s">
        <v>54</v>
      </c>
      <c r="J1518" t="b">
        <v>0</v>
      </c>
      <c r="K1518">
        <v>220</v>
      </c>
      <c r="L1518">
        <v>10</v>
      </c>
      <c r="M1518">
        <v>2026</v>
      </c>
      <c r="N1518">
        <v>2</v>
      </c>
      <c r="O1518">
        <v>3</v>
      </c>
      <c r="P1518">
        <v>2026</v>
      </c>
      <c r="Q1518">
        <v>6</v>
      </c>
      <c r="R1518" t="s">
        <v>40</v>
      </c>
      <c r="S1518" t="s">
        <v>45</v>
      </c>
      <c r="T1518" t="s">
        <v>113</v>
      </c>
      <c r="U1518" t="s">
        <v>40</v>
      </c>
      <c r="V1518" t="s">
        <v>147</v>
      </c>
      <c r="W1518" t="s">
        <v>148</v>
      </c>
      <c r="X1518" t="s">
        <v>45</v>
      </c>
      <c r="Y1518">
        <v>160</v>
      </c>
      <c r="Z1518" t="s">
        <v>84</v>
      </c>
      <c r="AA1518" t="s">
        <v>85</v>
      </c>
      <c r="AB1518" s="1">
        <v>46309</v>
      </c>
      <c r="AC1518" t="s">
        <v>40</v>
      </c>
      <c r="AD1518" t="s">
        <v>40</v>
      </c>
      <c r="AE1518" t="s">
        <v>60</v>
      </c>
      <c r="AF1518" t="s">
        <v>40</v>
      </c>
      <c r="AG1518">
        <v>1</v>
      </c>
      <c r="AH1518" t="s">
        <v>142</v>
      </c>
    </row>
    <row r="1519" spans="1:34" x14ac:dyDescent="0.3">
      <c r="A1519" t="s">
        <v>2218</v>
      </c>
      <c r="B1519" t="s">
        <v>567</v>
      </c>
      <c r="C1519" t="s">
        <v>169</v>
      </c>
      <c r="D1519" t="s">
        <v>130</v>
      </c>
      <c r="E1519" s="1">
        <v>46357</v>
      </c>
      <c r="F1519" s="1">
        <v>46371</v>
      </c>
      <c r="G1519" t="s">
        <v>64</v>
      </c>
      <c r="H1519">
        <v>3476</v>
      </c>
      <c r="I1519" t="s">
        <v>65</v>
      </c>
      <c r="J1519" t="b">
        <v>0</v>
      </c>
      <c r="K1519">
        <v>14</v>
      </c>
      <c r="L1519">
        <v>12</v>
      </c>
      <c r="M1519">
        <v>2026</v>
      </c>
      <c r="N1519">
        <v>1</v>
      </c>
      <c r="O1519">
        <v>12</v>
      </c>
      <c r="P1519">
        <v>2026</v>
      </c>
      <c r="Q1519">
        <v>1</v>
      </c>
      <c r="R1519" t="s">
        <v>40</v>
      </c>
      <c r="S1519" t="s">
        <v>45</v>
      </c>
      <c r="T1519" t="s">
        <v>42</v>
      </c>
      <c r="U1519" t="s">
        <v>40</v>
      </c>
      <c r="V1519" t="s">
        <v>170</v>
      </c>
      <c r="W1519" t="s">
        <v>171</v>
      </c>
      <c r="X1519" t="s">
        <v>126</v>
      </c>
      <c r="Y1519">
        <v>90</v>
      </c>
      <c r="Z1519" t="s">
        <v>133</v>
      </c>
      <c r="AA1519" t="s">
        <v>134</v>
      </c>
      <c r="AB1519" s="1">
        <v>46371</v>
      </c>
      <c r="AC1519" t="s">
        <v>40</v>
      </c>
      <c r="AD1519" t="s">
        <v>40</v>
      </c>
      <c r="AE1519" t="s">
        <v>69</v>
      </c>
      <c r="AF1519" t="s">
        <v>40</v>
      </c>
      <c r="AG1519">
        <v>0</v>
      </c>
      <c r="AH1519" t="s">
        <v>70</v>
      </c>
    </row>
    <row r="1520" spans="1:34" x14ac:dyDescent="0.3">
      <c r="A1520" t="s">
        <v>2219</v>
      </c>
      <c r="B1520" t="s">
        <v>1761</v>
      </c>
      <c r="C1520" t="s">
        <v>103</v>
      </c>
      <c r="D1520" t="s">
        <v>53</v>
      </c>
      <c r="E1520" s="1">
        <v>45701</v>
      </c>
      <c r="F1520" s="1">
        <v>45921</v>
      </c>
      <c r="G1520" t="s">
        <v>64</v>
      </c>
      <c r="H1520">
        <v>2586</v>
      </c>
      <c r="I1520" t="s">
        <v>39</v>
      </c>
      <c r="J1520" t="b">
        <v>0</v>
      </c>
      <c r="K1520">
        <v>220</v>
      </c>
      <c r="L1520">
        <v>9</v>
      </c>
      <c r="M1520">
        <v>2025</v>
      </c>
      <c r="N1520">
        <v>6</v>
      </c>
      <c r="O1520">
        <v>2</v>
      </c>
      <c r="P1520">
        <v>2025</v>
      </c>
      <c r="Q1520">
        <v>3</v>
      </c>
      <c r="R1520" t="s">
        <v>66</v>
      </c>
      <c r="S1520" t="s">
        <v>41</v>
      </c>
      <c r="T1520" t="s">
        <v>48</v>
      </c>
      <c r="U1520" t="s">
        <v>40</v>
      </c>
      <c r="V1520" t="s">
        <v>105</v>
      </c>
      <c r="W1520" t="s">
        <v>106</v>
      </c>
      <c r="X1520" t="s">
        <v>45</v>
      </c>
      <c r="Y1520">
        <v>140</v>
      </c>
      <c r="Z1520" t="s">
        <v>58</v>
      </c>
      <c r="AA1520" t="s">
        <v>59</v>
      </c>
      <c r="AB1520" s="1">
        <v>45921</v>
      </c>
      <c r="AC1520" t="s">
        <v>66</v>
      </c>
      <c r="AD1520" t="s">
        <v>40</v>
      </c>
      <c r="AE1520" t="s">
        <v>60</v>
      </c>
      <c r="AF1520" t="s">
        <v>40</v>
      </c>
      <c r="AG1520">
        <v>0</v>
      </c>
      <c r="AH1520" t="s">
        <v>142</v>
      </c>
    </row>
    <row r="1521" spans="1:34" x14ac:dyDescent="0.3">
      <c r="A1521" t="s">
        <v>2220</v>
      </c>
      <c r="B1521" t="s">
        <v>357</v>
      </c>
      <c r="C1521" t="s">
        <v>122</v>
      </c>
      <c r="D1521" t="s">
        <v>104</v>
      </c>
      <c r="E1521" s="1">
        <v>45871</v>
      </c>
      <c r="F1521" s="1">
        <v>45885</v>
      </c>
      <c r="G1521" t="s">
        <v>64</v>
      </c>
      <c r="H1521">
        <v>3497</v>
      </c>
      <c r="I1521" t="s">
        <v>39</v>
      </c>
      <c r="J1521" t="b">
        <v>0</v>
      </c>
      <c r="K1521">
        <v>14</v>
      </c>
      <c r="L1521">
        <v>8</v>
      </c>
      <c r="M1521">
        <v>2025</v>
      </c>
      <c r="N1521">
        <v>5</v>
      </c>
      <c r="O1521">
        <v>8</v>
      </c>
      <c r="P1521">
        <v>2025</v>
      </c>
      <c r="Q1521">
        <v>5</v>
      </c>
      <c r="R1521" t="s">
        <v>66</v>
      </c>
      <c r="S1521" t="s">
        <v>45</v>
      </c>
      <c r="T1521" t="s">
        <v>123</v>
      </c>
      <c r="U1521" t="s">
        <v>40</v>
      </c>
      <c r="V1521" t="s">
        <v>124</v>
      </c>
      <c r="W1521" t="s">
        <v>125</v>
      </c>
      <c r="X1521" t="s">
        <v>126</v>
      </c>
      <c r="Y1521">
        <v>85</v>
      </c>
      <c r="Z1521" t="s">
        <v>107</v>
      </c>
      <c r="AA1521" t="s">
        <v>108</v>
      </c>
      <c r="AB1521" s="1">
        <v>45885</v>
      </c>
      <c r="AC1521" t="s">
        <v>66</v>
      </c>
      <c r="AD1521" t="s">
        <v>40</v>
      </c>
      <c r="AE1521" t="s">
        <v>86</v>
      </c>
      <c r="AF1521" t="s">
        <v>40</v>
      </c>
      <c r="AG1521">
        <v>0</v>
      </c>
      <c r="AH1521" t="s">
        <v>70</v>
      </c>
    </row>
    <row r="1522" spans="1:34" x14ac:dyDescent="0.3">
      <c r="A1522" t="s">
        <v>2221</v>
      </c>
      <c r="B1522" t="s">
        <v>644</v>
      </c>
      <c r="C1522" t="s">
        <v>73</v>
      </c>
      <c r="D1522" t="s">
        <v>130</v>
      </c>
      <c r="E1522" s="1">
        <v>46247</v>
      </c>
      <c r="F1522" s="1">
        <v>46261</v>
      </c>
      <c r="G1522" t="s">
        <v>64</v>
      </c>
      <c r="H1522">
        <v>3214</v>
      </c>
      <c r="I1522" t="s">
        <v>65</v>
      </c>
      <c r="J1522" t="b">
        <v>0</v>
      </c>
      <c r="K1522">
        <v>14</v>
      </c>
      <c r="L1522">
        <v>8</v>
      </c>
      <c r="M1522">
        <v>2026</v>
      </c>
      <c r="N1522">
        <v>3</v>
      </c>
      <c r="O1522">
        <v>8</v>
      </c>
      <c r="P1522">
        <v>2026</v>
      </c>
      <c r="Q1522">
        <v>3</v>
      </c>
      <c r="R1522" t="s">
        <v>40</v>
      </c>
      <c r="S1522" t="s">
        <v>41</v>
      </c>
      <c r="T1522" t="s">
        <v>139</v>
      </c>
      <c r="U1522" t="s">
        <v>40</v>
      </c>
      <c r="V1522" t="s">
        <v>74</v>
      </c>
      <c r="W1522" t="s">
        <v>75</v>
      </c>
      <c r="X1522" t="s">
        <v>76</v>
      </c>
      <c r="Y1522">
        <v>75</v>
      </c>
      <c r="Z1522" t="s">
        <v>133</v>
      </c>
      <c r="AA1522" t="s">
        <v>134</v>
      </c>
      <c r="AB1522" s="1">
        <v>46261</v>
      </c>
      <c r="AC1522" t="s">
        <v>40</v>
      </c>
      <c r="AD1522" t="s">
        <v>40</v>
      </c>
      <c r="AE1522" t="s">
        <v>86</v>
      </c>
      <c r="AF1522" t="s">
        <v>40</v>
      </c>
      <c r="AG1522">
        <v>0</v>
      </c>
      <c r="AH1522" t="s">
        <v>70</v>
      </c>
    </row>
    <row r="1523" spans="1:34" x14ac:dyDescent="0.3">
      <c r="A1523" t="s">
        <v>2222</v>
      </c>
      <c r="B1523" t="s">
        <v>424</v>
      </c>
      <c r="C1523" t="s">
        <v>89</v>
      </c>
      <c r="D1523" t="s">
        <v>130</v>
      </c>
      <c r="E1523" s="1">
        <v>46241</v>
      </c>
      <c r="F1523" s="1">
        <v>46244</v>
      </c>
      <c r="G1523" t="s">
        <v>81</v>
      </c>
      <c r="H1523">
        <v>8708</v>
      </c>
      <c r="I1523" t="s">
        <v>39</v>
      </c>
      <c r="J1523" t="b">
        <v>0</v>
      </c>
      <c r="K1523">
        <v>3</v>
      </c>
      <c r="L1523">
        <v>8</v>
      </c>
      <c r="M1523">
        <v>2026</v>
      </c>
      <c r="N1523">
        <v>0</v>
      </c>
      <c r="O1523">
        <v>8</v>
      </c>
      <c r="P1523">
        <v>2026</v>
      </c>
      <c r="Q1523">
        <v>4</v>
      </c>
      <c r="R1523" t="s">
        <v>40</v>
      </c>
      <c r="S1523" t="s">
        <v>45</v>
      </c>
      <c r="T1523" t="s">
        <v>42</v>
      </c>
      <c r="U1523" t="s">
        <v>40</v>
      </c>
      <c r="V1523" t="s">
        <v>91</v>
      </c>
      <c r="W1523" t="s">
        <v>92</v>
      </c>
      <c r="X1523" t="s">
        <v>76</v>
      </c>
      <c r="Y1523">
        <v>65</v>
      </c>
      <c r="Z1523" t="s">
        <v>133</v>
      </c>
      <c r="AA1523" t="s">
        <v>134</v>
      </c>
      <c r="AB1523" s="1">
        <v>46244</v>
      </c>
      <c r="AC1523" t="s">
        <v>40</v>
      </c>
      <c r="AD1523" t="s">
        <v>40</v>
      </c>
      <c r="AE1523" t="s">
        <v>86</v>
      </c>
      <c r="AF1523" t="s">
        <v>40</v>
      </c>
      <c r="AG1523">
        <v>0</v>
      </c>
      <c r="AH1523" t="s">
        <v>100</v>
      </c>
    </row>
    <row r="1524" spans="1:34" x14ac:dyDescent="0.3">
      <c r="A1524" t="s">
        <v>2223</v>
      </c>
      <c r="B1524" t="s">
        <v>2224</v>
      </c>
      <c r="C1524" t="s">
        <v>79</v>
      </c>
      <c r="D1524" t="s">
        <v>80</v>
      </c>
      <c r="E1524" s="1">
        <v>46122</v>
      </c>
      <c r="F1524" s="1">
        <v>46125</v>
      </c>
      <c r="G1524" t="s">
        <v>41</v>
      </c>
      <c r="H1524">
        <v>5087</v>
      </c>
      <c r="I1524" t="s">
        <v>39</v>
      </c>
      <c r="J1524" t="b">
        <v>0</v>
      </c>
      <c r="K1524">
        <v>3</v>
      </c>
      <c r="L1524">
        <v>4</v>
      </c>
      <c r="M1524">
        <v>2026</v>
      </c>
      <c r="N1524">
        <v>0</v>
      </c>
      <c r="O1524">
        <v>4</v>
      </c>
      <c r="P1524">
        <v>2026</v>
      </c>
      <c r="Q1524">
        <v>4</v>
      </c>
      <c r="R1524" t="s">
        <v>40</v>
      </c>
      <c r="S1524" t="s">
        <v>41</v>
      </c>
      <c r="T1524" t="s">
        <v>42</v>
      </c>
      <c r="U1524" t="s">
        <v>66</v>
      </c>
      <c r="V1524" t="s">
        <v>82</v>
      </c>
      <c r="W1524" t="s">
        <v>83</v>
      </c>
      <c r="X1524" t="s">
        <v>76</v>
      </c>
      <c r="Y1524">
        <v>100</v>
      </c>
      <c r="Z1524" t="s">
        <v>84</v>
      </c>
      <c r="AA1524" t="s">
        <v>85</v>
      </c>
      <c r="AB1524" s="1">
        <v>46125</v>
      </c>
      <c r="AC1524" t="s">
        <v>40</v>
      </c>
      <c r="AD1524" t="s">
        <v>40</v>
      </c>
      <c r="AE1524" t="s">
        <v>69</v>
      </c>
      <c r="AF1524" t="s">
        <v>40</v>
      </c>
      <c r="AG1524">
        <v>0</v>
      </c>
      <c r="AH1524" t="s">
        <v>100</v>
      </c>
    </row>
    <row r="1525" spans="1:34" x14ac:dyDescent="0.3">
      <c r="A1525" t="s">
        <v>2225</v>
      </c>
      <c r="B1525" t="s">
        <v>1496</v>
      </c>
      <c r="C1525" t="s">
        <v>36</v>
      </c>
      <c r="D1525" t="s">
        <v>130</v>
      </c>
      <c r="E1525" s="1">
        <v>46050</v>
      </c>
      <c r="F1525" s="1">
        <v>46150</v>
      </c>
      <c r="G1525" t="s">
        <v>81</v>
      </c>
      <c r="H1525">
        <v>8206</v>
      </c>
      <c r="I1525" t="s">
        <v>39</v>
      </c>
      <c r="J1525" t="b">
        <v>0</v>
      </c>
      <c r="K1525">
        <v>100</v>
      </c>
      <c r="L1525">
        <v>5</v>
      </c>
      <c r="M1525">
        <v>2026</v>
      </c>
      <c r="N1525">
        <v>4</v>
      </c>
      <c r="O1525">
        <v>1</v>
      </c>
      <c r="P1525">
        <v>2026</v>
      </c>
      <c r="Q1525">
        <v>2</v>
      </c>
      <c r="R1525" t="s">
        <v>40</v>
      </c>
      <c r="S1525" t="s">
        <v>41</v>
      </c>
      <c r="T1525" t="s">
        <v>113</v>
      </c>
      <c r="U1525" t="s">
        <v>66</v>
      </c>
      <c r="V1525" t="s">
        <v>43</v>
      </c>
      <c r="W1525" t="s">
        <v>44</v>
      </c>
      <c r="X1525" t="s">
        <v>45</v>
      </c>
      <c r="Y1525">
        <v>150</v>
      </c>
      <c r="Z1525" t="s">
        <v>133</v>
      </c>
      <c r="AA1525" t="s">
        <v>134</v>
      </c>
      <c r="AB1525" s="1">
        <v>46150</v>
      </c>
      <c r="AC1525" t="s">
        <v>40</v>
      </c>
      <c r="AD1525" t="s">
        <v>40</v>
      </c>
      <c r="AE1525" t="s">
        <v>69</v>
      </c>
      <c r="AF1525" t="s">
        <v>40</v>
      </c>
      <c r="AG1525">
        <v>0</v>
      </c>
      <c r="AH1525" t="s">
        <v>49</v>
      </c>
    </row>
    <row r="1526" spans="1:34" x14ac:dyDescent="0.3">
      <c r="A1526" t="s">
        <v>2226</v>
      </c>
      <c r="B1526" t="s">
        <v>769</v>
      </c>
      <c r="C1526" t="s">
        <v>73</v>
      </c>
      <c r="D1526" t="s">
        <v>80</v>
      </c>
      <c r="E1526" s="1">
        <v>46139</v>
      </c>
      <c r="F1526" s="1">
        <v>46153</v>
      </c>
      <c r="G1526" t="s">
        <v>81</v>
      </c>
      <c r="H1526">
        <v>8256</v>
      </c>
      <c r="I1526" t="s">
        <v>39</v>
      </c>
      <c r="J1526" t="b">
        <v>0</v>
      </c>
      <c r="K1526">
        <v>14</v>
      </c>
      <c r="L1526">
        <v>5</v>
      </c>
      <c r="M1526">
        <v>2026</v>
      </c>
      <c r="N1526">
        <v>0</v>
      </c>
      <c r="O1526">
        <v>4</v>
      </c>
      <c r="P1526">
        <v>2026</v>
      </c>
      <c r="Q1526">
        <v>0</v>
      </c>
      <c r="R1526" t="s">
        <v>40</v>
      </c>
      <c r="S1526" t="s">
        <v>41</v>
      </c>
      <c r="T1526" t="s">
        <v>42</v>
      </c>
      <c r="U1526" t="s">
        <v>40</v>
      </c>
      <c r="V1526" t="s">
        <v>74</v>
      </c>
      <c r="W1526" t="s">
        <v>75</v>
      </c>
      <c r="X1526" t="s">
        <v>76</v>
      </c>
      <c r="Y1526">
        <v>75</v>
      </c>
      <c r="Z1526" t="s">
        <v>84</v>
      </c>
      <c r="AA1526" t="s">
        <v>85</v>
      </c>
      <c r="AB1526" s="1">
        <v>46153</v>
      </c>
      <c r="AC1526" t="s">
        <v>40</v>
      </c>
      <c r="AD1526" t="s">
        <v>40</v>
      </c>
      <c r="AE1526" t="s">
        <v>69</v>
      </c>
      <c r="AF1526" t="s">
        <v>40</v>
      </c>
      <c r="AG1526">
        <v>0</v>
      </c>
      <c r="AH1526" t="s">
        <v>70</v>
      </c>
    </row>
    <row r="1527" spans="1:34" x14ac:dyDescent="0.3">
      <c r="A1527" t="s">
        <v>2227</v>
      </c>
      <c r="B1527" t="s">
        <v>673</v>
      </c>
      <c r="C1527" t="s">
        <v>36</v>
      </c>
      <c r="D1527" t="s">
        <v>90</v>
      </c>
      <c r="E1527" s="1">
        <v>45666</v>
      </c>
      <c r="F1527" s="1">
        <v>45696</v>
      </c>
      <c r="G1527" t="s">
        <v>64</v>
      </c>
      <c r="H1527">
        <v>2595</v>
      </c>
      <c r="I1527" t="s">
        <v>54</v>
      </c>
      <c r="J1527" t="b">
        <v>0</v>
      </c>
      <c r="K1527">
        <v>30</v>
      </c>
      <c r="L1527">
        <v>2</v>
      </c>
      <c r="M1527">
        <v>2025</v>
      </c>
      <c r="N1527">
        <v>5</v>
      </c>
      <c r="O1527">
        <v>1</v>
      </c>
      <c r="P1527">
        <v>2025</v>
      </c>
      <c r="Q1527">
        <v>3</v>
      </c>
      <c r="R1527" t="s">
        <v>66</v>
      </c>
      <c r="S1527" t="s">
        <v>55</v>
      </c>
      <c r="T1527" t="s">
        <v>42</v>
      </c>
      <c r="U1527" t="s">
        <v>40</v>
      </c>
      <c r="V1527" t="s">
        <v>43</v>
      </c>
      <c r="W1527" t="s">
        <v>44</v>
      </c>
      <c r="X1527" t="s">
        <v>45</v>
      </c>
      <c r="Y1527">
        <v>150</v>
      </c>
      <c r="Z1527" t="s">
        <v>93</v>
      </c>
      <c r="AA1527" t="s">
        <v>94</v>
      </c>
      <c r="AB1527" s="1">
        <v>45696</v>
      </c>
      <c r="AC1527" t="s">
        <v>66</v>
      </c>
      <c r="AD1527" t="s">
        <v>40</v>
      </c>
      <c r="AE1527" t="s">
        <v>60</v>
      </c>
      <c r="AF1527" t="s">
        <v>40</v>
      </c>
      <c r="AG1527">
        <v>1</v>
      </c>
      <c r="AH1527" t="s">
        <v>70</v>
      </c>
    </row>
    <row r="1528" spans="1:34" x14ac:dyDescent="0.3">
      <c r="A1528" t="s">
        <v>2228</v>
      </c>
      <c r="B1528" t="s">
        <v>1834</v>
      </c>
      <c r="C1528" t="s">
        <v>97</v>
      </c>
      <c r="D1528" t="s">
        <v>104</v>
      </c>
      <c r="E1528" s="1">
        <v>45794</v>
      </c>
      <c r="F1528" s="1">
        <v>45808</v>
      </c>
      <c r="G1528" t="s">
        <v>38</v>
      </c>
      <c r="H1528">
        <v>4573</v>
      </c>
      <c r="I1528" t="s">
        <v>39</v>
      </c>
      <c r="J1528" t="b">
        <v>0</v>
      </c>
      <c r="K1528">
        <v>14</v>
      </c>
      <c r="L1528">
        <v>5</v>
      </c>
      <c r="M1528">
        <v>2025</v>
      </c>
      <c r="N1528">
        <v>5</v>
      </c>
      <c r="O1528">
        <v>5</v>
      </c>
      <c r="P1528">
        <v>2025</v>
      </c>
      <c r="Q1528">
        <v>5</v>
      </c>
      <c r="R1528" t="s">
        <v>66</v>
      </c>
      <c r="S1528" t="s">
        <v>55</v>
      </c>
      <c r="T1528" t="s">
        <v>42</v>
      </c>
      <c r="U1528" t="s">
        <v>40</v>
      </c>
      <c r="V1528" t="s">
        <v>98</v>
      </c>
      <c r="W1528" t="s">
        <v>99</v>
      </c>
      <c r="X1528" t="s">
        <v>76</v>
      </c>
      <c r="Y1528">
        <v>80</v>
      </c>
      <c r="Z1528" t="s">
        <v>107</v>
      </c>
      <c r="AA1528" t="s">
        <v>108</v>
      </c>
      <c r="AB1528" s="1">
        <v>45808</v>
      </c>
      <c r="AC1528" t="s">
        <v>66</v>
      </c>
      <c r="AD1528" t="s">
        <v>40</v>
      </c>
      <c r="AE1528" t="s">
        <v>69</v>
      </c>
      <c r="AF1528" t="s">
        <v>40</v>
      </c>
      <c r="AG1528">
        <v>0</v>
      </c>
      <c r="AH1528" t="s">
        <v>70</v>
      </c>
    </row>
    <row r="1529" spans="1:34" x14ac:dyDescent="0.3">
      <c r="A1529" t="s">
        <v>2229</v>
      </c>
      <c r="B1529" t="s">
        <v>1558</v>
      </c>
      <c r="C1529" t="s">
        <v>155</v>
      </c>
      <c r="D1529" t="s">
        <v>130</v>
      </c>
      <c r="E1529" s="1">
        <v>46326</v>
      </c>
      <c r="F1529" s="1">
        <v>46340</v>
      </c>
      <c r="G1529" t="s">
        <v>41</v>
      </c>
      <c r="H1529">
        <v>5271</v>
      </c>
      <c r="I1529" t="s">
        <v>39</v>
      </c>
      <c r="J1529" t="b">
        <v>0</v>
      </c>
      <c r="K1529">
        <v>14</v>
      </c>
      <c r="L1529">
        <v>11</v>
      </c>
      <c r="M1529">
        <v>2026</v>
      </c>
      <c r="N1529">
        <v>5</v>
      </c>
      <c r="O1529">
        <v>10</v>
      </c>
      <c r="P1529">
        <v>2026</v>
      </c>
      <c r="Q1529">
        <v>5</v>
      </c>
      <c r="R1529" t="s">
        <v>66</v>
      </c>
      <c r="S1529" t="s">
        <v>67</v>
      </c>
      <c r="T1529" t="s">
        <v>42</v>
      </c>
      <c r="U1529" t="s">
        <v>66</v>
      </c>
      <c r="V1529" t="s">
        <v>156</v>
      </c>
      <c r="W1529" t="s">
        <v>157</v>
      </c>
      <c r="X1529" t="s">
        <v>158</v>
      </c>
      <c r="Y1529">
        <v>70</v>
      </c>
      <c r="Z1529" t="s">
        <v>133</v>
      </c>
      <c r="AA1529" t="s">
        <v>134</v>
      </c>
      <c r="AB1529" s="1">
        <v>46340</v>
      </c>
      <c r="AC1529" t="s">
        <v>66</v>
      </c>
      <c r="AD1529" t="s">
        <v>40</v>
      </c>
      <c r="AE1529" t="s">
        <v>86</v>
      </c>
      <c r="AF1529" t="s">
        <v>40</v>
      </c>
      <c r="AG1529">
        <v>0</v>
      </c>
      <c r="AH1529" t="s">
        <v>70</v>
      </c>
    </row>
    <row r="1530" spans="1:34" x14ac:dyDescent="0.3">
      <c r="A1530" t="s">
        <v>2230</v>
      </c>
      <c r="B1530" t="s">
        <v>88</v>
      </c>
      <c r="C1530" t="s">
        <v>89</v>
      </c>
      <c r="D1530" t="s">
        <v>53</v>
      </c>
      <c r="E1530" s="1">
        <v>45760</v>
      </c>
      <c r="F1530" s="1">
        <v>45790</v>
      </c>
      <c r="G1530" t="s">
        <v>38</v>
      </c>
      <c r="H1530">
        <v>4483</v>
      </c>
      <c r="I1530" t="s">
        <v>65</v>
      </c>
      <c r="J1530" t="b">
        <v>0</v>
      </c>
      <c r="K1530">
        <v>30</v>
      </c>
      <c r="L1530">
        <v>5</v>
      </c>
      <c r="M1530">
        <v>2025</v>
      </c>
      <c r="N1530">
        <v>1</v>
      </c>
      <c r="O1530">
        <v>4</v>
      </c>
      <c r="P1530">
        <v>2025</v>
      </c>
      <c r="Q1530">
        <v>6</v>
      </c>
      <c r="R1530" t="s">
        <v>40</v>
      </c>
      <c r="S1530" t="s">
        <v>67</v>
      </c>
      <c r="T1530" t="s">
        <v>42</v>
      </c>
      <c r="U1530" t="s">
        <v>40</v>
      </c>
      <c r="V1530" t="s">
        <v>91</v>
      </c>
      <c r="W1530" t="s">
        <v>92</v>
      </c>
      <c r="X1530" t="s">
        <v>76</v>
      </c>
      <c r="Y1530">
        <v>65</v>
      </c>
      <c r="Z1530" t="s">
        <v>58</v>
      </c>
      <c r="AA1530" t="s">
        <v>59</v>
      </c>
      <c r="AB1530" s="1">
        <v>45790</v>
      </c>
      <c r="AC1530" t="s">
        <v>40</v>
      </c>
      <c r="AD1530" t="s">
        <v>40</v>
      </c>
      <c r="AE1530" t="s">
        <v>69</v>
      </c>
      <c r="AF1530" t="s">
        <v>40</v>
      </c>
      <c r="AG1530">
        <v>0</v>
      </c>
      <c r="AH1530" t="s">
        <v>70</v>
      </c>
    </row>
    <row r="1531" spans="1:34" x14ac:dyDescent="0.3">
      <c r="A1531" t="s">
        <v>2231</v>
      </c>
      <c r="B1531" t="s">
        <v>2101</v>
      </c>
      <c r="C1531" t="s">
        <v>36</v>
      </c>
      <c r="D1531" t="s">
        <v>37</v>
      </c>
      <c r="E1531" s="1">
        <v>45805</v>
      </c>
      <c r="F1531" s="1">
        <v>45808</v>
      </c>
      <c r="G1531" t="s">
        <v>81</v>
      </c>
      <c r="H1531">
        <v>6730</v>
      </c>
      <c r="I1531" t="s">
        <v>39</v>
      </c>
      <c r="J1531" t="b">
        <v>0</v>
      </c>
      <c r="K1531">
        <v>3</v>
      </c>
      <c r="L1531">
        <v>5</v>
      </c>
      <c r="M1531">
        <v>2025</v>
      </c>
      <c r="N1531">
        <v>5</v>
      </c>
      <c r="O1531">
        <v>5</v>
      </c>
      <c r="P1531">
        <v>2025</v>
      </c>
      <c r="Q1531">
        <v>2</v>
      </c>
      <c r="R1531" t="s">
        <v>66</v>
      </c>
      <c r="S1531" t="s">
        <v>67</v>
      </c>
      <c r="T1531" t="s">
        <v>286</v>
      </c>
      <c r="U1531" t="s">
        <v>40</v>
      </c>
      <c r="V1531" t="s">
        <v>43</v>
      </c>
      <c r="W1531" t="s">
        <v>44</v>
      </c>
      <c r="X1531" t="s">
        <v>45</v>
      </c>
      <c r="Y1531">
        <v>150</v>
      </c>
      <c r="Z1531" t="s">
        <v>46</v>
      </c>
      <c r="AA1531" t="s">
        <v>47</v>
      </c>
      <c r="AB1531" s="1">
        <v>45808</v>
      </c>
      <c r="AC1531" t="s">
        <v>66</v>
      </c>
      <c r="AD1531" t="s">
        <v>40</v>
      </c>
      <c r="AE1531" t="s">
        <v>69</v>
      </c>
      <c r="AF1531" t="s">
        <v>40</v>
      </c>
      <c r="AG1531">
        <v>0</v>
      </c>
      <c r="AH1531" t="s">
        <v>100</v>
      </c>
    </row>
    <row r="1532" spans="1:34" x14ac:dyDescent="0.3">
      <c r="A1532" t="s">
        <v>2232</v>
      </c>
      <c r="B1532" t="s">
        <v>1851</v>
      </c>
      <c r="C1532" t="s">
        <v>169</v>
      </c>
      <c r="D1532" t="s">
        <v>80</v>
      </c>
      <c r="E1532" s="1">
        <v>46074</v>
      </c>
      <c r="F1532" s="1">
        <v>46081</v>
      </c>
      <c r="G1532" t="s">
        <v>38</v>
      </c>
      <c r="H1532">
        <v>5531</v>
      </c>
      <c r="I1532" t="s">
        <v>39</v>
      </c>
      <c r="J1532" t="b">
        <v>0</v>
      </c>
      <c r="K1532">
        <v>7</v>
      </c>
      <c r="L1532">
        <v>2</v>
      </c>
      <c r="M1532">
        <v>2026</v>
      </c>
      <c r="N1532">
        <v>5</v>
      </c>
      <c r="O1532">
        <v>2</v>
      </c>
      <c r="P1532">
        <v>2026</v>
      </c>
      <c r="Q1532">
        <v>5</v>
      </c>
      <c r="R1532" t="s">
        <v>66</v>
      </c>
      <c r="S1532" t="s">
        <v>41</v>
      </c>
      <c r="T1532" t="s">
        <v>139</v>
      </c>
      <c r="U1532" t="s">
        <v>66</v>
      </c>
      <c r="V1532" t="s">
        <v>170</v>
      </c>
      <c r="W1532" t="s">
        <v>171</v>
      </c>
      <c r="X1532" t="s">
        <v>126</v>
      </c>
      <c r="Y1532">
        <v>90</v>
      </c>
      <c r="Z1532" t="s">
        <v>84</v>
      </c>
      <c r="AA1532" t="s">
        <v>85</v>
      </c>
      <c r="AB1532" s="1">
        <v>46081</v>
      </c>
      <c r="AC1532" t="s">
        <v>66</v>
      </c>
      <c r="AD1532" t="s">
        <v>40</v>
      </c>
      <c r="AE1532" t="s">
        <v>60</v>
      </c>
      <c r="AF1532" t="s">
        <v>40</v>
      </c>
      <c r="AG1532">
        <v>0</v>
      </c>
      <c r="AH1532" t="s">
        <v>100</v>
      </c>
    </row>
    <row r="1533" spans="1:34" x14ac:dyDescent="0.3">
      <c r="A1533" t="s">
        <v>2233</v>
      </c>
      <c r="B1533" t="s">
        <v>2234</v>
      </c>
      <c r="C1533" t="s">
        <v>97</v>
      </c>
      <c r="D1533" t="s">
        <v>104</v>
      </c>
      <c r="E1533" s="1">
        <v>45760</v>
      </c>
      <c r="F1533" s="1">
        <v>45763</v>
      </c>
      <c r="G1533" t="s">
        <v>64</v>
      </c>
      <c r="H1533">
        <v>2594</v>
      </c>
      <c r="I1533" t="s">
        <v>39</v>
      </c>
      <c r="J1533" t="b">
        <v>0</v>
      </c>
      <c r="K1533">
        <v>3</v>
      </c>
      <c r="L1533">
        <v>4</v>
      </c>
      <c r="M1533">
        <v>2025</v>
      </c>
      <c r="N1533">
        <v>2</v>
      </c>
      <c r="O1533">
        <v>4</v>
      </c>
      <c r="P1533">
        <v>2025</v>
      </c>
      <c r="Q1533">
        <v>6</v>
      </c>
      <c r="R1533" t="s">
        <v>40</v>
      </c>
      <c r="S1533" t="s">
        <v>45</v>
      </c>
      <c r="T1533" t="s">
        <v>42</v>
      </c>
      <c r="U1533" t="s">
        <v>66</v>
      </c>
      <c r="V1533" t="s">
        <v>98</v>
      </c>
      <c r="W1533" t="s">
        <v>99</v>
      </c>
      <c r="X1533" t="s">
        <v>76</v>
      </c>
      <c r="Y1533">
        <v>80</v>
      </c>
      <c r="Z1533" t="s">
        <v>107</v>
      </c>
      <c r="AA1533" t="s">
        <v>108</v>
      </c>
      <c r="AB1533" s="1">
        <v>45763</v>
      </c>
      <c r="AC1533" t="s">
        <v>40</v>
      </c>
      <c r="AD1533" t="s">
        <v>40</v>
      </c>
      <c r="AE1533" t="s">
        <v>69</v>
      </c>
      <c r="AF1533" t="s">
        <v>40</v>
      </c>
      <c r="AG1533">
        <v>0</v>
      </c>
      <c r="AH1533" t="s">
        <v>100</v>
      </c>
    </row>
    <row r="1534" spans="1:34" x14ac:dyDescent="0.3">
      <c r="A1534" t="s">
        <v>2235</v>
      </c>
      <c r="B1534" t="s">
        <v>1419</v>
      </c>
      <c r="C1534" t="s">
        <v>52</v>
      </c>
      <c r="D1534" t="s">
        <v>90</v>
      </c>
      <c r="E1534" s="1">
        <v>46217</v>
      </c>
      <c r="F1534" s="1">
        <v>46231</v>
      </c>
      <c r="G1534" t="s">
        <v>38</v>
      </c>
      <c r="H1534">
        <v>4120</v>
      </c>
      <c r="I1534" t="s">
        <v>39</v>
      </c>
      <c r="J1534" t="b">
        <v>0</v>
      </c>
      <c r="K1534">
        <v>14</v>
      </c>
      <c r="L1534">
        <v>7</v>
      </c>
      <c r="M1534">
        <v>2026</v>
      </c>
      <c r="N1534">
        <v>1</v>
      </c>
      <c r="O1534">
        <v>7</v>
      </c>
      <c r="P1534">
        <v>2026</v>
      </c>
      <c r="Q1534">
        <v>1</v>
      </c>
      <c r="R1534" t="s">
        <v>40</v>
      </c>
      <c r="S1534" t="s">
        <v>41</v>
      </c>
      <c r="T1534" t="s">
        <v>42</v>
      </c>
      <c r="U1534" t="s">
        <v>40</v>
      </c>
      <c r="V1534" t="s">
        <v>56</v>
      </c>
      <c r="W1534" t="s">
        <v>57</v>
      </c>
      <c r="X1534" t="s">
        <v>45</v>
      </c>
      <c r="Y1534">
        <v>120</v>
      </c>
      <c r="Z1534" t="s">
        <v>93</v>
      </c>
      <c r="AA1534" t="s">
        <v>94</v>
      </c>
      <c r="AB1534" s="1">
        <v>46231</v>
      </c>
      <c r="AC1534" t="s">
        <v>40</v>
      </c>
      <c r="AD1534" t="s">
        <v>40</v>
      </c>
      <c r="AE1534" t="s">
        <v>86</v>
      </c>
      <c r="AF1534" t="s">
        <v>40</v>
      </c>
      <c r="AG1534">
        <v>0</v>
      </c>
      <c r="AH1534" t="s">
        <v>70</v>
      </c>
    </row>
    <row r="1535" spans="1:34" x14ac:dyDescent="0.3">
      <c r="A1535" t="s">
        <v>2236</v>
      </c>
      <c r="B1535" t="s">
        <v>742</v>
      </c>
      <c r="C1535" t="s">
        <v>89</v>
      </c>
      <c r="D1535" t="s">
        <v>90</v>
      </c>
      <c r="E1535" s="1">
        <v>45729</v>
      </c>
      <c r="F1535" s="1">
        <v>45759</v>
      </c>
      <c r="G1535" t="s">
        <v>38</v>
      </c>
      <c r="H1535">
        <v>29892</v>
      </c>
      <c r="I1535" t="s">
        <v>39</v>
      </c>
      <c r="J1535" t="b">
        <v>1</v>
      </c>
      <c r="K1535">
        <v>30</v>
      </c>
      <c r="L1535">
        <v>4</v>
      </c>
      <c r="M1535">
        <v>2025</v>
      </c>
      <c r="N1535">
        <v>5</v>
      </c>
      <c r="O1535">
        <v>3</v>
      </c>
      <c r="P1535">
        <v>2025</v>
      </c>
      <c r="Q1535">
        <v>3</v>
      </c>
      <c r="R1535" t="s">
        <v>66</v>
      </c>
      <c r="S1535" t="s">
        <v>55</v>
      </c>
      <c r="T1535" t="s">
        <v>42</v>
      </c>
      <c r="U1535" t="s">
        <v>40</v>
      </c>
      <c r="V1535" t="s">
        <v>91</v>
      </c>
      <c r="W1535" t="s">
        <v>92</v>
      </c>
      <c r="X1535" t="s">
        <v>76</v>
      </c>
      <c r="Y1535">
        <v>65</v>
      </c>
      <c r="Z1535" t="s">
        <v>93</v>
      </c>
      <c r="AA1535" t="s">
        <v>94</v>
      </c>
      <c r="AB1535" s="1">
        <v>45759</v>
      </c>
      <c r="AC1535" t="s">
        <v>66</v>
      </c>
      <c r="AD1535" t="s">
        <v>40</v>
      </c>
      <c r="AE1535" t="s">
        <v>69</v>
      </c>
      <c r="AF1535" t="s">
        <v>40</v>
      </c>
      <c r="AG1535">
        <v>0</v>
      </c>
      <c r="AH1535" t="s">
        <v>70</v>
      </c>
    </row>
    <row r="1536" spans="1:34" x14ac:dyDescent="0.3">
      <c r="A1536" t="s">
        <v>2237</v>
      </c>
      <c r="B1536" t="s">
        <v>1414</v>
      </c>
      <c r="C1536" t="s">
        <v>36</v>
      </c>
      <c r="D1536" t="s">
        <v>104</v>
      </c>
      <c r="E1536" s="1">
        <v>45907</v>
      </c>
      <c r="F1536" s="1">
        <v>45910</v>
      </c>
      <c r="G1536" t="s">
        <v>64</v>
      </c>
      <c r="H1536">
        <v>3835</v>
      </c>
      <c r="I1536" t="s">
        <v>65</v>
      </c>
      <c r="J1536" t="b">
        <v>0</v>
      </c>
      <c r="K1536">
        <v>3</v>
      </c>
      <c r="L1536">
        <v>9</v>
      </c>
      <c r="M1536">
        <v>2025</v>
      </c>
      <c r="N1536">
        <v>2</v>
      </c>
      <c r="O1536">
        <v>9</v>
      </c>
      <c r="P1536">
        <v>2025</v>
      </c>
      <c r="Q1536">
        <v>6</v>
      </c>
      <c r="R1536" t="s">
        <v>40</v>
      </c>
      <c r="S1536" t="s">
        <v>55</v>
      </c>
      <c r="T1536" t="s">
        <v>42</v>
      </c>
      <c r="U1536" t="s">
        <v>40</v>
      </c>
      <c r="V1536" t="s">
        <v>43</v>
      </c>
      <c r="W1536" t="s">
        <v>44</v>
      </c>
      <c r="X1536" t="s">
        <v>45</v>
      </c>
      <c r="Y1536">
        <v>150</v>
      </c>
      <c r="Z1536" t="s">
        <v>107</v>
      </c>
      <c r="AA1536" t="s">
        <v>108</v>
      </c>
      <c r="AB1536" s="1">
        <v>45910</v>
      </c>
      <c r="AC1536" t="s">
        <v>40</v>
      </c>
      <c r="AD1536" t="s">
        <v>40</v>
      </c>
      <c r="AE1536" t="s">
        <v>60</v>
      </c>
      <c r="AF1536" t="s">
        <v>40</v>
      </c>
      <c r="AG1536">
        <v>0</v>
      </c>
      <c r="AH1536" t="s">
        <v>100</v>
      </c>
    </row>
    <row r="1537" spans="1:34" x14ac:dyDescent="0.3">
      <c r="A1537" t="s">
        <v>2238</v>
      </c>
      <c r="B1537" t="s">
        <v>2239</v>
      </c>
      <c r="C1537" t="s">
        <v>97</v>
      </c>
      <c r="D1537" t="s">
        <v>90</v>
      </c>
      <c r="E1537" s="1">
        <v>45753</v>
      </c>
      <c r="F1537" s="1">
        <v>45756</v>
      </c>
      <c r="G1537" t="s">
        <v>41</v>
      </c>
      <c r="H1537">
        <v>8623</v>
      </c>
      <c r="I1537" t="s">
        <v>39</v>
      </c>
      <c r="J1537" t="b">
        <v>0</v>
      </c>
      <c r="K1537">
        <v>3</v>
      </c>
      <c r="L1537">
        <v>4</v>
      </c>
      <c r="M1537">
        <v>2025</v>
      </c>
      <c r="N1537">
        <v>2</v>
      </c>
      <c r="O1537">
        <v>4</v>
      </c>
      <c r="P1537">
        <v>2025</v>
      </c>
      <c r="Q1537">
        <v>6</v>
      </c>
      <c r="R1537" t="s">
        <v>40</v>
      </c>
      <c r="S1537" t="s">
        <v>41</v>
      </c>
      <c r="T1537" t="s">
        <v>113</v>
      </c>
      <c r="U1537" t="s">
        <v>66</v>
      </c>
      <c r="V1537" t="s">
        <v>98</v>
      </c>
      <c r="W1537" t="s">
        <v>99</v>
      </c>
      <c r="X1537" t="s">
        <v>76</v>
      </c>
      <c r="Y1537">
        <v>80</v>
      </c>
      <c r="Z1537" t="s">
        <v>93</v>
      </c>
      <c r="AA1537" t="s">
        <v>94</v>
      </c>
      <c r="AB1537" s="1">
        <v>45756</v>
      </c>
      <c r="AC1537" t="s">
        <v>40</v>
      </c>
      <c r="AD1537" t="s">
        <v>40</v>
      </c>
      <c r="AE1537" t="s">
        <v>69</v>
      </c>
      <c r="AF1537" t="s">
        <v>40</v>
      </c>
      <c r="AG1537">
        <v>0</v>
      </c>
      <c r="AH1537" t="s">
        <v>100</v>
      </c>
    </row>
    <row r="1538" spans="1:34" x14ac:dyDescent="0.3">
      <c r="A1538" t="s">
        <v>2240</v>
      </c>
      <c r="B1538" t="s">
        <v>355</v>
      </c>
      <c r="C1538" t="s">
        <v>52</v>
      </c>
      <c r="D1538" t="s">
        <v>53</v>
      </c>
      <c r="E1538" s="1">
        <v>45981</v>
      </c>
      <c r="F1538" s="1">
        <v>46081</v>
      </c>
      <c r="G1538" t="s">
        <v>81</v>
      </c>
      <c r="H1538">
        <v>10563</v>
      </c>
      <c r="I1538" t="s">
        <v>212</v>
      </c>
      <c r="J1538" t="b">
        <v>0</v>
      </c>
      <c r="K1538">
        <v>100</v>
      </c>
      <c r="L1538">
        <v>2</v>
      </c>
      <c r="M1538">
        <v>2026</v>
      </c>
      <c r="N1538">
        <v>5</v>
      </c>
      <c r="O1538">
        <v>11</v>
      </c>
      <c r="P1538">
        <v>2025</v>
      </c>
      <c r="Q1538">
        <v>3</v>
      </c>
      <c r="R1538" t="s">
        <v>66</v>
      </c>
      <c r="S1538" t="s">
        <v>55</v>
      </c>
      <c r="T1538" t="s">
        <v>113</v>
      </c>
      <c r="U1538" t="s">
        <v>66</v>
      </c>
      <c r="V1538" t="s">
        <v>56</v>
      </c>
      <c r="W1538" t="s">
        <v>57</v>
      </c>
      <c r="X1538" t="s">
        <v>45</v>
      </c>
      <c r="Y1538">
        <v>120</v>
      </c>
      <c r="Z1538" t="s">
        <v>58</v>
      </c>
      <c r="AA1538" t="s">
        <v>59</v>
      </c>
      <c r="AB1538" s="1">
        <v>46081</v>
      </c>
      <c r="AC1538" t="s">
        <v>66</v>
      </c>
      <c r="AD1538" t="s">
        <v>40</v>
      </c>
      <c r="AE1538" t="s">
        <v>60</v>
      </c>
      <c r="AF1538" t="s">
        <v>40</v>
      </c>
      <c r="AG1538">
        <v>0</v>
      </c>
      <c r="AH1538" t="s">
        <v>49</v>
      </c>
    </row>
    <row r="1539" spans="1:34" x14ac:dyDescent="0.3">
      <c r="A1539" t="s">
        <v>2241</v>
      </c>
      <c r="B1539" t="s">
        <v>475</v>
      </c>
      <c r="C1539" t="s">
        <v>122</v>
      </c>
      <c r="D1539" t="s">
        <v>130</v>
      </c>
      <c r="E1539" s="1">
        <v>46123</v>
      </c>
      <c r="F1539" s="1">
        <v>46130</v>
      </c>
      <c r="G1539" t="s">
        <v>38</v>
      </c>
      <c r="H1539">
        <v>4092</v>
      </c>
      <c r="I1539" t="s">
        <v>65</v>
      </c>
      <c r="J1539" t="b">
        <v>0</v>
      </c>
      <c r="K1539">
        <v>7</v>
      </c>
      <c r="L1539">
        <v>4</v>
      </c>
      <c r="M1539">
        <v>2026</v>
      </c>
      <c r="N1539">
        <v>5</v>
      </c>
      <c r="O1539">
        <v>4</v>
      </c>
      <c r="P1539">
        <v>2026</v>
      </c>
      <c r="Q1539">
        <v>5</v>
      </c>
      <c r="R1539" t="s">
        <v>66</v>
      </c>
      <c r="S1539" t="s">
        <v>55</v>
      </c>
      <c r="T1539" t="s">
        <v>123</v>
      </c>
      <c r="U1539" t="s">
        <v>40</v>
      </c>
      <c r="V1539" t="s">
        <v>124</v>
      </c>
      <c r="W1539" t="s">
        <v>125</v>
      </c>
      <c r="X1539" t="s">
        <v>126</v>
      </c>
      <c r="Y1539">
        <v>85</v>
      </c>
      <c r="Z1539" t="s">
        <v>133</v>
      </c>
      <c r="AA1539" t="s">
        <v>134</v>
      </c>
      <c r="AB1539" s="1">
        <v>46130</v>
      </c>
      <c r="AC1539" t="s">
        <v>66</v>
      </c>
      <c r="AD1539" t="s">
        <v>40</v>
      </c>
      <c r="AE1539" t="s">
        <v>69</v>
      </c>
      <c r="AF1539" t="s">
        <v>40</v>
      </c>
      <c r="AG1539">
        <v>0</v>
      </c>
      <c r="AH1539" t="s">
        <v>100</v>
      </c>
    </row>
    <row r="1540" spans="1:34" x14ac:dyDescent="0.3">
      <c r="A1540" t="s">
        <v>2242</v>
      </c>
      <c r="B1540" t="s">
        <v>581</v>
      </c>
      <c r="C1540" t="s">
        <v>97</v>
      </c>
      <c r="D1540" t="s">
        <v>53</v>
      </c>
      <c r="E1540" s="1">
        <v>45805</v>
      </c>
      <c r="F1540" s="1">
        <v>45808</v>
      </c>
      <c r="G1540" t="s">
        <v>41</v>
      </c>
      <c r="H1540">
        <v>5879</v>
      </c>
      <c r="I1540" t="s">
        <v>54</v>
      </c>
      <c r="J1540" t="b">
        <v>0</v>
      </c>
      <c r="K1540">
        <v>3</v>
      </c>
      <c r="L1540">
        <v>5</v>
      </c>
      <c r="M1540">
        <v>2025</v>
      </c>
      <c r="N1540">
        <v>5</v>
      </c>
      <c r="O1540">
        <v>5</v>
      </c>
      <c r="P1540">
        <v>2025</v>
      </c>
      <c r="Q1540">
        <v>2</v>
      </c>
      <c r="R1540" t="s">
        <v>66</v>
      </c>
      <c r="S1540" t="s">
        <v>45</v>
      </c>
      <c r="T1540" t="s">
        <v>139</v>
      </c>
      <c r="U1540" t="s">
        <v>40</v>
      </c>
      <c r="V1540" t="s">
        <v>98</v>
      </c>
      <c r="W1540" t="s">
        <v>99</v>
      </c>
      <c r="X1540" t="s">
        <v>76</v>
      </c>
      <c r="Y1540">
        <v>80</v>
      </c>
      <c r="Z1540" t="s">
        <v>58</v>
      </c>
      <c r="AA1540" t="s">
        <v>59</v>
      </c>
      <c r="AB1540" s="1">
        <v>45808</v>
      </c>
      <c r="AC1540" t="s">
        <v>66</v>
      </c>
      <c r="AD1540" t="s">
        <v>40</v>
      </c>
      <c r="AE1540" t="s">
        <v>69</v>
      </c>
      <c r="AF1540" t="s">
        <v>40</v>
      </c>
      <c r="AG1540">
        <v>1</v>
      </c>
      <c r="AH1540" t="s">
        <v>100</v>
      </c>
    </row>
    <row r="1541" spans="1:34" x14ac:dyDescent="0.3">
      <c r="A1541" t="s">
        <v>2243</v>
      </c>
      <c r="B1541" t="s">
        <v>243</v>
      </c>
      <c r="C1541" t="s">
        <v>97</v>
      </c>
      <c r="D1541" t="s">
        <v>37</v>
      </c>
      <c r="E1541" s="1">
        <v>46338</v>
      </c>
      <c r="F1541" s="1">
        <v>46398</v>
      </c>
      <c r="G1541" t="s">
        <v>81</v>
      </c>
      <c r="H1541">
        <v>10386</v>
      </c>
      <c r="I1541" t="s">
        <v>39</v>
      </c>
      <c r="J1541" t="b">
        <v>0</v>
      </c>
      <c r="K1541">
        <v>60</v>
      </c>
      <c r="L1541">
        <v>1</v>
      </c>
      <c r="M1541">
        <v>2027</v>
      </c>
      <c r="N1541">
        <v>0</v>
      </c>
      <c r="O1541">
        <v>11</v>
      </c>
      <c r="P1541">
        <v>2026</v>
      </c>
      <c r="Q1541">
        <v>3</v>
      </c>
      <c r="R1541" t="s">
        <v>40</v>
      </c>
      <c r="S1541" t="s">
        <v>55</v>
      </c>
      <c r="T1541" t="s">
        <v>42</v>
      </c>
      <c r="U1541" t="s">
        <v>40</v>
      </c>
      <c r="V1541" t="s">
        <v>98</v>
      </c>
      <c r="W1541" t="s">
        <v>99</v>
      </c>
      <c r="X1541" t="s">
        <v>76</v>
      </c>
      <c r="Y1541">
        <v>80</v>
      </c>
      <c r="Z1541" t="s">
        <v>46</v>
      </c>
      <c r="AA1541" t="s">
        <v>47</v>
      </c>
      <c r="AB1541" s="1"/>
      <c r="AC1541" t="s">
        <v>48</v>
      </c>
      <c r="AD1541" t="s">
        <v>48</v>
      </c>
      <c r="AE1541" t="s">
        <v>48</v>
      </c>
      <c r="AF1541" t="s">
        <v>48</v>
      </c>
      <c r="AG1541">
        <v>0</v>
      </c>
      <c r="AH1541" t="s">
        <v>61</v>
      </c>
    </row>
    <row r="1542" spans="1:34" x14ac:dyDescent="0.3">
      <c r="A1542" t="s">
        <v>2244</v>
      </c>
      <c r="B1542" t="s">
        <v>1921</v>
      </c>
      <c r="C1542" t="s">
        <v>103</v>
      </c>
      <c r="D1542" t="s">
        <v>37</v>
      </c>
      <c r="E1542" s="1">
        <v>46298</v>
      </c>
      <c r="F1542" s="1">
        <v>46312</v>
      </c>
      <c r="G1542" t="s">
        <v>64</v>
      </c>
      <c r="H1542">
        <v>4090</v>
      </c>
      <c r="I1542" t="s">
        <v>65</v>
      </c>
      <c r="J1542" t="b">
        <v>0</v>
      </c>
      <c r="K1542">
        <v>14</v>
      </c>
      <c r="L1542">
        <v>10</v>
      </c>
      <c r="M1542">
        <v>2026</v>
      </c>
      <c r="N1542">
        <v>5</v>
      </c>
      <c r="O1542">
        <v>10</v>
      </c>
      <c r="P1542">
        <v>2026</v>
      </c>
      <c r="Q1542">
        <v>5</v>
      </c>
      <c r="R1542" t="s">
        <v>66</v>
      </c>
      <c r="S1542" t="s">
        <v>55</v>
      </c>
      <c r="T1542" t="s">
        <v>42</v>
      </c>
      <c r="U1542" t="s">
        <v>40</v>
      </c>
      <c r="V1542" t="s">
        <v>105</v>
      </c>
      <c r="W1542" t="s">
        <v>106</v>
      </c>
      <c r="X1542" t="s">
        <v>45</v>
      </c>
      <c r="Y1542">
        <v>140</v>
      </c>
      <c r="Z1542" t="s">
        <v>46</v>
      </c>
      <c r="AA1542" t="s">
        <v>47</v>
      </c>
      <c r="AB1542" s="1">
        <v>46312</v>
      </c>
      <c r="AC1542" t="s">
        <v>66</v>
      </c>
      <c r="AD1542" t="s">
        <v>40</v>
      </c>
      <c r="AE1542" t="s">
        <v>60</v>
      </c>
      <c r="AF1542" t="s">
        <v>40</v>
      </c>
      <c r="AG1542">
        <v>0</v>
      </c>
      <c r="AH1542" t="s">
        <v>70</v>
      </c>
    </row>
    <row r="1543" spans="1:34" x14ac:dyDescent="0.3">
      <c r="A1543" t="s">
        <v>2245</v>
      </c>
      <c r="B1543" t="s">
        <v>870</v>
      </c>
      <c r="C1543" t="s">
        <v>52</v>
      </c>
      <c r="D1543" t="s">
        <v>37</v>
      </c>
      <c r="E1543" s="1">
        <v>45795</v>
      </c>
      <c r="F1543" s="1">
        <v>45802</v>
      </c>
      <c r="G1543" t="s">
        <v>81</v>
      </c>
      <c r="H1543">
        <v>9373</v>
      </c>
      <c r="I1543" t="s">
        <v>39</v>
      </c>
      <c r="J1543" t="b">
        <v>0</v>
      </c>
      <c r="K1543">
        <v>7</v>
      </c>
      <c r="L1543">
        <v>5</v>
      </c>
      <c r="M1543">
        <v>2025</v>
      </c>
      <c r="N1543">
        <v>6</v>
      </c>
      <c r="O1543">
        <v>5</v>
      </c>
      <c r="P1543">
        <v>2025</v>
      </c>
      <c r="Q1543">
        <v>6</v>
      </c>
      <c r="R1543" t="s">
        <v>66</v>
      </c>
      <c r="S1543" t="s">
        <v>45</v>
      </c>
      <c r="T1543" t="s">
        <v>113</v>
      </c>
      <c r="U1543" t="s">
        <v>40</v>
      </c>
      <c r="V1543" t="s">
        <v>56</v>
      </c>
      <c r="W1543" t="s">
        <v>57</v>
      </c>
      <c r="X1543" t="s">
        <v>45</v>
      </c>
      <c r="Y1543">
        <v>120</v>
      </c>
      <c r="Z1543" t="s">
        <v>46</v>
      </c>
      <c r="AA1543" t="s">
        <v>47</v>
      </c>
      <c r="AB1543" s="1">
        <v>45802</v>
      </c>
      <c r="AC1543" t="s">
        <v>66</v>
      </c>
      <c r="AD1543" t="s">
        <v>40</v>
      </c>
      <c r="AE1543" t="s">
        <v>69</v>
      </c>
      <c r="AF1543" t="s">
        <v>40</v>
      </c>
      <c r="AG1543">
        <v>0</v>
      </c>
      <c r="AH1543" t="s">
        <v>100</v>
      </c>
    </row>
    <row r="1544" spans="1:34" x14ac:dyDescent="0.3">
      <c r="A1544" t="s">
        <v>2246</v>
      </c>
      <c r="B1544" t="s">
        <v>375</v>
      </c>
      <c r="C1544" t="s">
        <v>79</v>
      </c>
      <c r="D1544" t="s">
        <v>80</v>
      </c>
      <c r="E1544" s="1">
        <v>46253</v>
      </c>
      <c r="F1544" s="1">
        <v>46403</v>
      </c>
      <c r="G1544" t="s">
        <v>64</v>
      </c>
      <c r="H1544">
        <v>3849</v>
      </c>
      <c r="I1544" t="s">
        <v>39</v>
      </c>
      <c r="J1544" t="b">
        <v>0</v>
      </c>
      <c r="K1544">
        <v>150</v>
      </c>
      <c r="L1544">
        <v>1</v>
      </c>
      <c r="M1544">
        <v>2027</v>
      </c>
      <c r="N1544">
        <v>5</v>
      </c>
      <c r="O1544">
        <v>8</v>
      </c>
      <c r="P1544">
        <v>2026</v>
      </c>
      <c r="Q1544">
        <v>2</v>
      </c>
      <c r="R1544" t="s">
        <v>66</v>
      </c>
      <c r="S1544" t="s">
        <v>55</v>
      </c>
      <c r="T1544" t="s">
        <v>123</v>
      </c>
      <c r="U1544" t="s">
        <v>66</v>
      </c>
      <c r="V1544" t="s">
        <v>82</v>
      </c>
      <c r="W1544" t="s">
        <v>83</v>
      </c>
      <c r="X1544" t="s">
        <v>76</v>
      </c>
      <c r="Y1544">
        <v>100</v>
      </c>
      <c r="Z1544" t="s">
        <v>84</v>
      </c>
      <c r="AA1544" t="s">
        <v>85</v>
      </c>
      <c r="AB1544" s="1"/>
      <c r="AC1544" t="s">
        <v>48</v>
      </c>
      <c r="AD1544" t="s">
        <v>48</v>
      </c>
      <c r="AE1544" t="s">
        <v>48</v>
      </c>
      <c r="AF1544" t="s">
        <v>48</v>
      </c>
      <c r="AG1544">
        <v>0</v>
      </c>
      <c r="AH1544" t="s">
        <v>49</v>
      </c>
    </row>
    <row r="1545" spans="1:34" x14ac:dyDescent="0.3">
      <c r="A1545" t="s">
        <v>2247</v>
      </c>
      <c r="B1545" t="s">
        <v>2248</v>
      </c>
      <c r="C1545" t="s">
        <v>146</v>
      </c>
      <c r="D1545" t="s">
        <v>104</v>
      </c>
      <c r="E1545" s="1">
        <v>45919</v>
      </c>
      <c r="F1545" s="1">
        <v>45933</v>
      </c>
      <c r="G1545" t="s">
        <v>41</v>
      </c>
      <c r="H1545">
        <v>5876</v>
      </c>
      <c r="I1545" t="s">
        <v>65</v>
      </c>
      <c r="J1545" t="b">
        <v>0</v>
      </c>
      <c r="K1545">
        <v>14</v>
      </c>
      <c r="L1545">
        <v>10</v>
      </c>
      <c r="M1545">
        <v>2025</v>
      </c>
      <c r="N1545">
        <v>4</v>
      </c>
      <c r="O1545">
        <v>9</v>
      </c>
      <c r="P1545">
        <v>2025</v>
      </c>
      <c r="Q1545">
        <v>4</v>
      </c>
      <c r="R1545" t="s">
        <v>40</v>
      </c>
      <c r="S1545" t="s">
        <v>41</v>
      </c>
      <c r="T1545" t="s">
        <v>42</v>
      </c>
      <c r="U1545" t="s">
        <v>66</v>
      </c>
      <c r="V1545" t="s">
        <v>147</v>
      </c>
      <c r="W1545" t="s">
        <v>148</v>
      </c>
      <c r="X1545" t="s">
        <v>45</v>
      </c>
      <c r="Y1545">
        <v>160</v>
      </c>
      <c r="Z1545" t="s">
        <v>107</v>
      </c>
      <c r="AA1545" t="s">
        <v>108</v>
      </c>
      <c r="AB1545" s="1">
        <v>45933</v>
      </c>
      <c r="AC1545" t="s">
        <v>40</v>
      </c>
      <c r="AD1545" t="s">
        <v>40</v>
      </c>
      <c r="AE1545" t="s">
        <v>60</v>
      </c>
      <c r="AF1545" t="s">
        <v>40</v>
      </c>
      <c r="AG1545">
        <v>0</v>
      </c>
      <c r="AH1545" t="s">
        <v>70</v>
      </c>
    </row>
    <row r="1546" spans="1:34" x14ac:dyDescent="0.3">
      <c r="A1546" t="s">
        <v>2249</v>
      </c>
      <c r="B1546" t="s">
        <v>2250</v>
      </c>
      <c r="C1546" t="s">
        <v>146</v>
      </c>
      <c r="D1546" t="s">
        <v>53</v>
      </c>
      <c r="E1546" s="1">
        <v>45977</v>
      </c>
      <c r="F1546" s="1">
        <v>45991</v>
      </c>
      <c r="G1546" t="s">
        <v>64</v>
      </c>
      <c r="H1546">
        <v>3734</v>
      </c>
      <c r="I1546" t="s">
        <v>212</v>
      </c>
      <c r="J1546" t="b">
        <v>0</v>
      </c>
      <c r="K1546">
        <v>14</v>
      </c>
      <c r="L1546">
        <v>11</v>
      </c>
      <c r="M1546">
        <v>2025</v>
      </c>
      <c r="N1546">
        <v>6</v>
      </c>
      <c r="O1546">
        <v>11</v>
      </c>
      <c r="P1546">
        <v>2025</v>
      </c>
      <c r="Q1546">
        <v>6</v>
      </c>
      <c r="R1546" t="s">
        <v>66</v>
      </c>
      <c r="S1546" t="s">
        <v>67</v>
      </c>
      <c r="T1546" t="s">
        <v>42</v>
      </c>
      <c r="U1546" t="s">
        <v>66</v>
      </c>
      <c r="V1546" t="s">
        <v>147</v>
      </c>
      <c r="W1546" t="s">
        <v>148</v>
      </c>
      <c r="X1546" t="s">
        <v>45</v>
      </c>
      <c r="Y1546">
        <v>160</v>
      </c>
      <c r="Z1546" t="s">
        <v>58</v>
      </c>
      <c r="AA1546" t="s">
        <v>59</v>
      </c>
      <c r="AB1546" s="1">
        <v>45991</v>
      </c>
      <c r="AC1546" t="s">
        <v>66</v>
      </c>
      <c r="AD1546" t="s">
        <v>40</v>
      </c>
      <c r="AE1546" t="s">
        <v>86</v>
      </c>
      <c r="AF1546" t="s">
        <v>40</v>
      </c>
      <c r="AG1546">
        <v>0</v>
      </c>
      <c r="AH1546" t="s">
        <v>70</v>
      </c>
    </row>
    <row r="1547" spans="1:34" x14ac:dyDescent="0.3">
      <c r="A1547" t="s">
        <v>2251</v>
      </c>
      <c r="B1547" t="s">
        <v>1088</v>
      </c>
      <c r="C1547" t="s">
        <v>155</v>
      </c>
      <c r="D1547" t="s">
        <v>130</v>
      </c>
      <c r="E1547" s="1">
        <v>46160</v>
      </c>
      <c r="F1547" s="1">
        <v>46167</v>
      </c>
      <c r="G1547" t="s">
        <v>38</v>
      </c>
      <c r="H1547">
        <v>4731</v>
      </c>
      <c r="I1547" t="s">
        <v>65</v>
      </c>
      <c r="J1547" t="b">
        <v>0</v>
      </c>
      <c r="K1547">
        <v>7</v>
      </c>
      <c r="L1547">
        <v>5</v>
      </c>
      <c r="M1547">
        <v>2026</v>
      </c>
      <c r="N1547">
        <v>0</v>
      </c>
      <c r="O1547">
        <v>5</v>
      </c>
      <c r="P1547">
        <v>2026</v>
      </c>
      <c r="Q1547">
        <v>0</v>
      </c>
      <c r="R1547" t="s">
        <v>40</v>
      </c>
      <c r="S1547" t="s">
        <v>55</v>
      </c>
      <c r="T1547" t="s">
        <v>123</v>
      </c>
      <c r="U1547" t="s">
        <v>40</v>
      </c>
      <c r="V1547" t="s">
        <v>156</v>
      </c>
      <c r="W1547" t="s">
        <v>157</v>
      </c>
      <c r="X1547" t="s">
        <v>158</v>
      </c>
      <c r="Y1547">
        <v>70</v>
      </c>
      <c r="Z1547" t="s">
        <v>133</v>
      </c>
      <c r="AA1547" t="s">
        <v>134</v>
      </c>
      <c r="AB1547" s="1">
        <v>46167</v>
      </c>
      <c r="AC1547" t="s">
        <v>40</v>
      </c>
      <c r="AD1547" t="s">
        <v>40</v>
      </c>
      <c r="AE1547" t="s">
        <v>69</v>
      </c>
      <c r="AF1547" t="s">
        <v>40</v>
      </c>
      <c r="AG1547">
        <v>0</v>
      </c>
      <c r="AH1547" t="s">
        <v>100</v>
      </c>
    </row>
    <row r="1548" spans="1:34" x14ac:dyDescent="0.3">
      <c r="A1548" t="s">
        <v>2252</v>
      </c>
      <c r="B1548" t="s">
        <v>610</v>
      </c>
      <c r="C1548" t="s">
        <v>103</v>
      </c>
      <c r="D1548" t="s">
        <v>80</v>
      </c>
      <c r="E1548" s="1">
        <v>46298</v>
      </c>
      <c r="F1548" s="1">
        <v>46301</v>
      </c>
      <c r="G1548" t="s">
        <v>38</v>
      </c>
      <c r="H1548">
        <v>4641</v>
      </c>
      <c r="I1548" t="s">
        <v>212</v>
      </c>
      <c r="J1548" t="b">
        <v>0</v>
      </c>
      <c r="K1548">
        <v>3</v>
      </c>
      <c r="L1548">
        <v>10</v>
      </c>
      <c r="M1548">
        <v>2026</v>
      </c>
      <c r="N1548">
        <v>1</v>
      </c>
      <c r="O1548">
        <v>10</v>
      </c>
      <c r="P1548">
        <v>2026</v>
      </c>
      <c r="Q1548">
        <v>5</v>
      </c>
      <c r="R1548" t="s">
        <v>40</v>
      </c>
      <c r="S1548" t="s">
        <v>41</v>
      </c>
      <c r="T1548" t="s">
        <v>42</v>
      </c>
      <c r="U1548" t="s">
        <v>66</v>
      </c>
      <c r="V1548" t="s">
        <v>105</v>
      </c>
      <c r="W1548" t="s">
        <v>106</v>
      </c>
      <c r="X1548" t="s">
        <v>45</v>
      </c>
      <c r="Y1548">
        <v>140</v>
      </c>
      <c r="Z1548" t="s">
        <v>84</v>
      </c>
      <c r="AA1548" t="s">
        <v>85</v>
      </c>
      <c r="AB1548" s="1">
        <v>46301</v>
      </c>
      <c r="AC1548" t="s">
        <v>40</v>
      </c>
      <c r="AD1548" t="s">
        <v>40</v>
      </c>
      <c r="AE1548" t="s">
        <v>60</v>
      </c>
      <c r="AF1548" t="s">
        <v>40</v>
      </c>
      <c r="AG1548">
        <v>0</v>
      </c>
      <c r="AH1548" t="s">
        <v>100</v>
      </c>
    </row>
    <row r="1549" spans="1:34" x14ac:dyDescent="0.3">
      <c r="A1549" t="s">
        <v>2253</v>
      </c>
      <c r="B1549" t="s">
        <v>420</v>
      </c>
      <c r="C1549" t="s">
        <v>146</v>
      </c>
      <c r="D1549" t="s">
        <v>90</v>
      </c>
      <c r="E1549" s="1">
        <v>45778</v>
      </c>
      <c r="F1549" s="1">
        <v>45785</v>
      </c>
      <c r="G1549" t="s">
        <v>41</v>
      </c>
      <c r="H1549">
        <v>5606</v>
      </c>
      <c r="I1549" t="s">
        <v>54</v>
      </c>
      <c r="J1549" t="b">
        <v>0</v>
      </c>
      <c r="K1549">
        <v>7</v>
      </c>
      <c r="L1549">
        <v>5</v>
      </c>
      <c r="M1549">
        <v>2025</v>
      </c>
      <c r="N1549">
        <v>3</v>
      </c>
      <c r="O1549">
        <v>5</v>
      </c>
      <c r="P1549">
        <v>2025</v>
      </c>
      <c r="Q1549">
        <v>3</v>
      </c>
      <c r="R1549" t="s">
        <v>40</v>
      </c>
      <c r="S1549" t="s">
        <v>41</v>
      </c>
      <c r="T1549" t="s">
        <v>42</v>
      </c>
      <c r="U1549" t="s">
        <v>40</v>
      </c>
      <c r="V1549" t="s">
        <v>147</v>
      </c>
      <c r="W1549" t="s">
        <v>148</v>
      </c>
      <c r="X1549" t="s">
        <v>45</v>
      </c>
      <c r="Y1549">
        <v>160</v>
      </c>
      <c r="Z1549" t="s">
        <v>93</v>
      </c>
      <c r="AA1549" t="s">
        <v>94</v>
      </c>
      <c r="AB1549" s="1">
        <v>45785</v>
      </c>
      <c r="AC1549" t="s">
        <v>40</v>
      </c>
      <c r="AD1549" t="s">
        <v>40</v>
      </c>
      <c r="AE1549" t="s">
        <v>69</v>
      </c>
      <c r="AF1549" t="s">
        <v>40</v>
      </c>
      <c r="AG1549">
        <v>1</v>
      </c>
      <c r="AH1549" t="s">
        <v>100</v>
      </c>
    </row>
    <row r="1550" spans="1:34" x14ac:dyDescent="0.3">
      <c r="A1550" t="s">
        <v>2254</v>
      </c>
      <c r="B1550" t="s">
        <v>723</v>
      </c>
      <c r="C1550" t="s">
        <v>97</v>
      </c>
      <c r="D1550" t="s">
        <v>90</v>
      </c>
      <c r="E1550" s="1">
        <v>46161</v>
      </c>
      <c r="F1550" s="1">
        <v>46221</v>
      </c>
      <c r="G1550" t="s">
        <v>38</v>
      </c>
      <c r="H1550">
        <v>4846</v>
      </c>
      <c r="I1550" t="s">
        <v>39</v>
      </c>
      <c r="J1550" t="b">
        <v>0</v>
      </c>
      <c r="K1550">
        <v>60</v>
      </c>
      <c r="L1550">
        <v>7</v>
      </c>
      <c r="M1550">
        <v>2026</v>
      </c>
      <c r="N1550">
        <v>5</v>
      </c>
      <c r="O1550">
        <v>5</v>
      </c>
      <c r="P1550">
        <v>2026</v>
      </c>
      <c r="Q1550">
        <v>1</v>
      </c>
      <c r="R1550" t="s">
        <v>66</v>
      </c>
      <c r="S1550" t="s">
        <v>67</v>
      </c>
      <c r="T1550" t="s">
        <v>286</v>
      </c>
      <c r="U1550" t="s">
        <v>66</v>
      </c>
      <c r="V1550" t="s">
        <v>98</v>
      </c>
      <c r="W1550" t="s">
        <v>99</v>
      </c>
      <c r="X1550" t="s">
        <v>76</v>
      </c>
      <c r="Y1550">
        <v>80</v>
      </c>
      <c r="Z1550" t="s">
        <v>93</v>
      </c>
      <c r="AA1550" t="s">
        <v>94</v>
      </c>
      <c r="AB1550" s="1">
        <v>46221</v>
      </c>
      <c r="AC1550" t="s">
        <v>66</v>
      </c>
      <c r="AD1550" t="s">
        <v>40</v>
      </c>
      <c r="AE1550" t="s">
        <v>86</v>
      </c>
      <c r="AF1550" t="s">
        <v>40</v>
      </c>
      <c r="AG1550">
        <v>0</v>
      </c>
      <c r="AH1550" t="s">
        <v>61</v>
      </c>
    </row>
    <row r="1551" spans="1:34" x14ac:dyDescent="0.3">
      <c r="A1551" t="s">
        <v>2255</v>
      </c>
      <c r="B1551" t="s">
        <v>2256</v>
      </c>
      <c r="C1551" t="s">
        <v>146</v>
      </c>
      <c r="D1551" t="s">
        <v>80</v>
      </c>
      <c r="E1551" s="1">
        <v>46043</v>
      </c>
      <c r="F1551" s="1">
        <v>46050</v>
      </c>
      <c r="G1551" t="s">
        <v>81</v>
      </c>
      <c r="H1551">
        <v>11363</v>
      </c>
      <c r="I1551" t="s">
        <v>54</v>
      </c>
      <c r="J1551" t="b">
        <v>0</v>
      </c>
      <c r="K1551">
        <v>7</v>
      </c>
      <c r="L1551">
        <v>1</v>
      </c>
      <c r="M1551">
        <v>2026</v>
      </c>
      <c r="N1551">
        <v>2</v>
      </c>
      <c r="O1551">
        <v>1</v>
      </c>
      <c r="P1551">
        <v>2026</v>
      </c>
      <c r="Q1551">
        <v>2</v>
      </c>
      <c r="R1551" t="s">
        <v>40</v>
      </c>
      <c r="S1551" t="s">
        <v>41</v>
      </c>
      <c r="T1551" t="s">
        <v>42</v>
      </c>
      <c r="U1551" t="s">
        <v>66</v>
      </c>
      <c r="V1551" t="s">
        <v>147</v>
      </c>
      <c r="W1551" t="s">
        <v>148</v>
      </c>
      <c r="X1551" t="s">
        <v>45</v>
      </c>
      <c r="Y1551">
        <v>160</v>
      </c>
      <c r="Z1551" t="s">
        <v>84</v>
      </c>
      <c r="AA1551" t="s">
        <v>85</v>
      </c>
      <c r="AB1551" s="1">
        <v>46050</v>
      </c>
      <c r="AC1551" t="s">
        <v>40</v>
      </c>
      <c r="AD1551" t="s">
        <v>40</v>
      </c>
      <c r="AE1551" t="s">
        <v>86</v>
      </c>
      <c r="AF1551" t="s">
        <v>40</v>
      </c>
      <c r="AG1551">
        <v>1</v>
      </c>
      <c r="AH1551" t="s">
        <v>100</v>
      </c>
    </row>
    <row r="1552" spans="1:34" x14ac:dyDescent="0.3">
      <c r="A1552" t="s">
        <v>2257</v>
      </c>
      <c r="B1552" t="s">
        <v>589</v>
      </c>
      <c r="C1552" t="s">
        <v>155</v>
      </c>
      <c r="D1552" t="s">
        <v>80</v>
      </c>
      <c r="E1552" s="1">
        <v>45750</v>
      </c>
      <c r="F1552" s="1">
        <v>45753</v>
      </c>
      <c r="G1552" t="s">
        <v>64</v>
      </c>
      <c r="H1552">
        <v>3834</v>
      </c>
      <c r="I1552" t="s">
        <v>39</v>
      </c>
      <c r="J1552" t="b">
        <v>0</v>
      </c>
      <c r="K1552">
        <v>3</v>
      </c>
      <c r="L1552">
        <v>4</v>
      </c>
      <c r="M1552">
        <v>2025</v>
      </c>
      <c r="N1552">
        <v>6</v>
      </c>
      <c r="O1552">
        <v>4</v>
      </c>
      <c r="P1552">
        <v>2025</v>
      </c>
      <c r="Q1552">
        <v>3</v>
      </c>
      <c r="R1552" t="s">
        <v>66</v>
      </c>
      <c r="S1552" t="s">
        <v>55</v>
      </c>
      <c r="T1552" t="s">
        <v>68</v>
      </c>
      <c r="U1552" t="s">
        <v>66</v>
      </c>
      <c r="V1552" t="s">
        <v>156</v>
      </c>
      <c r="W1552" t="s">
        <v>157</v>
      </c>
      <c r="X1552" t="s">
        <v>158</v>
      </c>
      <c r="Y1552">
        <v>70</v>
      </c>
      <c r="Z1552" t="s">
        <v>84</v>
      </c>
      <c r="AA1552" t="s">
        <v>85</v>
      </c>
      <c r="AB1552" s="1">
        <v>45753</v>
      </c>
      <c r="AC1552" t="s">
        <v>66</v>
      </c>
      <c r="AD1552" t="s">
        <v>40</v>
      </c>
      <c r="AE1552" t="s">
        <v>69</v>
      </c>
      <c r="AF1552" t="s">
        <v>40</v>
      </c>
      <c r="AG1552">
        <v>0</v>
      </c>
      <c r="AH1552" t="s">
        <v>100</v>
      </c>
    </row>
    <row r="1553" spans="1:34" x14ac:dyDescent="0.3">
      <c r="A1553" t="s">
        <v>2258</v>
      </c>
      <c r="B1553" t="s">
        <v>1044</v>
      </c>
      <c r="C1553" t="s">
        <v>97</v>
      </c>
      <c r="D1553" t="s">
        <v>90</v>
      </c>
      <c r="E1553" s="1">
        <v>45800</v>
      </c>
      <c r="F1553" s="1">
        <v>45860</v>
      </c>
      <c r="G1553" t="s">
        <v>38</v>
      </c>
      <c r="H1553">
        <v>5883</v>
      </c>
      <c r="I1553" t="s">
        <v>65</v>
      </c>
      <c r="J1553" t="b">
        <v>0</v>
      </c>
      <c r="K1553">
        <v>60</v>
      </c>
      <c r="L1553">
        <v>7</v>
      </c>
      <c r="M1553">
        <v>2025</v>
      </c>
      <c r="N1553">
        <v>1</v>
      </c>
      <c r="O1553">
        <v>5</v>
      </c>
      <c r="P1553">
        <v>2025</v>
      </c>
      <c r="Q1553">
        <v>4</v>
      </c>
      <c r="R1553" t="s">
        <v>40</v>
      </c>
      <c r="S1553" t="s">
        <v>41</v>
      </c>
      <c r="T1553" t="s">
        <v>113</v>
      </c>
      <c r="U1553" t="s">
        <v>40</v>
      </c>
      <c r="V1553" t="s">
        <v>98</v>
      </c>
      <c r="W1553" t="s">
        <v>99</v>
      </c>
      <c r="X1553" t="s">
        <v>76</v>
      </c>
      <c r="Y1553">
        <v>80</v>
      </c>
      <c r="Z1553" t="s">
        <v>93</v>
      </c>
      <c r="AA1553" t="s">
        <v>94</v>
      </c>
      <c r="AB1553" s="1">
        <v>45860</v>
      </c>
      <c r="AC1553" t="s">
        <v>40</v>
      </c>
      <c r="AD1553" t="s">
        <v>40</v>
      </c>
      <c r="AE1553" t="s">
        <v>86</v>
      </c>
      <c r="AF1553" t="s">
        <v>40</v>
      </c>
      <c r="AG1553">
        <v>0</v>
      </c>
      <c r="AH1553" t="s">
        <v>61</v>
      </c>
    </row>
    <row r="1554" spans="1:34" x14ac:dyDescent="0.3">
      <c r="A1554" t="s">
        <v>2259</v>
      </c>
      <c r="B1554" t="s">
        <v>2188</v>
      </c>
      <c r="C1554" t="s">
        <v>52</v>
      </c>
      <c r="D1554" t="s">
        <v>104</v>
      </c>
      <c r="E1554" s="1">
        <v>45667</v>
      </c>
      <c r="F1554" s="1">
        <v>45697</v>
      </c>
      <c r="G1554" t="s">
        <v>81</v>
      </c>
      <c r="H1554">
        <v>10986</v>
      </c>
      <c r="I1554" t="s">
        <v>39</v>
      </c>
      <c r="J1554" t="b">
        <v>0</v>
      </c>
      <c r="K1554">
        <v>30</v>
      </c>
      <c r="L1554">
        <v>2</v>
      </c>
      <c r="M1554">
        <v>2025</v>
      </c>
      <c r="N1554">
        <v>6</v>
      </c>
      <c r="O1554">
        <v>1</v>
      </c>
      <c r="P1554">
        <v>2025</v>
      </c>
      <c r="Q1554">
        <v>4</v>
      </c>
      <c r="R1554" t="s">
        <v>66</v>
      </c>
      <c r="S1554" t="s">
        <v>45</v>
      </c>
      <c r="T1554" t="s">
        <v>42</v>
      </c>
      <c r="U1554" t="s">
        <v>40</v>
      </c>
      <c r="V1554" t="s">
        <v>56</v>
      </c>
      <c r="W1554" t="s">
        <v>57</v>
      </c>
      <c r="X1554" t="s">
        <v>45</v>
      </c>
      <c r="Y1554">
        <v>120</v>
      </c>
      <c r="Z1554" t="s">
        <v>107</v>
      </c>
      <c r="AA1554" t="s">
        <v>108</v>
      </c>
      <c r="AB1554" s="1">
        <v>45697</v>
      </c>
      <c r="AC1554" t="s">
        <v>66</v>
      </c>
      <c r="AD1554" t="s">
        <v>40</v>
      </c>
      <c r="AE1554" t="s">
        <v>60</v>
      </c>
      <c r="AF1554" t="s">
        <v>40</v>
      </c>
      <c r="AG1554">
        <v>0</v>
      </c>
      <c r="AH1554" t="s">
        <v>70</v>
      </c>
    </row>
    <row r="1555" spans="1:34" x14ac:dyDescent="0.3">
      <c r="A1555" t="s">
        <v>2260</v>
      </c>
      <c r="B1555" t="s">
        <v>2261</v>
      </c>
      <c r="C1555" t="s">
        <v>52</v>
      </c>
      <c r="D1555" t="s">
        <v>80</v>
      </c>
      <c r="E1555" s="1">
        <v>46261</v>
      </c>
      <c r="F1555" s="1">
        <v>46291</v>
      </c>
      <c r="G1555" t="s">
        <v>38</v>
      </c>
      <c r="H1555">
        <v>3986</v>
      </c>
      <c r="I1555" t="s">
        <v>39</v>
      </c>
      <c r="J1555" t="b">
        <v>0</v>
      </c>
      <c r="K1555">
        <v>30</v>
      </c>
      <c r="L1555">
        <v>9</v>
      </c>
      <c r="M1555">
        <v>2026</v>
      </c>
      <c r="N1555">
        <v>5</v>
      </c>
      <c r="O1555">
        <v>8</v>
      </c>
      <c r="P1555">
        <v>2026</v>
      </c>
      <c r="Q1555">
        <v>3</v>
      </c>
      <c r="R1555" t="s">
        <v>66</v>
      </c>
      <c r="S1555" t="s">
        <v>45</v>
      </c>
      <c r="T1555" t="s">
        <v>42</v>
      </c>
      <c r="U1555" t="s">
        <v>66</v>
      </c>
      <c r="V1555" t="s">
        <v>56</v>
      </c>
      <c r="W1555" t="s">
        <v>57</v>
      </c>
      <c r="X1555" t="s">
        <v>45</v>
      </c>
      <c r="Y1555">
        <v>120</v>
      </c>
      <c r="Z1555" t="s">
        <v>84</v>
      </c>
      <c r="AA1555" t="s">
        <v>85</v>
      </c>
      <c r="AB1555" s="1">
        <v>46291</v>
      </c>
      <c r="AC1555" t="s">
        <v>66</v>
      </c>
      <c r="AD1555" t="s">
        <v>40</v>
      </c>
      <c r="AE1555" t="s">
        <v>60</v>
      </c>
      <c r="AF1555" t="s">
        <v>40</v>
      </c>
      <c r="AG1555">
        <v>0</v>
      </c>
      <c r="AH1555" t="s">
        <v>70</v>
      </c>
    </row>
    <row r="1556" spans="1:34" x14ac:dyDescent="0.3">
      <c r="A1556" t="s">
        <v>2262</v>
      </c>
      <c r="B1556" t="s">
        <v>1470</v>
      </c>
      <c r="C1556" t="s">
        <v>146</v>
      </c>
      <c r="D1556" t="s">
        <v>130</v>
      </c>
      <c r="E1556" s="1">
        <v>45983</v>
      </c>
      <c r="F1556" s="1">
        <v>45986</v>
      </c>
      <c r="G1556" t="s">
        <v>81</v>
      </c>
      <c r="H1556">
        <v>7659</v>
      </c>
      <c r="I1556" t="s">
        <v>39</v>
      </c>
      <c r="J1556" t="b">
        <v>0</v>
      </c>
      <c r="K1556">
        <v>3</v>
      </c>
      <c r="L1556">
        <v>11</v>
      </c>
      <c r="M1556">
        <v>2025</v>
      </c>
      <c r="N1556">
        <v>1</v>
      </c>
      <c r="O1556">
        <v>11</v>
      </c>
      <c r="P1556">
        <v>2025</v>
      </c>
      <c r="Q1556">
        <v>5</v>
      </c>
      <c r="R1556" t="s">
        <v>40</v>
      </c>
      <c r="S1556" t="s">
        <v>41</v>
      </c>
      <c r="T1556" t="s">
        <v>42</v>
      </c>
      <c r="U1556" t="s">
        <v>40</v>
      </c>
      <c r="V1556" t="s">
        <v>147</v>
      </c>
      <c r="W1556" t="s">
        <v>148</v>
      </c>
      <c r="X1556" t="s">
        <v>45</v>
      </c>
      <c r="Y1556">
        <v>160</v>
      </c>
      <c r="Z1556" t="s">
        <v>133</v>
      </c>
      <c r="AA1556" t="s">
        <v>134</v>
      </c>
      <c r="AB1556" s="1">
        <v>45986</v>
      </c>
      <c r="AC1556" t="s">
        <v>40</v>
      </c>
      <c r="AD1556" t="s">
        <v>40</v>
      </c>
      <c r="AE1556" t="s">
        <v>86</v>
      </c>
      <c r="AF1556" t="s">
        <v>40</v>
      </c>
      <c r="AG1556">
        <v>0</v>
      </c>
      <c r="AH1556" t="s">
        <v>100</v>
      </c>
    </row>
    <row r="1557" spans="1:34" x14ac:dyDescent="0.3">
      <c r="A1557" t="s">
        <v>2263</v>
      </c>
      <c r="B1557" t="s">
        <v>2256</v>
      </c>
      <c r="C1557" t="s">
        <v>73</v>
      </c>
      <c r="D1557" t="s">
        <v>37</v>
      </c>
      <c r="E1557" s="1">
        <v>45924</v>
      </c>
      <c r="F1557" s="1">
        <v>45984</v>
      </c>
      <c r="G1557" t="s">
        <v>64</v>
      </c>
      <c r="H1557">
        <v>2943</v>
      </c>
      <c r="I1557" t="s">
        <v>39</v>
      </c>
      <c r="J1557" t="b">
        <v>0</v>
      </c>
      <c r="K1557">
        <v>60</v>
      </c>
      <c r="L1557">
        <v>11</v>
      </c>
      <c r="M1557">
        <v>2025</v>
      </c>
      <c r="N1557">
        <v>6</v>
      </c>
      <c r="O1557">
        <v>9</v>
      </c>
      <c r="P1557">
        <v>2025</v>
      </c>
      <c r="Q1557">
        <v>2</v>
      </c>
      <c r="R1557" t="s">
        <v>66</v>
      </c>
      <c r="S1557" t="s">
        <v>41</v>
      </c>
      <c r="T1557" t="s">
        <v>42</v>
      </c>
      <c r="U1557" t="s">
        <v>66</v>
      </c>
      <c r="V1557" t="s">
        <v>74</v>
      </c>
      <c r="W1557" t="s">
        <v>75</v>
      </c>
      <c r="X1557" t="s">
        <v>76</v>
      </c>
      <c r="Y1557">
        <v>75</v>
      </c>
      <c r="Z1557" t="s">
        <v>46</v>
      </c>
      <c r="AA1557" t="s">
        <v>47</v>
      </c>
      <c r="AB1557" s="1">
        <v>45984</v>
      </c>
      <c r="AC1557" t="s">
        <v>66</v>
      </c>
      <c r="AD1557" t="s">
        <v>40</v>
      </c>
      <c r="AE1557" t="s">
        <v>86</v>
      </c>
      <c r="AF1557" t="s">
        <v>40</v>
      </c>
      <c r="AG1557">
        <v>0</v>
      </c>
      <c r="AH1557" t="s">
        <v>61</v>
      </c>
    </row>
    <row r="1558" spans="1:34" x14ac:dyDescent="0.3">
      <c r="A1558" t="s">
        <v>2264</v>
      </c>
      <c r="B1558" t="s">
        <v>1525</v>
      </c>
      <c r="C1558" t="s">
        <v>103</v>
      </c>
      <c r="D1558" t="s">
        <v>80</v>
      </c>
      <c r="E1558" s="1">
        <v>46279</v>
      </c>
      <c r="F1558" s="1">
        <v>46309</v>
      </c>
      <c r="G1558" t="s">
        <v>81</v>
      </c>
      <c r="H1558">
        <v>9813</v>
      </c>
      <c r="I1558" t="s">
        <v>39</v>
      </c>
      <c r="J1558" t="b">
        <v>0</v>
      </c>
      <c r="K1558">
        <v>30</v>
      </c>
      <c r="L1558">
        <v>10</v>
      </c>
      <c r="M1558">
        <v>2026</v>
      </c>
      <c r="N1558">
        <v>2</v>
      </c>
      <c r="O1558">
        <v>9</v>
      </c>
      <c r="P1558">
        <v>2026</v>
      </c>
      <c r="Q1558">
        <v>0</v>
      </c>
      <c r="R1558" t="s">
        <v>40</v>
      </c>
      <c r="S1558" t="s">
        <v>45</v>
      </c>
      <c r="T1558" t="s">
        <v>113</v>
      </c>
      <c r="U1558" t="s">
        <v>66</v>
      </c>
      <c r="V1558" t="s">
        <v>105</v>
      </c>
      <c r="W1558" t="s">
        <v>106</v>
      </c>
      <c r="X1558" t="s">
        <v>45</v>
      </c>
      <c r="Y1558">
        <v>140</v>
      </c>
      <c r="Z1558" t="s">
        <v>84</v>
      </c>
      <c r="AA1558" t="s">
        <v>85</v>
      </c>
      <c r="AB1558" s="1">
        <v>46309</v>
      </c>
      <c r="AC1558" t="s">
        <v>40</v>
      </c>
      <c r="AD1558" t="s">
        <v>40</v>
      </c>
      <c r="AE1558" t="s">
        <v>60</v>
      </c>
      <c r="AF1558" t="s">
        <v>40</v>
      </c>
      <c r="AG1558">
        <v>0</v>
      </c>
      <c r="AH1558" t="s">
        <v>70</v>
      </c>
    </row>
    <row r="1559" spans="1:34" x14ac:dyDescent="0.3">
      <c r="A1559" t="s">
        <v>2265</v>
      </c>
      <c r="B1559" t="s">
        <v>179</v>
      </c>
      <c r="C1559" t="s">
        <v>97</v>
      </c>
      <c r="D1559" t="s">
        <v>53</v>
      </c>
      <c r="E1559" s="1">
        <v>46317</v>
      </c>
      <c r="F1559" s="1">
        <v>46377</v>
      </c>
      <c r="G1559" t="s">
        <v>38</v>
      </c>
      <c r="H1559">
        <v>3875</v>
      </c>
      <c r="I1559" t="s">
        <v>39</v>
      </c>
      <c r="J1559" t="b">
        <v>0</v>
      </c>
      <c r="K1559">
        <v>60</v>
      </c>
      <c r="L1559">
        <v>12</v>
      </c>
      <c r="M1559">
        <v>2026</v>
      </c>
      <c r="N1559">
        <v>0</v>
      </c>
      <c r="O1559">
        <v>10</v>
      </c>
      <c r="P1559">
        <v>2026</v>
      </c>
      <c r="Q1559">
        <v>3</v>
      </c>
      <c r="R1559" t="s">
        <v>40</v>
      </c>
      <c r="S1559" t="s">
        <v>55</v>
      </c>
      <c r="T1559" t="s">
        <v>68</v>
      </c>
      <c r="U1559" t="s">
        <v>40</v>
      </c>
      <c r="V1559" t="s">
        <v>98</v>
      </c>
      <c r="W1559" t="s">
        <v>99</v>
      </c>
      <c r="X1559" t="s">
        <v>76</v>
      </c>
      <c r="Y1559">
        <v>80</v>
      </c>
      <c r="Z1559" t="s">
        <v>58</v>
      </c>
      <c r="AA1559" t="s">
        <v>59</v>
      </c>
      <c r="AB1559" s="1">
        <v>46377</v>
      </c>
      <c r="AC1559" t="s">
        <v>40</v>
      </c>
      <c r="AD1559" t="s">
        <v>40</v>
      </c>
      <c r="AE1559" t="s">
        <v>69</v>
      </c>
      <c r="AF1559" t="s">
        <v>40</v>
      </c>
      <c r="AG1559">
        <v>0</v>
      </c>
      <c r="AH1559" t="s">
        <v>61</v>
      </c>
    </row>
    <row r="1560" spans="1:34" x14ac:dyDescent="0.3">
      <c r="A1560" t="s">
        <v>2266</v>
      </c>
      <c r="B1560" t="s">
        <v>630</v>
      </c>
      <c r="C1560" t="s">
        <v>169</v>
      </c>
      <c r="D1560" t="s">
        <v>130</v>
      </c>
      <c r="E1560" s="1">
        <v>45810</v>
      </c>
      <c r="F1560" s="1">
        <v>45960</v>
      </c>
      <c r="G1560" t="s">
        <v>41</v>
      </c>
      <c r="H1560">
        <v>7051</v>
      </c>
      <c r="I1560" t="s">
        <v>65</v>
      </c>
      <c r="J1560" t="b">
        <v>0</v>
      </c>
      <c r="K1560">
        <v>150</v>
      </c>
      <c r="L1560">
        <v>10</v>
      </c>
      <c r="M1560">
        <v>2025</v>
      </c>
      <c r="N1560">
        <v>3</v>
      </c>
      <c r="O1560">
        <v>6</v>
      </c>
      <c r="P1560">
        <v>2025</v>
      </c>
      <c r="Q1560">
        <v>0</v>
      </c>
      <c r="R1560" t="s">
        <v>40</v>
      </c>
      <c r="S1560" t="s">
        <v>45</v>
      </c>
      <c r="T1560" t="s">
        <v>42</v>
      </c>
      <c r="U1560" t="s">
        <v>40</v>
      </c>
      <c r="V1560" t="s">
        <v>170</v>
      </c>
      <c r="W1560" t="s">
        <v>171</v>
      </c>
      <c r="X1560" t="s">
        <v>126</v>
      </c>
      <c r="Y1560">
        <v>90</v>
      </c>
      <c r="Z1560" t="s">
        <v>133</v>
      </c>
      <c r="AA1560" t="s">
        <v>134</v>
      </c>
      <c r="AB1560" s="1">
        <v>45960</v>
      </c>
      <c r="AC1560" t="s">
        <v>40</v>
      </c>
      <c r="AD1560" t="s">
        <v>40</v>
      </c>
      <c r="AE1560" t="s">
        <v>60</v>
      </c>
      <c r="AF1560" t="s">
        <v>40</v>
      </c>
      <c r="AG1560">
        <v>0</v>
      </c>
      <c r="AH1560" t="s">
        <v>49</v>
      </c>
    </row>
    <row r="1561" spans="1:34" x14ac:dyDescent="0.3">
      <c r="A1561" t="s">
        <v>2267</v>
      </c>
      <c r="B1561" t="s">
        <v>651</v>
      </c>
      <c r="C1561" t="s">
        <v>122</v>
      </c>
      <c r="D1561" t="s">
        <v>90</v>
      </c>
      <c r="E1561" s="1">
        <v>46025</v>
      </c>
      <c r="F1561" s="1">
        <v>46055</v>
      </c>
      <c r="G1561" t="s">
        <v>38</v>
      </c>
      <c r="H1561">
        <v>4154</v>
      </c>
      <c r="I1561" t="s">
        <v>54</v>
      </c>
      <c r="J1561" t="b">
        <v>0</v>
      </c>
      <c r="K1561">
        <v>30</v>
      </c>
      <c r="L1561">
        <v>2</v>
      </c>
      <c r="M1561">
        <v>2026</v>
      </c>
      <c r="N1561">
        <v>0</v>
      </c>
      <c r="O1561">
        <v>1</v>
      </c>
      <c r="P1561">
        <v>2026</v>
      </c>
      <c r="Q1561">
        <v>5</v>
      </c>
      <c r="R1561" t="s">
        <v>40</v>
      </c>
      <c r="S1561" t="s">
        <v>45</v>
      </c>
      <c r="T1561" t="s">
        <v>286</v>
      </c>
      <c r="U1561" t="s">
        <v>66</v>
      </c>
      <c r="V1561" t="s">
        <v>124</v>
      </c>
      <c r="W1561" t="s">
        <v>125</v>
      </c>
      <c r="X1561" t="s">
        <v>126</v>
      </c>
      <c r="Y1561">
        <v>85</v>
      </c>
      <c r="Z1561" t="s">
        <v>93</v>
      </c>
      <c r="AA1561" t="s">
        <v>94</v>
      </c>
      <c r="AB1561" s="1">
        <v>46055</v>
      </c>
      <c r="AC1561" t="s">
        <v>40</v>
      </c>
      <c r="AD1561" t="s">
        <v>40</v>
      </c>
      <c r="AE1561" t="s">
        <v>60</v>
      </c>
      <c r="AF1561" t="s">
        <v>40</v>
      </c>
      <c r="AG1561">
        <v>1</v>
      </c>
      <c r="AH1561" t="s">
        <v>70</v>
      </c>
    </row>
    <row r="1562" spans="1:34" x14ac:dyDescent="0.3">
      <c r="A1562" t="s">
        <v>2268</v>
      </c>
      <c r="B1562" t="s">
        <v>646</v>
      </c>
      <c r="C1562" t="s">
        <v>36</v>
      </c>
      <c r="D1562" t="s">
        <v>90</v>
      </c>
      <c r="E1562" s="1">
        <v>46292</v>
      </c>
      <c r="F1562" s="1">
        <v>46295</v>
      </c>
      <c r="G1562" t="s">
        <v>38</v>
      </c>
      <c r="H1562">
        <v>4859</v>
      </c>
      <c r="I1562" t="s">
        <v>39</v>
      </c>
      <c r="J1562" t="b">
        <v>0</v>
      </c>
      <c r="K1562">
        <v>3</v>
      </c>
      <c r="L1562">
        <v>9</v>
      </c>
      <c r="M1562">
        <v>2026</v>
      </c>
      <c r="N1562">
        <v>2</v>
      </c>
      <c r="O1562">
        <v>9</v>
      </c>
      <c r="P1562">
        <v>2026</v>
      </c>
      <c r="Q1562">
        <v>6</v>
      </c>
      <c r="R1562" t="s">
        <v>40</v>
      </c>
      <c r="S1562" t="s">
        <v>41</v>
      </c>
      <c r="T1562" t="s">
        <v>42</v>
      </c>
      <c r="U1562" t="s">
        <v>40</v>
      </c>
      <c r="V1562" t="s">
        <v>43</v>
      </c>
      <c r="W1562" t="s">
        <v>44</v>
      </c>
      <c r="X1562" t="s">
        <v>45</v>
      </c>
      <c r="Y1562">
        <v>150</v>
      </c>
      <c r="Z1562" t="s">
        <v>93</v>
      </c>
      <c r="AA1562" t="s">
        <v>94</v>
      </c>
      <c r="AB1562" s="1">
        <v>46295</v>
      </c>
      <c r="AC1562" t="s">
        <v>40</v>
      </c>
      <c r="AD1562" t="s">
        <v>40</v>
      </c>
      <c r="AE1562" t="s">
        <v>60</v>
      </c>
      <c r="AF1562" t="s">
        <v>40</v>
      </c>
      <c r="AG1562">
        <v>0</v>
      </c>
      <c r="AH1562" t="s">
        <v>100</v>
      </c>
    </row>
    <row r="1563" spans="1:34" x14ac:dyDescent="0.3">
      <c r="A1563" t="s">
        <v>2269</v>
      </c>
      <c r="B1563" t="s">
        <v>685</v>
      </c>
      <c r="C1563" t="s">
        <v>129</v>
      </c>
      <c r="D1563" t="s">
        <v>53</v>
      </c>
      <c r="E1563" s="1">
        <v>46012</v>
      </c>
      <c r="F1563" s="1">
        <v>46042</v>
      </c>
      <c r="G1563" t="s">
        <v>81</v>
      </c>
      <c r="H1563">
        <v>6998</v>
      </c>
      <c r="I1563" t="s">
        <v>54</v>
      </c>
      <c r="J1563" t="b">
        <v>0</v>
      </c>
      <c r="K1563">
        <v>30</v>
      </c>
      <c r="L1563">
        <v>1</v>
      </c>
      <c r="M1563">
        <v>2026</v>
      </c>
      <c r="N1563">
        <v>1</v>
      </c>
      <c r="O1563">
        <v>12</v>
      </c>
      <c r="P1563">
        <v>2025</v>
      </c>
      <c r="Q1563">
        <v>6</v>
      </c>
      <c r="R1563" t="s">
        <v>40</v>
      </c>
      <c r="S1563" t="s">
        <v>41</v>
      </c>
      <c r="T1563" t="s">
        <v>68</v>
      </c>
      <c r="U1563" t="s">
        <v>66</v>
      </c>
      <c r="V1563" t="s">
        <v>131</v>
      </c>
      <c r="W1563" t="s">
        <v>132</v>
      </c>
      <c r="X1563" t="s">
        <v>45</v>
      </c>
      <c r="Y1563">
        <v>110</v>
      </c>
      <c r="Z1563" t="s">
        <v>58</v>
      </c>
      <c r="AA1563" t="s">
        <v>59</v>
      </c>
      <c r="AB1563" s="1">
        <v>46042</v>
      </c>
      <c r="AC1563" t="s">
        <v>40</v>
      </c>
      <c r="AD1563" t="s">
        <v>40</v>
      </c>
      <c r="AE1563" t="s">
        <v>86</v>
      </c>
      <c r="AF1563" t="s">
        <v>40</v>
      </c>
      <c r="AG1563">
        <v>1</v>
      </c>
      <c r="AH1563" t="s">
        <v>70</v>
      </c>
    </row>
    <row r="1564" spans="1:34" x14ac:dyDescent="0.3">
      <c r="A1564" t="s">
        <v>2270</v>
      </c>
      <c r="B1564" t="s">
        <v>1923</v>
      </c>
      <c r="C1564" t="s">
        <v>103</v>
      </c>
      <c r="D1564" t="s">
        <v>104</v>
      </c>
      <c r="E1564" s="1">
        <v>45682</v>
      </c>
      <c r="F1564" s="1">
        <v>45683</v>
      </c>
      <c r="G1564" t="s">
        <v>38</v>
      </c>
      <c r="H1564">
        <v>5639</v>
      </c>
      <c r="I1564" t="s">
        <v>65</v>
      </c>
      <c r="J1564" t="b">
        <v>0</v>
      </c>
      <c r="K1564">
        <v>1</v>
      </c>
      <c r="L1564">
        <v>1</v>
      </c>
      <c r="M1564">
        <v>2025</v>
      </c>
      <c r="N1564">
        <v>6</v>
      </c>
      <c r="O1564">
        <v>1</v>
      </c>
      <c r="P1564">
        <v>2025</v>
      </c>
      <c r="Q1564">
        <v>5</v>
      </c>
      <c r="R1564" t="s">
        <v>66</v>
      </c>
      <c r="S1564" t="s">
        <v>45</v>
      </c>
      <c r="T1564" t="s">
        <v>42</v>
      </c>
      <c r="U1564" t="s">
        <v>66</v>
      </c>
      <c r="V1564" t="s">
        <v>105</v>
      </c>
      <c r="W1564" t="s">
        <v>106</v>
      </c>
      <c r="X1564" t="s">
        <v>45</v>
      </c>
      <c r="Y1564">
        <v>140</v>
      </c>
      <c r="Z1564" t="s">
        <v>107</v>
      </c>
      <c r="AA1564" t="s">
        <v>108</v>
      </c>
      <c r="AB1564" s="1">
        <v>45683</v>
      </c>
      <c r="AC1564" t="s">
        <v>66</v>
      </c>
      <c r="AD1564" t="s">
        <v>66</v>
      </c>
      <c r="AE1564" t="s">
        <v>86</v>
      </c>
      <c r="AF1564" t="s">
        <v>40</v>
      </c>
      <c r="AG1564">
        <v>0</v>
      </c>
      <c r="AH1564" t="s">
        <v>100</v>
      </c>
    </row>
    <row r="1565" spans="1:34" x14ac:dyDescent="0.3">
      <c r="A1565" t="s">
        <v>2271</v>
      </c>
      <c r="B1565" t="s">
        <v>471</v>
      </c>
      <c r="C1565" t="s">
        <v>73</v>
      </c>
      <c r="D1565" t="s">
        <v>90</v>
      </c>
      <c r="E1565" s="1">
        <v>46239</v>
      </c>
      <c r="F1565" s="1">
        <v>46299</v>
      </c>
      <c r="G1565" t="s">
        <v>41</v>
      </c>
      <c r="H1565">
        <v>5120</v>
      </c>
      <c r="I1565" t="s">
        <v>39</v>
      </c>
      <c r="J1565" t="b">
        <v>0</v>
      </c>
      <c r="K1565">
        <v>60</v>
      </c>
      <c r="L1565">
        <v>10</v>
      </c>
      <c r="M1565">
        <v>2026</v>
      </c>
      <c r="N1565">
        <v>6</v>
      </c>
      <c r="O1565">
        <v>8</v>
      </c>
      <c r="P1565">
        <v>2026</v>
      </c>
      <c r="Q1565">
        <v>2</v>
      </c>
      <c r="R1565" t="s">
        <v>66</v>
      </c>
      <c r="S1565" t="s">
        <v>45</v>
      </c>
      <c r="T1565" t="s">
        <v>113</v>
      </c>
      <c r="U1565" t="s">
        <v>66</v>
      </c>
      <c r="V1565" t="s">
        <v>74</v>
      </c>
      <c r="W1565" t="s">
        <v>75</v>
      </c>
      <c r="X1565" t="s">
        <v>76</v>
      </c>
      <c r="Y1565">
        <v>75</v>
      </c>
      <c r="Z1565" t="s">
        <v>93</v>
      </c>
      <c r="AA1565" t="s">
        <v>94</v>
      </c>
      <c r="AB1565" s="1">
        <v>46299</v>
      </c>
      <c r="AC1565" t="s">
        <v>66</v>
      </c>
      <c r="AD1565" t="s">
        <v>40</v>
      </c>
      <c r="AE1565" t="s">
        <v>60</v>
      </c>
      <c r="AF1565" t="s">
        <v>40</v>
      </c>
      <c r="AG1565">
        <v>0</v>
      </c>
      <c r="AH1565" t="s">
        <v>61</v>
      </c>
    </row>
    <row r="1566" spans="1:34" x14ac:dyDescent="0.3">
      <c r="A1566" t="s">
        <v>2272</v>
      </c>
      <c r="B1566" t="s">
        <v>1083</v>
      </c>
      <c r="C1566" t="s">
        <v>52</v>
      </c>
      <c r="D1566" t="s">
        <v>104</v>
      </c>
      <c r="E1566" s="1">
        <v>46097</v>
      </c>
      <c r="F1566" s="1">
        <v>46111</v>
      </c>
      <c r="G1566" t="s">
        <v>81</v>
      </c>
      <c r="H1566">
        <v>9056</v>
      </c>
      <c r="I1566" t="s">
        <v>39</v>
      </c>
      <c r="J1566" t="b">
        <v>0</v>
      </c>
      <c r="K1566">
        <v>14</v>
      </c>
      <c r="L1566">
        <v>3</v>
      </c>
      <c r="M1566">
        <v>2026</v>
      </c>
      <c r="N1566">
        <v>0</v>
      </c>
      <c r="O1566">
        <v>3</v>
      </c>
      <c r="P1566">
        <v>2026</v>
      </c>
      <c r="Q1566">
        <v>0</v>
      </c>
      <c r="R1566" t="s">
        <v>40</v>
      </c>
      <c r="S1566" t="s">
        <v>55</v>
      </c>
      <c r="T1566" t="s">
        <v>42</v>
      </c>
      <c r="U1566" t="s">
        <v>40</v>
      </c>
      <c r="V1566" t="s">
        <v>56</v>
      </c>
      <c r="W1566" t="s">
        <v>57</v>
      </c>
      <c r="X1566" t="s">
        <v>45</v>
      </c>
      <c r="Y1566">
        <v>120</v>
      </c>
      <c r="Z1566" t="s">
        <v>107</v>
      </c>
      <c r="AA1566" t="s">
        <v>108</v>
      </c>
      <c r="AB1566" s="1">
        <v>46111</v>
      </c>
      <c r="AC1566" t="s">
        <v>40</v>
      </c>
      <c r="AD1566" t="s">
        <v>40</v>
      </c>
      <c r="AE1566" t="s">
        <v>60</v>
      </c>
      <c r="AF1566" t="s">
        <v>40</v>
      </c>
      <c r="AG1566">
        <v>0</v>
      </c>
      <c r="AH1566" t="s">
        <v>70</v>
      </c>
    </row>
    <row r="1567" spans="1:34" x14ac:dyDescent="0.3">
      <c r="A1567" t="s">
        <v>2273</v>
      </c>
      <c r="B1567" t="s">
        <v>511</v>
      </c>
      <c r="C1567" t="s">
        <v>97</v>
      </c>
      <c r="D1567" t="s">
        <v>104</v>
      </c>
      <c r="E1567" s="1">
        <v>46087</v>
      </c>
      <c r="F1567" s="1">
        <v>46307</v>
      </c>
      <c r="G1567" t="s">
        <v>81</v>
      </c>
      <c r="H1567">
        <v>7377</v>
      </c>
      <c r="I1567" t="s">
        <v>54</v>
      </c>
      <c r="J1567" t="b">
        <v>0</v>
      </c>
      <c r="K1567">
        <v>220</v>
      </c>
      <c r="L1567">
        <v>10</v>
      </c>
      <c r="M1567">
        <v>2026</v>
      </c>
      <c r="N1567">
        <v>0</v>
      </c>
      <c r="O1567">
        <v>3</v>
      </c>
      <c r="P1567">
        <v>2026</v>
      </c>
      <c r="Q1567">
        <v>4</v>
      </c>
      <c r="R1567" t="s">
        <v>40</v>
      </c>
      <c r="S1567" t="s">
        <v>55</v>
      </c>
      <c r="T1567" t="s">
        <v>42</v>
      </c>
      <c r="U1567" t="s">
        <v>40</v>
      </c>
      <c r="V1567" t="s">
        <v>98</v>
      </c>
      <c r="W1567" t="s">
        <v>99</v>
      </c>
      <c r="X1567" t="s">
        <v>76</v>
      </c>
      <c r="Y1567">
        <v>80</v>
      </c>
      <c r="Z1567" t="s">
        <v>107</v>
      </c>
      <c r="AA1567" t="s">
        <v>108</v>
      </c>
      <c r="AB1567" s="1">
        <v>46307</v>
      </c>
      <c r="AC1567" t="s">
        <v>40</v>
      </c>
      <c r="AD1567" t="s">
        <v>40</v>
      </c>
      <c r="AE1567" t="s">
        <v>60</v>
      </c>
      <c r="AF1567" t="s">
        <v>40</v>
      </c>
      <c r="AG1567">
        <v>1</v>
      </c>
      <c r="AH1567" t="s">
        <v>142</v>
      </c>
    </row>
    <row r="1568" spans="1:34" x14ac:dyDescent="0.3">
      <c r="A1568" t="s">
        <v>2274</v>
      </c>
      <c r="B1568" t="s">
        <v>2036</v>
      </c>
      <c r="C1568" t="s">
        <v>122</v>
      </c>
      <c r="D1568" t="s">
        <v>37</v>
      </c>
      <c r="E1568" s="1">
        <v>46298</v>
      </c>
      <c r="F1568" s="1">
        <v>46518</v>
      </c>
      <c r="G1568" t="s">
        <v>81</v>
      </c>
      <c r="H1568">
        <v>8625</v>
      </c>
      <c r="I1568" t="s">
        <v>39</v>
      </c>
      <c r="J1568" t="b">
        <v>0</v>
      </c>
      <c r="K1568">
        <v>220</v>
      </c>
      <c r="L1568">
        <v>5</v>
      </c>
      <c r="M1568">
        <v>2027</v>
      </c>
      <c r="N1568">
        <v>1</v>
      </c>
      <c r="O1568">
        <v>10</v>
      </c>
      <c r="P1568">
        <v>2026</v>
      </c>
      <c r="Q1568">
        <v>5</v>
      </c>
      <c r="R1568" t="s">
        <v>40</v>
      </c>
      <c r="S1568" t="s">
        <v>41</v>
      </c>
      <c r="T1568" t="s">
        <v>42</v>
      </c>
      <c r="U1568" t="s">
        <v>40</v>
      </c>
      <c r="V1568" t="s">
        <v>124</v>
      </c>
      <c r="W1568" t="s">
        <v>125</v>
      </c>
      <c r="X1568" t="s">
        <v>126</v>
      </c>
      <c r="Y1568">
        <v>85</v>
      </c>
      <c r="Z1568" t="s">
        <v>46</v>
      </c>
      <c r="AA1568" t="s">
        <v>47</v>
      </c>
      <c r="AB1568" s="1"/>
      <c r="AC1568" t="s">
        <v>48</v>
      </c>
      <c r="AD1568" t="s">
        <v>48</v>
      </c>
      <c r="AE1568" t="s">
        <v>48</v>
      </c>
      <c r="AF1568" t="s">
        <v>48</v>
      </c>
      <c r="AG1568">
        <v>0</v>
      </c>
      <c r="AH1568" t="s">
        <v>142</v>
      </c>
    </row>
    <row r="1569" spans="1:34" x14ac:dyDescent="0.3">
      <c r="A1569" t="s">
        <v>2275</v>
      </c>
      <c r="B1569" t="s">
        <v>1669</v>
      </c>
      <c r="C1569" t="s">
        <v>146</v>
      </c>
      <c r="D1569" t="s">
        <v>90</v>
      </c>
      <c r="E1569" s="1">
        <v>45825</v>
      </c>
      <c r="F1569" s="1">
        <v>45975</v>
      </c>
      <c r="G1569" t="s">
        <v>64</v>
      </c>
      <c r="H1569">
        <v>3891</v>
      </c>
      <c r="I1569" t="s">
        <v>39</v>
      </c>
      <c r="J1569" t="b">
        <v>0</v>
      </c>
      <c r="K1569">
        <v>150</v>
      </c>
      <c r="L1569">
        <v>11</v>
      </c>
      <c r="M1569">
        <v>2025</v>
      </c>
      <c r="N1569">
        <v>4</v>
      </c>
      <c r="O1569">
        <v>6</v>
      </c>
      <c r="P1569">
        <v>2025</v>
      </c>
      <c r="Q1569">
        <v>1</v>
      </c>
      <c r="R1569" t="s">
        <v>40</v>
      </c>
      <c r="S1569" t="s">
        <v>41</v>
      </c>
      <c r="T1569" t="s">
        <v>42</v>
      </c>
      <c r="U1569" t="s">
        <v>40</v>
      </c>
      <c r="V1569" t="s">
        <v>147</v>
      </c>
      <c r="W1569" t="s">
        <v>148</v>
      </c>
      <c r="X1569" t="s">
        <v>45</v>
      </c>
      <c r="Y1569">
        <v>160</v>
      </c>
      <c r="Z1569" t="s">
        <v>93</v>
      </c>
      <c r="AA1569" t="s">
        <v>94</v>
      </c>
      <c r="AB1569" s="1">
        <v>45975</v>
      </c>
      <c r="AC1569" t="s">
        <v>40</v>
      </c>
      <c r="AD1569" t="s">
        <v>40</v>
      </c>
      <c r="AE1569" t="s">
        <v>86</v>
      </c>
      <c r="AF1569" t="s">
        <v>40</v>
      </c>
      <c r="AG1569">
        <v>0</v>
      </c>
      <c r="AH1569" t="s">
        <v>49</v>
      </c>
    </row>
    <row r="1570" spans="1:34" x14ac:dyDescent="0.3">
      <c r="A1570" t="s">
        <v>2276</v>
      </c>
      <c r="B1570" t="s">
        <v>237</v>
      </c>
      <c r="C1570" t="s">
        <v>103</v>
      </c>
      <c r="D1570" t="s">
        <v>37</v>
      </c>
      <c r="E1570" s="1">
        <v>46054</v>
      </c>
      <c r="F1570" s="1">
        <v>46204</v>
      </c>
      <c r="G1570" t="s">
        <v>41</v>
      </c>
      <c r="H1570">
        <v>5313</v>
      </c>
      <c r="I1570" t="s">
        <v>39</v>
      </c>
      <c r="J1570" t="b">
        <v>0</v>
      </c>
      <c r="K1570">
        <v>150</v>
      </c>
      <c r="L1570">
        <v>7</v>
      </c>
      <c r="M1570">
        <v>2026</v>
      </c>
      <c r="N1570">
        <v>2</v>
      </c>
      <c r="O1570">
        <v>2</v>
      </c>
      <c r="P1570">
        <v>2026</v>
      </c>
      <c r="Q1570">
        <v>6</v>
      </c>
      <c r="R1570" t="s">
        <v>40</v>
      </c>
      <c r="S1570" t="s">
        <v>45</v>
      </c>
      <c r="T1570" t="s">
        <v>42</v>
      </c>
      <c r="U1570" t="s">
        <v>40</v>
      </c>
      <c r="V1570" t="s">
        <v>105</v>
      </c>
      <c r="W1570" t="s">
        <v>106</v>
      </c>
      <c r="X1570" t="s">
        <v>45</v>
      </c>
      <c r="Y1570">
        <v>140</v>
      </c>
      <c r="Z1570" t="s">
        <v>46</v>
      </c>
      <c r="AA1570" t="s">
        <v>47</v>
      </c>
      <c r="AB1570" s="1">
        <v>46204</v>
      </c>
      <c r="AC1570" t="s">
        <v>40</v>
      </c>
      <c r="AD1570" t="s">
        <v>40</v>
      </c>
      <c r="AE1570" t="s">
        <v>86</v>
      </c>
      <c r="AF1570" t="s">
        <v>40</v>
      </c>
      <c r="AG1570">
        <v>0</v>
      </c>
      <c r="AH1570" t="s">
        <v>49</v>
      </c>
    </row>
    <row r="1571" spans="1:34" x14ac:dyDescent="0.3">
      <c r="A1571" t="s">
        <v>2277</v>
      </c>
      <c r="B1571" t="s">
        <v>96</v>
      </c>
      <c r="C1571" t="s">
        <v>146</v>
      </c>
      <c r="D1571" t="s">
        <v>104</v>
      </c>
      <c r="E1571" s="1">
        <v>46180</v>
      </c>
      <c r="F1571" s="1">
        <v>46280</v>
      </c>
      <c r="G1571" t="s">
        <v>81</v>
      </c>
      <c r="H1571">
        <v>10326</v>
      </c>
      <c r="I1571" t="s">
        <v>54</v>
      </c>
      <c r="J1571" t="b">
        <v>0</v>
      </c>
      <c r="K1571">
        <v>100</v>
      </c>
      <c r="L1571">
        <v>9</v>
      </c>
      <c r="M1571">
        <v>2026</v>
      </c>
      <c r="N1571">
        <v>1</v>
      </c>
      <c r="O1571">
        <v>6</v>
      </c>
      <c r="P1571">
        <v>2026</v>
      </c>
      <c r="Q1571">
        <v>6</v>
      </c>
      <c r="R1571" t="s">
        <v>40</v>
      </c>
      <c r="S1571" t="s">
        <v>67</v>
      </c>
      <c r="T1571" t="s">
        <v>42</v>
      </c>
      <c r="U1571" t="s">
        <v>40</v>
      </c>
      <c r="V1571" t="s">
        <v>147</v>
      </c>
      <c r="W1571" t="s">
        <v>148</v>
      </c>
      <c r="X1571" t="s">
        <v>45</v>
      </c>
      <c r="Y1571">
        <v>160</v>
      </c>
      <c r="Z1571" t="s">
        <v>107</v>
      </c>
      <c r="AA1571" t="s">
        <v>108</v>
      </c>
      <c r="AB1571" s="1">
        <v>46280</v>
      </c>
      <c r="AC1571" t="s">
        <v>40</v>
      </c>
      <c r="AD1571" t="s">
        <v>40</v>
      </c>
      <c r="AE1571" t="s">
        <v>60</v>
      </c>
      <c r="AF1571" t="s">
        <v>40</v>
      </c>
      <c r="AG1571">
        <v>1</v>
      </c>
      <c r="AH1571" t="s">
        <v>49</v>
      </c>
    </row>
    <row r="1572" spans="1:34" x14ac:dyDescent="0.3">
      <c r="A1572" t="s">
        <v>2278</v>
      </c>
      <c r="B1572" t="s">
        <v>1414</v>
      </c>
      <c r="C1572" t="s">
        <v>129</v>
      </c>
      <c r="D1572" t="s">
        <v>90</v>
      </c>
      <c r="E1572" s="1">
        <v>46028</v>
      </c>
      <c r="F1572" s="1">
        <v>46029</v>
      </c>
      <c r="G1572" t="s">
        <v>41</v>
      </c>
      <c r="H1572">
        <v>7050</v>
      </c>
      <c r="I1572" t="s">
        <v>212</v>
      </c>
      <c r="J1572" t="b">
        <v>0</v>
      </c>
      <c r="K1572">
        <v>1</v>
      </c>
      <c r="L1572">
        <v>1</v>
      </c>
      <c r="M1572">
        <v>2026</v>
      </c>
      <c r="N1572">
        <v>2</v>
      </c>
      <c r="O1572">
        <v>1</v>
      </c>
      <c r="P1572">
        <v>2026</v>
      </c>
      <c r="Q1572">
        <v>1</v>
      </c>
      <c r="R1572" t="s">
        <v>40</v>
      </c>
      <c r="S1572" t="s">
        <v>55</v>
      </c>
      <c r="T1572" t="s">
        <v>42</v>
      </c>
      <c r="U1572" t="s">
        <v>40</v>
      </c>
      <c r="V1572" t="s">
        <v>131</v>
      </c>
      <c r="W1572" t="s">
        <v>132</v>
      </c>
      <c r="X1572" t="s">
        <v>45</v>
      </c>
      <c r="Y1572">
        <v>110</v>
      </c>
      <c r="Z1572" t="s">
        <v>93</v>
      </c>
      <c r="AA1572" t="s">
        <v>94</v>
      </c>
      <c r="AB1572" s="1">
        <v>46029</v>
      </c>
      <c r="AC1572" t="s">
        <v>40</v>
      </c>
      <c r="AD1572" t="s">
        <v>40</v>
      </c>
      <c r="AE1572" t="s">
        <v>86</v>
      </c>
      <c r="AF1572" t="s">
        <v>40</v>
      </c>
      <c r="AG1572">
        <v>0</v>
      </c>
      <c r="AH1572" t="s">
        <v>100</v>
      </c>
    </row>
    <row r="1573" spans="1:34" x14ac:dyDescent="0.3">
      <c r="A1573" t="s">
        <v>2279</v>
      </c>
      <c r="B1573" t="s">
        <v>1268</v>
      </c>
      <c r="C1573" t="s">
        <v>73</v>
      </c>
      <c r="D1573" t="s">
        <v>53</v>
      </c>
      <c r="E1573" s="1">
        <v>45936</v>
      </c>
      <c r="F1573" s="1">
        <v>46036</v>
      </c>
      <c r="G1573" t="s">
        <v>81</v>
      </c>
      <c r="H1573">
        <v>9599</v>
      </c>
      <c r="I1573" t="s">
        <v>54</v>
      </c>
      <c r="J1573" t="b">
        <v>0</v>
      </c>
      <c r="K1573">
        <v>100</v>
      </c>
      <c r="L1573">
        <v>1</v>
      </c>
      <c r="M1573">
        <v>2026</v>
      </c>
      <c r="N1573">
        <v>2</v>
      </c>
      <c r="O1573">
        <v>10</v>
      </c>
      <c r="P1573">
        <v>2025</v>
      </c>
      <c r="Q1573">
        <v>0</v>
      </c>
      <c r="R1573" t="s">
        <v>40</v>
      </c>
      <c r="S1573" t="s">
        <v>45</v>
      </c>
      <c r="T1573" t="s">
        <v>42</v>
      </c>
      <c r="U1573" t="s">
        <v>66</v>
      </c>
      <c r="V1573" t="s">
        <v>74</v>
      </c>
      <c r="W1573" t="s">
        <v>75</v>
      </c>
      <c r="X1573" t="s">
        <v>76</v>
      </c>
      <c r="Y1573">
        <v>75</v>
      </c>
      <c r="Z1573" t="s">
        <v>58</v>
      </c>
      <c r="AA1573" t="s">
        <v>59</v>
      </c>
      <c r="AB1573" s="1">
        <v>46036</v>
      </c>
      <c r="AC1573" t="s">
        <v>40</v>
      </c>
      <c r="AD1573" t="s">
        <v>40</v>
      </c>
      <c r="AE1573" t="s">
        <v>86</v>
      </c>
      <c r="AF1573" t="s">
        <v>40</v>
      </c>
      <c r="AG1573">
        <v>1</v>
      </c>
      <c r="AH1573" t="s">
        <v>49</v>
      </c>
    </row>
    <row r="1574" spans="1:34" x14ac:dyDescent="0.3">
      <c r="A1574" t="s">
        <v>2280</v>
      </c>
      <c r="B1574" t="s">
        <v>2004</v>
      </c>
      <c r="C1574" t="s">
        <v>79</v>
      </c>
      <c r="D1574" t="s">
        <v>37</v>
      </c>
      <c r="E1574" s="1">
        <v>46101</v>
      </c>
      <c r="F1574" s="1">
        <v>46201</v>
      </c>
      <c r="G1574" t="s">
        <v>81</v>
      </c>
      <c r="H1574">
        <v>11209</v>
      </c>
      <c r="I1574" t="s">
        <v>65</v>
      </c>
      <c r="J1574" t="b">
        <v>0</v>
      </c>
      <c r="K1574">
        <v>100</v>
      </c>
      <c r="L1574">
        <v>6</v>
      </c>
      <c r="M1574">
        <v>2026</v>
      </c>
      <c r="N1574">
        <v>6</v>
      </c>
      <c r="O1574">
        <v>3</v>
      </c>
      <c r="P1574">
        <v>2026</v>
      </c>
      <c r="Q1574">
        <v>4</v>
      </c>
      <c r="R1574" t="s">
        <v>66</v>
      </c>
      <c r="S1574" t="s">
        <v>41</v>
      </c>
      <c r="T1574" t="s">
        <v>113</v>
      </c>
      <c r="U1574" t="s">
        <v>40</v>
      </c>
      <c r="V1574" t="s">
        <v>82</v>
      </c>
      <c r="W1574" t="s">
        <v>83</v>
      </c>
      <c r="X1574" t="s">
        <v>76</v>
      </c>
      <c r="Y1574">
        <v>100</v>
      </c>
      <c r="Z1574" t="s">
        <v>46</v>
      </c>
      <c r="AA1574" t="s">
        <v>47</v>
      </c>
      <c r="AB1574" s="1">
        <v>46201</v>
      </c>
      <c r="AC1574" t="s">
        <v>66</v>
      </c>
      <c r="AD1574" t="s">
        <v>40</v>
      </c>
      <c r="AE1574" t="s">
        <v>60</v>
      </c>
      <c r="AF1574" t="s">
        <v>40</v>
      </c>
      <c r="AG1574">
        <v>0</v>
      </c>
      <c r="AH1574" t="s">
        <v>49</v>
      </c>
    </row>
    <row r="1575" spans="1:34" x14ac:dyDescent="0.3">
      <c r="A1575" t="s">
        <v>2281</v>
      </c>
      <c r="B1575" t="s">
        <v>348</v>
      </c>
      <c r="C1575" t="s">
        <v>169</v>
      </c>
      <c r="D1575" t="s">
        <v>37</v>
      </c>
      <c r="E1575" s="1">
        <v>45748</v>
      </c>
      <c r="F1575" s="1">
        <v>45808</v>
      </c>
      <c r="G1575" t="s">
        <v>64</v>
      </c>
      <c r="H1575">
        <v>3209</v>
      </c>
      <c r="I1575" t="s">
        <v>39</v>
      </c>
      <c r="J1575" t="b">
        <v>0</v>
      </c>
      <c r="K1575">
        <v>60</v>
      </c>
      <c r="L1575">
        <v>5</v>
      </c>
      <c r="M1575">
        <v>2025</v>
      </c>
      <c r="N1575">
        <v>5</v>
      </c>
      <c r="O1575">
        <v>4</v>
      </c>
      <c r="P1575">
        <v>2025</v>
      </c>
      <c r="Q1575">
        <v>1</v>
      </c>
      <c r="R1575" t="s">
        <v>66</v>
      </c>
      <c r="S1575" t="s">
        <v>41</v>
      </c>
      <c r="T1575" t="s">
        <v>286</v>
      </c>
      <c r="U1575" t="s">
        <v>66</v>
      </c>
      <c r="V1575" t="s">
        <v>170</v>
      </c>
      <c r="W1575" t="s">
        <v>171</v>
      </c>
      <c r="X1575" t="s">
        <v>126</v>
      </c>
      <c r="Y1575">
        <v>90</v>
      </c>
      <c r="Z1575" t="s">
        <v>46</v>
      </c>
      <c r="AA1575" t="s">
        <v>47</v>
      </c>
      <c r="AB1575" s="1">
        <v>45808</v>
      </c>
      <c r="AC1575" t="s">
        <v>66</v>
      </c>
      <c r="AD1575" t="s">
        <v>40</v>
      </c>
      <c r="AE1575" t="s">
        <v>69</v>
      </c>
      <c r="AF1575" t="s">
        <v>40</v>
      </c>
      <c r="AG1575">
        <v>0</v>
      </c>
      <c r="AH1575" t="s">
        <v>61</v>
      </c>
    </row>
    <row r="1576" spans="1:34" x14ac:dyDescent="0.3">
      <c r="A1576" t="s">
        <v>2282</v>
      </c>
      <c r="B1576" t="s">
        <v>228</v>
      </c>
      <c r="C1576" t="s">
        <v>73</v>
      </c>
      <c r="D1576" t="s">
        <v>53</v>
      </c>
      <c r="E1576" s="1">
        <v>45888</v>
      </c>
      <c r="F1576" s="1">
        <v>45902</v>
      </c>
      <c r="G1576" t="s">
        <v>81</v>
      </c>
      <c r="H1576">
        <v>7964</v>
      </c>
      <c r="I1576" t="s">
        <v>39</v>
      </c>
      <c r="J1576" t="b">
        <v>0</v>
      </c>
      <c r="K1576">
        <v>14</v>
      </c>
      <c r="L1576">
        <v>9</v>
      </c>
      <c r="M1576">
        <v>2025</v>
      </c>
      <c r="N1576">
        <v>1</v>
      </c>
      <c r="O1576">
        <v>8</v>
      </c>
      <c r="P1576">
        <v>2025</v>
      </c>
      <c r="Q1576">
        <v>1</v>
      </c>
      <c r="R1576" t="s">
        <v>40</v>
      </c>
      <c r="S1576" t="s">
        <v>41</v>
      </c>
      <c r="T1576" t="s">
        <v>42</v>
      </c>
      <c r="U1576" t="s">
        <v>40</v>
      </c>
      <c r="V1576" t="s">
        <v>74</v>
      </c>
      <c r="W1576" t="s">
        <v>75</v>
      </c>
      <c r="X1576" t="s">
        <v>76</v>
      </c>
      <c r="Y1576">
        <v>75</v>
      </c>
      <c r="Z1576" t="s">
        <v>58</v>
      </c>
      <c r="AA1576" t="s">
        <v>59</v>
      </c>
      <c r="AB1576" s="1">
        <v>45902</v>
      </c>
      <c r="AC1576" t="s">
        <v>40</v>
      </c>
      <c r="AD1576" t="s">
        <v>40</v>
      </c>
      <c r="AE1576" t="s">
        <v>60</v>
      </c>
      <c r="AF1576" t="s">
        <v>40</v>
      </c>
      <c r="AG1576">
        <v>0</v>
      </c>
      <c r="AH1576" t="s">
        <v>70</v>
      </c>
    </row>
    <row r="1577" spans="1:34" x14ac:dyDescent="0.3">
      <c r="A1577" t="s">
        <v>2283</v>
      </c>
      <c r="B1577" t="s">
        <v>1181</v>
      </c>
      <c r="C1577" t="s">
        <v>146</v>
      </c>
      <c r="D1577" t="s">
        <v>130</v>
      </c>
      <c r="E1577" s="1">
        <v>46072</v>
      </c>
      <c r="F1577" s="1">
        <v>46086</v>
      </c>
      <c r="G1577" t="s">
        <v>64</v>
      </c>
      <c r="H1577">
        <v>3934</v>
      </c>
      <c r="I1577" t="s">
        <v>65</v>
      </c>
      <c r="J1577" t="b">
        <v>0</v>
      </c>
      <c r="K1577">
        <v>14</v>
      </c>
      <c r="L1577">
        <v>3</v>
      </c>
      <c r="M1577">
        <v>2026</v>
      </c>
      <c r="N1577">
        <v>3</v>
      </c>
      <c r="O1577">
        <v>2</v>
      </c>
      <c r="P1577">
        <v>2026</v>
      </c>
      <c r="Q1577">
        <v>3</v>
      </c>
      <c r="R1577" t="s">
        <v>40</v>
      </c>
      <c r="S1577" t="s">
        <v>67</v>
      </c>
      <c r="T1577" t="s">
        <v>42</v>
      </c>
      <c r="U1577" t="s">
        <v>40</v>
      </c>
      <c r="V1577" t="s">
        <v>147</v>
      </c>
      <c r="W1577" t="s">
        <v>148</v>
      </c>
      <c r="X1577" t="s">
        <v>45</v>
      </c>
      <c r="Y1577">
        <v>160</v>
      </c>
      <c r="Z1577" t="s">
        <v>133</v>
      </c>
      <c r="AA1577" t="s">
        <v>134</v>
      </c>
      <c r="AB1577" s="1">
        <v>46086</v>
      </c>
      <c r="AC1577" t="s">
        <v>40</v>
      </c>
      <c r="AD1577" t="s">
        <v>40</v>
      </c>
      <c r="AE1577" t="s">
        <v>60</v>
      </c>
      <c r="AF1577" t="s">
        <v>40</v>
      </c>
      <c r="AG1577">
        <v>0</v>
      </c>
      <c r="AH1577" t="s">
        <v>70</v>
      </c>
    </row>
    <row r="1578" spans="1:34" x14ac:dyDescent="0.3">
      <c r="A1578" t="s">
        <v>2284</v>
      </c>
      <c r="B1578" t="s">
        <v>1953</v>
      </c>
      <c r="C1578" t="s">
        <v>73</v>
      </c>
      <c r="D1578" t="s">
        <v>37</v>
      </c>
      <c r="E1578" s="1">
        <v>45943</v>
      </c>
      <c r="F1578" s="1">
        <v>45946</v>
      </c>
      <c r="G1578" t="s">
        <v>38</v>
      </c>
      <c r="H1578">
        <v>3620</v>
      </c>
      <c r="I1578" t="s">
        <v>65</v>
      </c>
      <c r="J1578" t="b">
        <v>0</v>
      </c>
      <c r="K1578">
        <v>3</v>
      </c>
      <c r="L1578">
        <v>10</v>
      </c>
      <c r="M1578">
        <v>2025</v>
      </c>
      <c r="N1578">
        <v>3</v>
      </c>
      <c r="O1578">
        <v>10</v>
      </c>
      <c r="P1578">
        <v>2025</v>
      </c>
      <c r="Q1578">
        <v>0</v>
      </c>
      <c r="R1578" t="s">
        <v>40</v>
      </c>
      <c r="S1578" t="s">
        <v>55</v>
      </c>
      <c r="T1578" t="s">
        <v>123</v>
      </c>
      <c r="U1578" t="s">
        <v>66</v>
      </c>
      <c r="V1578" t="s">
        <v>74</v>
      </c>
      <c r="W1578" t="s">
        <v>75</v>
      </c>
      <c r="X1578" t="s">
        <v>76</v>
      </c>
      <c r="Y1578">
        <v>75</v>
      </c>
      <c r="Z1578" t="s">
        <v>46</v>
      </c>
      <c r="AA1578" t="s">
        <v>47</v>
      </c>
      <c r="AB1578" s="1">
        <v>45946</v>
      </c>
      <c r="AC1578" t="s">
        <v>40</v>
      </c>
      <c r="AD1578" t="s">
        <v>40</v>
      </c>
      <c r="AE1578" t="s">
        <v>60</v>
      </c>
      <c r="AF1578" t="s">
        <v>40</v>
      </c>
      <c r="AG1578">
        <v>0</v>
      </c>
      <c r="AH1578" t="s">
        <v>100</v>
      </c>
    </row>
    <row r="1579" spans="1:34" x14ac:dyDescent="0.3">
      <c r="A1579" t="s">
        <v>2285</v>
      </c>
      <c r="B1579" t="s">
        <v>1074</v>
      </c>
      <c r="C1579" t="s">
        <v>103</v>
      </c>
      <c r="D1579" t="s">
        <v>130</v>
      </c>
      <c r="E1579" s="1">
        <v>45903</v>
      </c>
      <c r="F1579" s="1">
        <v>45933</v>
      </c>
      <c r="G1579" t="s">
        <v>64</v>
      </c>
      <c r="H1579">
        <v>2988</v>
      </c>
      <c r="I1579" t="s">
        <v>39</v>
      </c>
      <c r="J1579" t="b">
        <v>0</v>
      </c>
      <c r="K1579">
        <v>30</v>
      </c>
      <c r="L1579">
        <v>10</v>
      </c>
      <c r="M1579">
        <v>2025</v>
      </c>
      <c r="N1579">
        <v>4</v>
      </c>
      <c r="O1579">
        <v>9</v>
      </c>
      <c r="P1579">
        <v>2025</v>
      </c>
      <c r="Q1579">
        <v>2</v>
      </c>
      <c r="R1579" t="s">
        <v>40</v>
      </c>
      <c r="S1579" t="s">
        <v>45</v>
      </c>
      <c r="T1579" t="s">
        <v>123</v>
      </c>
      <c r="U1579" t="s">
        <v>40</v>
      </c>
      <c r="V1579" t="s">
        <v>105</v>
      </c>
      <c r="W1579" t="s">
        <v>106</v>
      </c>
      <c r="X1579" t="s">
        <v>45</v>
      </c>
      <c r="Y1579">
        <v>140</v>
      </c>
      <c r="Z1579" t="s">
        <v>133</v>
      </c>
      <c r="AA1579" t="s">
        <v>134</v>
      </c>
      <c r="AB1579" s="1">
        <v>45933</v>
      </c>
      <c r="AC1579" t="s">
        <v>40</v>
      </c>
      <c r="AD1579" t="s">
        <v>40</v>
      </c>
      <c r="AE1579" t="s">
        <v>60</v>
      </c>
      <c r="AF1579" t="s">
        <v>40</v>
      </c>
      <c r="AG1579">
        <v>0</v>
      </c>
      <c r="AH1579" t="s">
        <v>70</v>
      </c>
    </row>
    <row r="1580" spans="1:34" x14ac:dyDescent="0.3">
      <c r="A1580" t="s">
        <v>2286</v>
      </c>
      <c r="B1580" t="s">
        <v>368</v>
      </c>
      <c r="C1580" t="s">
        <v>122</v>
      </c>
      <c r="D1580" t="s">
        <v>80</v>
      </c>
      <c r="E1580" s="1">
        <v>46264</v>
      </c>
      <c r="F1580" s="1">
        <v>46294</v>
      </c>
      <c r="G1580" t="s">
        <v>64</v>
      </c>
      <c r="H1580">
        <v>18088</v>
      </c>
      <c r="I1580" t="s">
        <v>39</v>
      </c>
      <c r="J1580" t="b">
        <v>1</v>
      </c>
      <c r="K1580">
        <v>30</v>
      </c>
      <c r="L1580">
        <v>9</v>
      </c>
      <c r="M1580">
        <v>2026</v>
      </c>
      <c r="N1580">
        <v>1</v>
      </c>
      <c r="O1580">
        <v>8</v>
      </c>
      <c r="P1580">
        <v>2026</v>
      </c>
      <c r="Q1580">
        <v>6</v>
      </c>
      <c r="R1580" t="s">
        <v>40</v>
      </c>
      <c r="S1580" t="s">
        <v>67</v>
      </c>
      <c r="T1580" t="s">
        <v>42</v>
      </c>
      <c r="U1580" t="s">
        <v>40</v>
      </c>
      <c r="V1580" t="s">
        <v>124</v>
      </c>
      <c r="W1580" t="s">
        <v>125</v>
      </c>
      <c r="X1580" t="s">
        <v>126</v>
      </c>
      <c r="Y1580">
        <v>85</v>
      </c>
      <c r="Z1580" t="s">
        <v>84</v>
      </c>
      <c r="AA1580" t="s">
        <v>85</v>
      </c>
      <c r="AB1580" s="1">
        <v>46294</v>
      </c>
      <c r="AC1580" t="s">
        <v>40</v>
      </c>
      <c r="AD1580" t="s">
        <v>40</v>
      </c>
      <c r="AE1580" t="s">
        <v>60</v>
      </c>
      <c r="AF1580" t="s">
        <v>40</v>
      </c>
      <c r="AG1580">
        <v>0</v>
      </c>
      <c r="AH1580" t="s">
        <v>70</v>
      </c>
    </row>
    <row r="1581" spans="1:34" x14ac:dyDescent="0.3">
      <c r="A1581" t="s">
        <v>2287</v>
      </c>
      <c r="B1581" t="s">
        <v>481</v>
      </c>
      <c r="C1581" t="s">
        <v>73</v>
      </c>
      <c r="D1581" t="s">
        <v>130</v>
      </c>
      <c r="E1581" s="1">
        <v>46166</v>
      </c>
      <c r="F1581" s="1">
        <v>46226</v>
      </c>
      <c r="G1581" t="s">
        <v>41</v>
      </c>
      <c r="H1581">
        <v>8623</v>
      </c>
      <c r="I1581" t="s">
        <v>65</v>
      </c>
      <c r="J1581" t="b">
        <v>0</v>
      </c>
      <c r="K1581">
        <v>60</v>
      </c>
      <c r="L1581">
        <v>7</v>
      </c>
      <c r="M1581">
        <v>2026</v>
      </c>
      <c r="N1581">
        <v>3</v>
      </c>
      <c r="O1581">
        <v>5</v>
      </c>
      <c r="P1581">
        <v>2026</v>
      </c>
      <c r="Q1581">
        <v>6</v>
      </c>
      <c r="R1581" t="s">
        <v>40</v>
      </c>
      <c r="S1581" t="s">
        <v>55</v>
      </c>
      <c r="T1581" t="s">
        <v>42</v>
      </c>
      <c r="U1581" t="s">
        <v>40</v>
      </c>
      <c r="V1581" t="s">
        <v>74</v>
      </c>
      <c r="W1581" t="s">
        <v>75</v>
      </c>
      <c r="X1581" t="s">
        <v>76</v>
      </c>
      <c r="Y1581">
        <v>75</v>
      </c>
      <c r="Z1581" t="s">
        <v>133</v>
      </c>
      <c r="AA1581" t="s">
        <v>134</v>
      </c>
      <c r="AB1581" s="1">
        <v>46226</v>
      </c>
      <c r="AC1581" t="s">
        <v>40</v>
      </c>
      <c r="AD1581" t="s">
        <v>40</v>
      </c>
      <c r="AE1581" t="s">
        <v>86</v>
      </c>
      <c r="AF1581" t="s">
        <v>40</v>
      </c>
      <c r="AG1581">
        <v>0</v>
      </c>
      <c r="AH1581" t="s">
        <v>61</v>
      </c>
    </row>
    <row r="1582" spans="1:34" x14ac:dyDescent="0.3">
      <c r="A1582" t="s">
        <v>2288</v>
      </c>
      <c r="B1582" t="s">
        <v>2289</v>
      </c>
      <c r="C1582" t="s">
        <v>129</v>
      </c>
      <c r="D1582" t="s">
        <v>37</v>
      </c>
      <c r="E1582" s="1">
        <v>46289</v>
      </c>
      <c r="F1582" s="1">
        <v>46509</v>
      </c>
      <c r="G1582" t="s">
        <v>64</v>
      </c>
      <c r="H1582">
        <v>2729</v>
      </c>
      <c r="I1582" t="s">
        <v>39</v>
      </c>
      <c r="J1582" t="b">
        <v>0</v>
      </c>
      <c r="K1582">
        <v>220</v>
      </c>
      <c r="L1582">
        <v>5</v>
      </c>
      <c r="M1582">
        <v>2027</v>
      </c>
      <c r="N1582">
        <v>6</v>
      </c>
      <c r="O1582">
        <v>9</v>
      </c>
      <c r="P1582">
        <v>2026</v>
      </c>
      <c r="Q1582">
        <v>3</v>
      </c>
      <c r="R1582" t="s">
        <v>66</v>
      </c>
      <c r="S1582" t="s">
        <v>55</v>
      </c>
      <c r="T1582" t="s">
        <v>139</v>
      </c>
      <c r="U1582" t="s">
        <v>66</v>
      </c>
      <c r="V1582" t="s">
        <v>131</v>
      </c>
      <c r="W1582" t="s">
        <v>132</v>
      </c>
      <c r="X1582" t="s">
        <v>45</v>
      </c>
      <c r="Y1582">
        <v>110</v>
      </c>
      <c r="Z1582" t="s">
        <v>46</v>
      </c>
      <c r="AA1582" t="s">
        <v>47</v>
      </c>
      <c r="AB1582" s="1"/>
      <c r="AC1582" t="s">
        <v>48</v>
      </c>
      <c r="AD1582" t="s">
        <v>48</v>
      </c>
      <c r="AE1582" t="s">
        <v>48</v>
      </c>
      <c r="AF1582" t="s">
        <v>48</v>
      </c>
      <c r="AG1582">
        <v>0</v>
      </c>
      <c r="AH1582" t="s">
        <v>142</v>
      </c>
    </row>
    <row r="1583" spans="1:34" x14ac:dyDescent="0.3">
      <c r="A1583" t="s">
        <v>2290</v>
      </c>
      <c r="B1583" t="s">
        <v>336</v>
      </c>
      <c r="C1583" t="s">
        <v>79</v>
      </c>
      <c r="D1583" t="s">
        <v>53</v>
      </c>
      <c r="E1583" s="1">
        <v>45667</v>
      </c>
      <c r="F1583" s="1">
        <v>45697</v>
      </c>
      <c r="G1583" t="s">
        <v>64</v>
      </c>
      <c r="H1583">
        <v>4162</v>
      </c>
      <c r="I1583" t="s">
        <v>54</v>
      </c>
      <c r="J1583" t="b">
        <v>0</v>
      </c>
      <c r="K1583">
        <v>30</v>
      </c>
      <c r="L1583">
        <v>2</v>
      </c>
      <c r="M1583">
        <v>2025</v>
      </c>
      <c r="N1583">
        <v>6</v>
      </c>
      <c r="O1583">
        <v>1</v>
      </c>
      <c r="P1583">
        <v>2025</v>
      </c>
      <c r="Q1583">
        <v>4</v>
      </c>
      <c r="R1583" t="s">
        <v>66</v>
      </c>
      <c r="S1583" t="s">
        <v>55</v>
      </c>
      <c r="T1583" t="s">
        <v>42</v>
      </c>
      <c r="U1583" t="s">
        <v>40</v>
      </c>
      <c r="V1583" t="s">
        <v>82</v>
      </c>
      <c r="W1583" t="s">
        <v>83</v>
      </c>
      <c r="X1583" t="s">
        <v>76</v>
      </c>
      <c r="Y1583">
        <v>100</v>
      </c>
      <c r="Z1583" t="s">
        <v>58</v>
      </c>
      <c r="AA1583" t="s">
        <v>59</v>
      </c>
      <c r="AB1583" s="1">
        <v>45697</v>
      </c>
      <c r="AC1583" t="s">
        <v>66</v>
      </c>
      <c r="AD1583" t="s">
        <v>40</v>
      </c>
      <c r="AE1583" t="s">
        <v>60</v>
      </c>
      <c r="AF1583" t="s">
        <v>40</v>
      </c>
      <c r="AG1583">
        <v>1</v>
      </c>
      <c r="AH1583" t="s">
        <v>70</v>
      </c>
    </row>
    <row r="1584" spans="1:34" x14ac:dyDescent="0.3">
      <c r="A1584" t="s">
        <v>2291</v>
      </c>
      <c r="B1584" t="s">
        <v>355</v>
      </c>
      <c r="C1584" t="s">
        <v>52</v>
      </c>
      <c r="D1584" t="s">
        <v>104</v>
      </c>
      <c r="E1584" s="1">
        <v>45828</v>
      </c>
      <c r="F1584" s="1">
        <v>45858</v>
      </c>
      <c r="G1584" t="s">
        <v>41</v>
      </c>
      <c r="H1584">
        <v>5563</v>
      </c>
      <c r="I1584" t="s">
        <v>39</v>
      </c>
      <c r="J1584" t="b">
        <v>0</v>
      </c>
      <c r="K1584">
        <v>30</v>
      </c>
      <c r="L1584">
        <v>7</v>
      </c>
      <c r="M1584">
        <v>2025</v>
      </c>
      <c r="N1584">
        <v>6</v>
      </c>
      <c r="O1584">
        <v>6</v>
      </c>
      <c r="P1584">
        <v>2025</v>
      </c>
      <c r="Q1584">
        <v>4</v>
      </c>
      <c r="R1584" t="s">
        <v>66</v>
      </c>
      <c r="S1584" t="s">
        <v>55</v>
      </c>
      <c r="T1584" t="s">
        <v>113</v>
      </c>
      <c r="U1584" t="s">
        <v>66</v>
      </c>
      <c r="V1584" t="s">
        <v>56</v>
      </c>
      <c r="W1584" t="s">
        <v>57</v>
      </c>
      <c r="X1584" t="s">
        <v>45</v>
      </c>
      <c r="Y1584">
        <v>120</v>
      </c>
      <c r="Z1584" t="s">
        <v>107</v>
      </c>
      <c r="AA1584" t="s">
        <v>108</v>
      </c>
      <c r="AB1584" s="1">
        <v>45858</v>
      </c>
      <c r="AC1584" t="s">
        <v>66</v>
      </c>
      <c r="AD1584" t="s">
        <v>40</v>
      </c>
      <c r="AE1584" t="s">
        <v>86</v>
      </c>
      <c r="AF1584" t="s">
        <v>40</v>
      </c>
      <c r="AG1584">
        <v>0</v>
      </c>
      <c r="AH1584" t="s">
        <v>70</v>
      </c>
    </row>
    <row r="1585" spans="1:34" x14ac:dyDescent="0.3">
      <c r="A1585" t="s">
        <v>2292</v>
      </c>
      <c r="B1585" t="s">
        <v>1546</v>
      </c>
      <c r="C1585" t="s">
        <v>122</v>
      </c>
      <c r="D1585" t="s">
        <v>130</v>
      </c>
      <c r="E1585" s="1">
        <v>46083</v>
      </c>
      <c r="F1585" s="1">
        <v>46086</v>
      </c>
      <c r="G1585" t="s">
        <v>64</v>
      </c>
      <c r="H1585">
        <v>3613</v>
      </c>
      <c r="I1585" t="s">
        <v>39</v>
      </c>
      <c r="J1585" t="b">
        <v>0</v>
      </c>
      <c r="K1585">
        <v>3</v>
      </c>
      <c r="L1585">
        <v>3</v>
      </c>
      <c r="M1585">
        <v>2026</v>
      </c>
      <c r="N1585">
        <v>3</v>
      </c>
      <c r="O1585">
        <v>3</v>
      </c>
      <c r="P1585">
        <v>2026</v>
      </c>
      <c r="Q1585">
        <v>0</v>
      </c>
      <c r="R1585" t="s">
        <v>40</v>
      </c>
      <c r="S1585" t="s">
        <v>41</v>
      </c>
      <c r="T1585" t="s">
        <v>68</v>
      </c>
      <c r="U1585" t="s">
        <v>40</v>
      </c>
      <c r="V1585" t="s">
        <v>124</v>
      </c>
      <c r="W1585" t="s">
        <v>125</v>
      </c>
      <c r="X1585" t="s">
        <v>126</v>
      </c>
      <c r="Y1585">
        <v>85</v>
      </c>
      <c r="Z1585" t="s">
        <v>133</v>
      </c>
      <c r="AA1585" t="s">
        <v>134</v>
      </c>
      <c r="AB1585" s="1">
        <v>46086</v>
      </c>
      <c r="AC1585" t="s">
        <v>40</v>
      </c>
      <c r="AD1585" t="s">
        <v>40</v>
      </c>
      <c r="AE1585" t="s">
        <v>60</v>
      </c>
      <c r="AF1585" t="s">
        <v>40</v>
      </c>
      <c r="AG1585">
        <v>0</v>
      </c>
      <c r="AH1585" t="s">
        <v>100</v>
      </c>
    </row>
    <row r="1586" spans="1:34" x14ac:dyDescent="0.3">
      <c r="A1586" t="s">
        <v>2293</v>
      </c>
      <c r="B1586" t="s">
        <v>577</v>
      </c>
      <c r="C1586" t="s">
        <v>129</v>
      </c>
      <c r="D1586" t="s">
        <v>80</v>
      </c>
      <c r="E1586" s="1">
        <v>46260</v>
      </c>
      <c r="F1586" s="1">
        <v>46290</v>
      </c>
      <c r="G1586" t="s">
        <v>41</v>
      </c>
      <c r="H1586">
        <v>7193</v>
      </c>
      <c r="I1586" t="s">
        <v>39</v>
      </c>
      <c r="J1586" t="b">
        <v>0</v>
      </c>
      <c r="K1586">
        <v>30</v>
      </c>
      <c r="L1586">
        <v>9</v>
      </c>
      <c r="M1586">
        <v>2026</v>
      </c>
      <c r="N1586">
        <v>4</v>
      </c>
      <c r="O1586">
        <v>8</v>
      </c>
      <c r="P1586">
        <v>2026</v>
      </c>
      <c r="Q1586">
        <v>2</v>
      </c>
      <c r="R1586" t="s">
        <v>40</v>
      </c>
      <c r="S1586" t="s">
        <v>55</v>
      </c>
      <c r="T1586" t="s">
        <v>42</v>
      </c>
      <c r="U1586" t="s">
        <v>66</v>
      </c>
      <c r="V1586" t="s">
        <v>131</v>
      </c>
      <c r="W1586" t="s">
        <v>132</v>
      </c>
      <c r="X1586" t="s">
        <v>45</v>
      </c>
      <c r="Y1586">
        <v>110</v>
      </c>
      <c r="Z1586" t="s">
        <v>84</v>
      </c>
      <c r="AA1586" t="s">
        <v>85</v>
      </c>
      <c r="AB1586" s="1">
        <v>46290</v>
      </c>
      <c r="AC1586" t="s">
        <v>40</v>
      </c>
      <c r="AD1586" t="s">
        <v>40</v>
      </c>
      <c r="AE1586" t="s">
        <v>60</v>
      </c>
      <c r="AF1586" t="s">
        <v>40</v>
      </c>
      <c r="AG1586">
        <v>0</v>
      </c>
      <c r="AH1586" t="s">
        <v>70</v>
      </c>
    </row>
    <row r="1587" spans="1:34" x14ac:dyDescent="0.3">
      <c r="A1587" t="s">
        <v>2294</v>
      </c>
      <c r="B1587" t="s">
        <v>1808</v>
      </c>
      <c r="C1587" t="s">
        <v>103</v>
      </c>
      <c r="D1587" t="s">
        <v>80</v>
      </c>
      <c r="E1587" s="1">
        <v>45766</v>
      </c>
      <c r="F1587" s="1">
        <v>45866</v>
      </c>
      <c r="G1587" t="s">
        <v>64</v>
      </c>
      <c r="H1587">
        <v>3834</v>
      </c>
      <c r="I1587" t="s">
        <v>39</v>
      </c>
      <c r="J1587" t="b">
        <v>0</v>
      </c>
      <c r="K1587">
        <v>100</v>
      </c>
      <c r="L1587">
        <v>7</v>
      </c>
      <c r="M1587">
        <v>2025</v>
      </c>
      <c r="N1587">
        <v>0</v>
      </c>
      <c r="O1587">
        <v>4</v>
      </c>
      <c r="P1587">
        <v>2025</v>
      </c>
      <c r="Q1587">
        <v>5</v>
      </c>
      <c r="R1587" t="s">
        <v>40</v>
      </c>
      <c r="S1587" t="s">
        <v>55</v>
      </c>
      <c r="T1587" t="s">
        <v>42</v>
      </c>
      <c r="U1587" t="s">
        <v>66</v>
      </c>
      <c r="V1587" t="s">
        <v>105</v>
      </c>
      <c r="W1587" t="s">
        <v>106</v>
      </c>
      <c r="X1587" t="s">
        <v>45</v>
      </c>
      <c r="Y1587">
        <v>140</v>
      </c>
      <c r="Z1587" t="s">
        <v>84</v>
      </c>
      <c r="AA1587" t="s">
        <v>85</v>
      </c>
      <c r="AB1587" s="1">
        <v>45866</v>
      </c>
      <c r="AC1587" t="s">
        <v>40</v>
      </c>
      <c r="AD1587" t="s">
        <v>40</v>
      </c>
      <c r="AE1587" t="s">
        <v>86</v>
      </c>
      <c r="AF1587" t="s">
        <v>40</v>
      </c>
      <c r="AG1587">
        <v>0</v>
      </c>
      <c r="AH1587" t="s">
        <v>49</v>
      </c>
    </row>
    <row r="1588" spans="1:34" x14ac:dyDescent="0.3">
      <c r="A1588" t="s">
        <v>2295</v>
      </c>
      <c r="B1588" t="s">
        <v>572</v>
      </c>
      <c r="C1588" t="s">
        <v>122</v>
      </c>
      <c r="D1588" t="s">
        <v>80</v>
      </c>
      <c r="E1588" s="1">
        <v>45690</v>
      </c>
      <c r="F1588" s="1">
        <v>45691</v>
      </c>
      <c r="G1588" t="s">
        <v>81</v>
      </c>
      <c r="H1588">
        <v>8247</v>
      </c>
      <c r="I1588" t="s">
        <v>212</v>
      </c>
      <c r="J1588" t="b">
        <v>0</v>
      </c>
      <c r="K1588">
        <v>1</v>
      </c>
      <c r="L1588">
        <v>2</v>
      </c>
      <c r="M1588">
        <v>2025</v>
      </c>
      <c r="N1588">
        <v>0</v>
      </c>
      <c r="O1588">
        <v>2</v>
      </c>
      <c r="P1588">
        <v>2025</v>
      </c>
      <c r="Q1588">
        <v>6</v>
      </c>
      <c r="R1588" t="s">
        <v>40</v>
      </c>
      <c r="S1588" t="s">
        <v>45</v>
      </c>
      <c r="T1588" t="s">
        <v>48</v>
      </c>
      <c r="U1588" t="s">
        <v>40</v>
      </c>
      <c r="V1588" t="s">
        <v>124</v>
      </c>
      <c r="W1588" t="s">
        <v>125</v>
      </c>
      <c r="X1588" t="s">
        <v>126</v>
      </c>
      <c r="Y1588">
        <v>85</v>
      </c>
      <c r="Z1588" t="s">
        <v>84</v>
      </c>
      <c r="AA1588" t="s">
        <v>85</v>
      </c>
      <c r="AB1588" s="1">
        <v>45691</v>
      </c>
      <c r="AC1588" t="s">
        <v>40</v>
      </c>
      <c r="AD1588" t="s">
        <v>40</v>
      </c>
      <c r="AE1588" t="s">
        <v>60</v>
      </c>
      <c r="AF1588" t="s">
        <v>40</v>
      </c>
      <c r="AG1588">
        <v>0</v>
      </c>
      <c r="AH1588" t="s">
        <v>100</v>
      </c>
    </row>
    <row r="1589" spans="1:34" x14ac:dyDescent="0.3">
      <c r="A1589" t="s">
        <v>2296</v>
      </c>
      <c r="B1589" t="s">
        <v>500</v>
      </c>
      <c r="C1589" t="s">
        <v>103</v>
      </c>
      <c r="D1589" t="s">
        <v>80</v>
      </c>
      <c r="E1589" s="1">
        <v>45696</v>
      </c>
      <c r="F1589" s="1">
        <v>45756</v>
      </c>
      <c r="G1589" t="s">
        <v>41</v>
      </c>
      <c r="H1589">
        <v>6443</v>
      </c>
      <c r="I1589" t="s">
        <v>65</v>
      </c>
      <c r="J1589" t="b">
        <v>0</v>
      </c>
      <c r="K1589">
        <v>60</v>
      </c>
      <c r="L1589">
        <v>4</v>
      </c>
      <c r="M1589">
        <v>2025</v>
      </c>
      <c r="N1589">
        <v>2</v>
      </c>
      <c r="O1589">
        <v>2</v>
      </c>
      <c r="P1589">
        <v>2025</v>
      </c>
      <c r="Q1589">
        <v>5</v>
      </c>
      <c r="R1589" t="s">
        <v>40</v>
      </c>
      <c r="S1589" t="s">
        <v>41</v>
      </c>
      <c r="T1589" t="s">
        <v>42</v>
      </c>
      <c r="U1589" t="s">
        <v>40</v>
      </c>
      <c r="V1589" t="s">
        <v>105</v>
      </c>
      <c r="W1589" t="s">
        <v>106</v>
      </c>
      <c r="X1589" t="s">
        <v>45</v>
      </c>
      <c r="Y1589">
        <v>140</v>
      </c>
      <c r="Z1589" t="s">
        <v>84</v>
      </c>
      <c r="AA1589" t="s">
        <v>85</v>
      </c>
      <c r="AB1589" s="1">
        <v>45756</v>
      </c>
      <c r="AC1589" t="s">
        <v>40</v>
      </c>
      <c r="AD1589" t="s">
        <v>40</v>
      </c>
      <c r="AE1589" t="s">
        <v>69</v>
      </c>
      <c r="AF1589" t="s">
        <v>40</v>
      </c>
      <c r="AG1589">
        <v>0</v>
      </c>
      <c r="AH1589" t="s">
        <v>61</v>
      </c>
    </row>
    <row r="1590" spans="1:34" x14ac:dyDescent="0.3">
      <c r="A1590" t="s">
        <v>2297</v>
      </c>
      <c r="B1590" t="s">
        <v>1326</v>
      </c>
      <c r="C1590" t="s">
        <v>103</v>
      </c>
      <c r="D1590" t="s">
        <v>104</v>
      </c>
      <c r="E1590" s="1">
        <v>46356</v>
      </c>
      <c r="F1590" s="1">
        <v>46416</v>
      </c>
      <c r="G1590" t="s">
        <v>64</v>
      </c>
      <c r="H1590">
        <v>3469</v>
      </c>
      <c r="I1590" t="s">
        <v>39</v>
      </c>
      <c r="J1590" t="b">
        <v>0</v>
      </c>
      <c r="K1590">
        <v>60</v>
      </c>
      <c r="L1590">
        <v>1</v>
      </c>
      <c r="M1590">
        <v>2027</v>
      </c>
      <c r="N1590">
        <v>4</v>
      </c>
      <c r="O1590">
        <v>11</v>
      </c>
      <c r="P1590">
        <v>2026</v>
      </c>
      <c r="Q1590">
        <v>0</v>
      </c>
      <c r="R1590" t="s">
        <v>40</v>
      </c>
      <c r="S1590" t="s">
        <v>67</v>
      </c>
      <c r="T1590" t="s">
        <v>42</v>
      </c>
      <c r="U1590" t="s">
        <v>40</v>
      </c>
      <c r="V1590" t="s">
        <v>105</v>
      </c>
      <c r="W1590" t="s">
        <v>106</v>
      </c>
      <c r="X1590" t="s">
        <v>45</v>
      </c>
      <c r="Y1590">
        <v>140</v>
      </c>
      <c r="Z1590" t="s">
        <v>107</v>
      </c>
      <c r="AA1590" t="s">
        <v>108</v>
      </c>
      <c r="AB1590" s="1"/>
      <c r="AC1590" t="s">
        <v>48</v>
      </c>
      <c r="AD1590" t="s">
        <v>48</v>
      </c>
      <c r="AE1590" t="s">
        <v>48</v>
      </c>
      <c r="AF1590" t="s">
        <v>48</v>
      </c>
      <c r="AG1590">
        <v>0</v>
      </c>
      <c r="AH1590" t="s">
        <v>61</v>
      </c>
    </row>
    <row r="1591" spans="1:34" x14ac:dyDescent="0.3">
      <c r="A1591" t="s">
        <v>2298</v>
      </c>
      <c r="B1591" t="s">
        <v>265</v>
      </c>
      <c r="C1591" t="s">
        <v>36</v>
      </c>
      <c r="D1591" t="s">
        <v>53</v>
      </c>
      <c r="E1591" s="1">
        <v>45714</v>
      </c>
      <c r="F1591" s="1">
        <v>45774</v>
      </c>
      <c r="G1591" t="s">
        <v>41</v>
      </c>
      <c r="H1591">
        <v>26485</v>
      </c>
      <c r="I1591" t="s">
        <v>54</v>
      </c>
      <c r="J1591" t="b">
        <v>0</v>
      </c>
      <c r="K1591">
        <v>60</v>
      </c>
      <c r="L1591">
        <v>4</v>
      </c>
      <c r="M1591">
        <v>2025</v>
      </c>
      <c r="N1591">
        <v>6</v>
      </c>
      <c r="O1591">
        <v>2</v>
      </c>
      <c r="P1591">
        <v>2025</v>
      </c>
      <c r="Q1591">
        <v>2</v>
      </c>
      <c r="R1591" t="s">
        <v>66</v>
      </c>
      <c r="S1591" t="s">
        <v>55</v>
      </c>
      <c r="T1591" t="s">
        <v>42</v>
      </c>
      <c r="U1591" t="s">
        <v>40</v>
      </c>
      <c r="V1591" t="s">
        <v>43</v>
      </c>
      <c r="W1591" t="s">
        <v>44</v>
      </c>
      <c r="X1591" t="s">
        <v>45</v>
      </c>
      <c r="Y1591">
        <v>150</v>
      </c>
      <c r="Z1591" t="s">
        <v>58</v>
      </c>
      <c r="AA1591" t="s">
        <v>59</v>
      </c>
      <c r="AB1591" s="1">
        <v>45774</v>
      </c>
      <c r="AC1591" t="s">
        <v>66</v>
      </c>
      <c r="AD1591" t="s">
        <v>40</v>
      </c>
      <c r="AE1591" t="s">
        <v>69</v>
      </c>
      <c r="AF1591" t="s">
        <v>40</v>
      </c>
      <c r="AG1591">
        <v>1</v>
      </c>
      <c r="AH1591" t="s">
        <v>61</v>
      </c>
    </row>
    <row r="1592" spans="1:34" x14ac:dyDescent="0.3">
      <c r="A1592" t="s">
        <v>2299</v>
      </c>
      <c r="B1592" t="s">
        <v>703</v>
      </c>
      <c r="C1592" t="s">
        <v>52</v>
      </c>
      <c r="D1592" t="s">
        <v>37</v>
      </c>
      <c r="E1592" s="1">
        <v>46193</v>
      </c>
      <c r="F1592" s="1">
        <v>46253</v>
      </c>
      <c r="G1592" t="s">
        <v>38</v>
      </c>
      <c r="H1592">
        <v>4367</v>
      </c>
      <c r="I1592" t="s">
        <v>39</v>
      </c>
      <c r="J1592" t="b">
        <v>0</v>
      </c>
      <c r="K1592">
        <v>60</v>
      </c>
      <c r="L1592">
        <v>8</v>
      </c>
      <c r="M1592">
        <v>2026</v>
      </c>
      <c r="N1592">
        <v>2</v>
      </c>
      <c r="O1592">
        <v>6</v>
      </c>
      <c r="P1592">
        <v>2026</v>
      </c>
      <c r="Q1592">
        <v>5</v>
      </c>
      <c r="R1592" t="s">
        <v>40</v>
      </c>
      <c r="S1592" t="s">
        <v>55</v>
      </c>
      <c r="T1592" t="s">
        <v>123</v>
      </c>
      <c r="U1592" t="s">
        <v>40</v>
      </c>
      <c r="V1592" t="s">
        <v>56</v>
      </c>
      <c r="W1592" t="s">
        <v>57</v>
      </c>
      <c r="X1592" t="s">
        <v>45</v>
      </c>
      <c r="Y1592">
        <v>120</v>
      </c>
      <c r="Z1592" t="s">
        <v>46</v>
      </c>
      <c r="AA1592" t="s">
        <v>47</v>
      </c>
      <c r="AB1592" s="1">
        <v>46253</v>
      </c>
      <c r="AC1592" t="s">
        <v>40</v>
      </c>
      <c r="AD1592" t="s">
        <v>40</v>
      </c>
      <c r="AE1592" t="s">
        <v>86</v>
      </c>
      <c r="AF1592" t="s">
        <v>40</v>
      </c>
      <c r="AG1592">
        <v>0</v>
      </c>
      <c r="AH1592" t="s">
        <v>61</v>
      </c>
    </row>
    <row r="1593" spans="1:34" x14ac:dyDescent="0.3">
      <c r="A1593" t="s">
        <v>2300</v>
      </c>
      <c r="B1593" t="s">
        <v>1944</v>
      </c>
      <c r="C1593" t="s">
        <v>169</v>
      </c>
      <c r="D1593" t="s">
        <v>80</v>
      </c>
      <c r="E1593" s="1">
        <v>45725</v>
      </c>
      <c r="F1593" s="1">
        <v>45732</v>
      </c>
      <c r="G1593" t="s">
        <v>64</v>
      </c>
      <c r="H1593">
        <v>4069</v>
      </c>
      <c r="I1593" t="s">
        <v>54</v>
      </c>
      <c r="J1593" t="b">
        <v>0</v>
      </c>
      <c r="K1593">
        <v>7</v>
      </c>
      <c r="L1593">
        <v>3</v>
      </c>
      <c r="M1593">
        <v>2025</v>
      </c>
      <c r="N1593">
        <v>6</v>
      </c>
      <c r="O1593">
        <v>3</v>
      </c>
      <c r="P1593">
        <v>2025</v>
      </c>
      <c r="Q1593">
        <v>6</v>
      </c>
      <c r="R1593" t="s">
        <v>66</v>
      </c>
      <c r="S1593" t="s">
        <v>55</v>
      </c>
      <c r="T1593" t="s">
        <v>42</v>
      </c>
      <c r="U1593" t="s">
        <v>40</v>
      </c>
      <c r="V1593" t="s">
        <v>170</v>
      </c>
      <c r="W1593" t="s">
        <v>171</v>
      </c>
      <c r="X1593" t="s">
        <v>126</v>
      </c>
      <c r="Y1593">
        <v>90</v>
      </c>
      <c r="Z1593" t="s">
        <v>84</v>
      </c>
      <c r="AA1593" t="s">
        <v>85</v>
      </c>
      <c r="AB1593" s="1">
        <v>45732</v>
      </c>
      <c r="AC1593" t="s">
        <v>66</v>
      </c>
      <c r="AD1593" t="s">
        <v>40</v>
      </c>
      <c r="AE1593" t="s">
        <v>60</v>
      </c>
      <c r="AF1593" t="s">
        <v>40</v>
      </c>
      <c r="AG1593">
        <v>1</v>
      </c>
      <c r="AH1593" t="s">
        <v>100</v>
      </c>
    </row>
    <row r="1594" spans="1:34" x14ac:dyDescent="0.3">
      <c r="A1594" t="s">
        <v>2301</v>
      </c>
      <c r="B1594" t="s">
        <v>626</v>
      </c>
      <c r="C1594" t="s">
        <v>79</v>
      </c>
      <c r="D1594" t="s">
        <v>90</v>
      </c>
      <c r="E1594" s="1">
        <v>45705</v>
      </c>
      <c r="F1594" s="1">
        <v>45708</v>
      </c>
      <c r="G1594" t="s">
        <v>81</v>
      </c>
      <c r="H1594">
        <v>9487</v>
      </c>
      <c r="I1594" t="s">
        <v>39</v>
      </c>
      <c r="J1594" t="b">
        <v>0</v>
      </c>
      <c r="K1594">
        <v>3</v>
      </c>
      <c r="L1594">
        <v>2</v>
      </c>
      <c r="M1594">
        <v>2025</v>
      </c>
      <c r="N1594">
        <v>3</v>
      </c>
      <c r="O1594">
        <v>2</v>
      </c>
      <c r="P1594">
        <v>2025</v>
      </c>
      <c r="Q1594">
        <v>0</v>
      </c>
      <c r="R1594" t="s">
        <v>40</v>
      </c>
      <c r="S1594" t="s">
        <v>55</v>
      </c>
      <c r="T1594" t="s">
        <v>42</v>
      </c>
      <c r="U1594" t="s">
        <v>40</v>
      </c>
      <c r="V1594" t="s">
        <v>82</v>
      </c>
      <c r="W1594" t="s">
        <v>83</v>
      </c>
      <c r="X1594" t="s">
        <v>76</v>
      </c>
      <c r="Y1594">
        <v>100</v>
      </c>
      <c r="Z1594" t="s">
        <v>93</v>
      </c>
      <c r="AA1594" t="s">
        <v>94</v>
      </c>
      <c r="AB1594" s="1">
        <v>45708</v>
      </c>
      <c r="AC1594" t="s">
        <v>40</v>
      </c>
      <c r="AD1594" t="s">
        <v>40</v>
      </c>
      <c r="AE1594" t="s">
        <v>60</v>
      </c>
      <c r="AF1594" t="s">
        <v>40</v>
      </c>
      <c r="AG1594">
        <v>0</v>
      </c>
      <c r="AH1594" t="s">
        <v>100</v>
      </c>
    </row>
    <row r="1595" spans="1:34" x14ac:dyDescent="0.3">
      <c r="A1595" t="s">
        <v>2302</v>
      </c>
      <c r="B1595" t="s">
        <v>822</v>
      </c>
      <c r="C1595" t="s">
        <v>103</v>
      </c>
      <c r="D1595" t="s">
        <v>37</v>
      </c>
      <c r="E1595" s="1">
        <v>45908</v>
      </c>
      <c r="F1595" s="1">
        <v>45915</v>
      </c>
      <c r="G1595" t="s">
        <v>81</v>
      </c>
      <c r="H1595">
        <v>36215</v>
      </c>
      <c r="I1595" t="s">
        <v>65</v>
      </c>
      <c r="J1595" t="b">
        <v>0</v>
      </c>
      <c r="K1595">
        <v>7</v>
      </c>
      <c r="L1595">
        <v>9</v>
      </c>
      <c r="M1595">
        <v>2025</v>
      </c>
      <c r="N1595">
        <v>0</v>
      </c>
      <c r="O1595">
        <v>9</v>
      </c>
      <c r="P1595">
        <v>2025</v>
      </c>
      <c r="Q1595">
        <v>0</v>
      </c>
      <c r="R1595" t="s">
        <v>40</v>
      </c>
      <c r="S1595" t="s">
        <v>45</v>
      </c>
      <c r="T1595" t="s">
        <v>42</v>
      </c>
      <c r="U1595" t="s">
        <v>40</v>
      </c>
      <c r="V1595" t="s">
        <v>105</v>
      </c>
      <c r="W1595" t="s">
        <v>106</v>
      </c>
      <c r="X1595" t="s">
        <v>45</v>
      </c>
      <c r="Y1595">
        <v>140</v>
      </c>
      <c r="Z1595" t="s">
        <v>46</v>
      </c>
      <c r="AA1595" t="s">
        <v>47</v>
      </c>
      <c r="AB1595" s="1">
        <v>45915</v>
      </c>
      <c r="AC1595" t="s">
        <v>40</v>
      </c>
      <c r="AD1595" t="s">
        <v>40</v>
      </c>
      <c r="AE1595" t="s">
        <v>60</v>
      </c>
      <c r="AF1595" t="s">
        <v>40</v>
      </c>
      <c r="AG1595">
        <v>0</v>
      </c>
      <c r="AH1595" t="s">
        <v>100</v>
      </c>
    </row>
    <row r="1596" spans="1:34" x14ac:dyDescent="0.3">
      <c r="A1596" t="s">
        <v>2303</v>
      </c>
      <c r="B1596" t="s">
        <v>1486</v>
      </c>
      <c r="C1596" t="s">
        <v>122</v>
      </c>
      <c r="D1596" t="s">
        <v>104</v>
      </c>
      <c r="E1596" s="1">
        <v>45923</v>
      </c>
      <c r="F1596" s="1">
        <v>45983</v>
      </c>
      <c r="G1596" t="s">
        <v>38</v>
      </c>
      <c r="H1596">
        <v>5897</v>
      </c>
      <c r="I1596" t="s">
        <v>39</v>
      </c>
      <c r="J1596" t="b">
        <v>0</v>
      </c>
      <c r="K1596">
        <v>60</v>
      </c>
      <c r="L1596">
        <v>11</v>
      </c>
      <c r="M1596">
        <v>2025</v>
      </c>
      <c r="N1596">
        <v>5</v>
      </c>
      <c r="O1596">
        <v>9</v>
      </c>
      <c r="P1596">
        <v>2025</v>
      </c>
      <c r="Q1596">
        <v>1</v>
      </c>
      <c r="R1596" t="s">
        <v>66</v>
      </c>
      <c r="S1596" t="s">
        <v>45</v>
      </c>
      <c r="T1596" t="s">
        <v>42</v>
      </c>
      <c r="U1596" t="s">
        <v>40</v>
      </c>
      <c r="V1596" t="s">
        <v>124</v>
      </c>
      <c r="W1596" t="s">
        <v>125</v>
      </c>
      <c r="X1596" t="s">
        <v>126</v>
      </c>
      <c r="Y1596">
        <v>85</v>
      </c>
      <c r="Z1596" t="s">
        <v>107</v>
      </c>
      <c r="AA1596" t="s">
        <v>108</v>
      </c>
      <c r="AB1596" s="1">
        <v>45983</v>
      </c>
      <c r="AC1596" t="s">
        <v>66</v>
      </c>
      <c r="AD1596" t="s">
        <v>40</v>
      </c>
      <c r="AE1596" t="s">
        <v>86</v>
      </c>
      <c r="AF1596" t="s">
        <v>40</v>
      </c>
      <c r="AG1596">
        <v>0</v>
      </c>
      <c r="AH1596" t="s">
        <v>61</v>
      </c>
    </row>
    <row r="1597" spans="1:34" x14ac:dyDescent="0.3">
      <c r="A1597" t="s">
        <v>2304</v>
      </c>
      <c r="B1597" t="s">
        <v>365</v>
      </c>
      <c r="C1597" t="s">
        <v>79</v>
      </c>
      <c r="D1597" t="s">
        <v>37</v>
      </c>
      <c r="E1597" s="1">
        <v>45771</v>
      </c>
      <c r="F1597" s="1">
        <v>45774</v>
      </c>
      <c r="G1597" t="s">
        <v>64</v>
      </c>
      <c r="H1597">
        <v>4058</v>
      </c>
      <c r="I1597" t="s">
        <v>39</v>
      </c>
      <c r="J1597" t="b">
        <v>0</v>
      </c>
      <c r="K1597">
        <v>3</v>
      </c>
      <c r="L1597">
        <v>4</v>
      </c>
      <c r="M1597">
        <v>2025</v>
      </c>
      <c r="N1597">
        <v>6</v>
      </c>
      <c r="O1597">
        <v>4</v>
      </c>
      <c r="P1597">
        <v>2025</v>
      </c>
      <c r="Q1597">
        <v>3</v>
      </c>
      <c r="R1597" t="s">
        <v>66</v>
      </c>
      <c r="S1597" t="s">
        <v>41</v>
      </c>
      <c r="T1597" t="s">
        <v>42</v>
      </c>
      <c r="U1597" t="s">
        <v>40</v>
      </c>
      <c r="V1597" t="s">
        <v>82</v>
      </c>
      <c r="W1597" t="s">
        <v>83</v>
      </c>
      <c r="X1597" t="s">
        <v>76</v>
      </c>
      <c r="Y1597">
        <v>100</v>
      </c>
      <c r="Z1597" t="s">
        <v>46</v>
      </c>
      <c r="AA1597" t="s">
        <v>47</v>
      </c>
      <c r="AB1597" s="1">
        <v>45774</v>
      </c>
      <c r="AC1597" t="s">
        <v>66</v>
      </c>
      <c r="AD1597" t="s">
        <v>40</v>
      </c>
      <c r="AE1597" t="s">
        <v>69</v>
      </c>
      <c r="AF1597" t="s">
        <v>40</v>
      </c>
      <c r="AG1597">
        <v>0</v>
      </c>
      <c r="AH1597" t="s">
        <v>100</v>
      </c>
    </row>
    <row r="1598" spans="1:34" x14ac:dyDescent="0.3">
      <c r="A1598" t="s">
        <v>2305</v>
      </c>
      <c r="B1598" t="s">
        <v>1663</v>
      </c>
      <c r="C1598" t="s">
        <v>122</v>
      </c>
      <c r="D1598" t="s">
        <v>80</v>
      </c>
      <c r="E1598" s="1">
        <v>45758</v>
      </c>
      <c r="F1598" s="1">
        <v>45772</v>
      </c>
      <c r="G1598" t="s">
        <v>81</v>
      </c>
      <c r="H1598">
        <v>12000</v>
      </c>
      <c r="I1598" t="s">
        <v>65</v>
      </c>
      <c r="J1598" t="b">
        <v>0</v>
      </c>
      <c r="K1598">
        <v>14</v>
      </c>
      <c r="L1598">
        <v>4</v>
      </c>
      <c r="M1598">
        <v>2025</v>
      </c>
      <c r="N1598">
        <v>4</v>
      </c>
      <c r="O1598">
        <v>4</v>
      </c>
      <c r="P1598">
        <v>2025</v>
      </c>
      <c r="Q1598">
        <v>4</v>
      </c>
      <c r="R1598" t="s">
        <v>40</v>
      </c>
      <c r="S1598" t="s">
        <v>45</v>
      </c>
      <c r="T1598" t="s">
        <v>42</v>
      </c>
      <c r="U1598" t="s">
        <v>40</v>
      </c>
      <c r="V1598" t="s">
        <v>124</v>
      </c>
      <c r="W1598" t="s">
        <v>125</v>
      </c>
      <c r="X1598" t="s">
        <v>126</v>
      </c>
      <c r="Y1598">
        <v>85</v>
      </c>
      <c r="Z1598" t="s">
        <v>84</v>
      </c>
      <c r="AA1598" t="s">
        <v>85</v>
      </c>
      <c r="AB1598" s="1">
        <v>45772</v>
      </c>
      <c r="AC1598" t="s">
        <v>40</v>
      </c>
      <c r="AD1598" t="s">
        <v>40</v>
      </c>
      <c r="AE1598" t="s">
        <v>69</v>
      </c>
      <c r="AF1598" t="s">
        <v>40</v>
      </c>
      <c r="AG1598">
        <v>0</v>
      </c>
      <c r="AH1598" t="s">
        <v>70</v>
      </c>
    </row>
    <row r="1599" spans="1:34" x14ac:dyDescent="0.3">
      <c r="A1599" t="s">
        <v>2306</v>
      </c>
      <c r="B1599" t="s">
        <v>536</v>
      </c>
      <c r="C1599" t="s">
        <v>97</v>
      </c>
      <c r="D1599" t="s">
        <v>53</v>
      </c>
      <c r="E1599" s="1">
        <v>45957</v>
      </c>
      <c r="F1599" s="1">
        <v>45971</v>
      </c>
      <c r="G1599" t="s">
        <v>81</v>
      </c>
      <c r="H1599">
        <v>10338</v>
      </c>
      <c r="I1599" t="s">
        <v>54</v>
      </c>
      <c r="J1599" t="b">
        <v>0</v>
      </c>
      <c r="K1599">
        <v>14</v>
      </c>
      <c r="L1599">
        <v>11</v>
      </c>
      <c r="M1599">
        <v>2025</v>
      </c>
      <c r="N1599">
        <v>0</v>
      </c>
      <c r="O1599">
        <v>10</v>
      </c>
      <c r="P1599">
        <v>2025</v>
      </c>
      <c r="Q1599">
        <v>0</v>
      </c>
      <c r="R1599" t="s">
        <v>40</v>
      </c>
      <c r="S1599" t="s">
        <v>41</v>
      </c>
      <c r="T1599" t="s">
        <v>42</v>
      </c>
      <c r="U1599" t="s">
        <v>40</v>
      </c>
      <c r="V1599" t="s">
        <v>98</v>
      </c>
      <c r="W1599" t="s">
        <v>99</v>
      </c>
      <c r="X1599" t="s">
        <v>76</v>
      </c>
      <c r="Y1599">
        <v>80</v>
      </c>
      <c r="Z1599" t="s">
        <v>58</v>
      </c>
      <c r="AA1599" t="s">
        <v>59</v>
      </c>
      <c r="AB1599" s="1">
        <v>45971</v>
      </c>
      <c r="AC1599" t="s">
        <v>40</v>
      </c>
      <c r="AD1599" t="s">
        <v>40</v>
      </c>
      <c r="AE1599" t="s">
        <v>86</v>
      </c>
      <c r="AF1599" t="s">
        <v>40</v>
      </c>
      <c r="AG1599">
        <v>1</v>
      </c>
      <c r="AH1599" t="s">
        <v>70</v>
      </c>
    </row>
    <row r="1600" spans="1:34" x14ac:dyDescent="0.3">
      <c r="A1600" t="s">
        <v>2307</v>
      </c>
      <c r="B1600" t="s">
        <v>2308</v>
      </c>
      <c r="C1600" t="s">
        <v>52</v>
      </c>
      <c r="D1600" t="s">
        <v>104</v>
      </c>
      <c r="E1600" s="1">
        <v>45866</v>
      </c>
      <c r="F1600" s="1">
        <v>45867</v>
      </c>
      <c r="G1600" t="s">
        <v>41</v>
      </c>
      <c r="H1600">
        <v>8091</v>
      </c>
      <c r="I1600" t="s">
        <v>39</v>
      </c>
      <c r="J1600" t="b">
        <v>0</v>
      </c>
      <c r="K1600">
        <v>1</v>
      </c>
      <c r="L1600">
        <v>7</v>
      </c>
      <c r="M1600">
        <v>2025</v>
      </c>
      <c r="N1600">
        <v>1</v>
      </c>
      <c r="O1600">
        <v>7</v>
      </c>
      <c r="P1600">
        <v>2025</v>
      </c>
      <c r="Q1600">
        <v>0</v>
      </c>
      <c r="R1600" t="s">
        <v>40</v>
      </c>
      <c r="S1600" t="s">
        <v>55</v>
      </c>
      <c r="T1600" t="s">
        <v>42</v>
      </c>
      <c r="U1600" t="s">
        <v>40</v>
      </c>
      <c r="V1600" t="s">
        <v>56</v>
      </c>
      <c r="W1600" t="s">
        <v>57</v>
      </c>
      <c r="X1600" t="s">
        <v>45</v>
      </c>
      <c r="Y1600">
        <v>120</v>
      </c>
      <c r="Z1600" t="s">
        <v>107</v>
      </c>
      <c r="AA1600" t="s">
        <v>108</v>
      </c>
      <c r="AB1600" s="1">
        <v>45867</v>
      </c>
      <c r="AC1600" t="s">
        <v>40</v>
      </c>
      <c r="AD1600" t="s">
        <v>40</v>
      </c>
      <c r="AE1600" t="s">
        <v>86</v>
      </c>
      <c r="AF1600" t="s">
        <v>40</v>
      </c>
      <c r="AG1600">
        <v>0</v>
      </c>
      <c r="AH1600" t="s">
        <v>100</v>
      </c>
    </row>
    <row r="1601" spans="1:34" x14ac:dyDescent="0.3">
      <c r="A1601" t="s">
        <v>2309</v>
      </c>
      <c r="B1601" t="s">
        <v>710</v>
      </c>
      <c r="C1601" t="s">
        <v>122</v>
      </c>
      <c r="D1601" t="s">
        <v>37</v>
      </c>
      <c r="E1601" s="1">
        <v>45720</v>
      </c>
      <c r="F1601" s="1">
        <v>45727</v>
      </c>
      <c r="G1601" t="s">
        <v>41</v>
      </c>
      <c r="H1601">
        <v>5065</v>
      </c>
      <c r="I1601" t="s">
        <v>39</v>
      </c>
      <c r="J1601" t="b">
        <v>0</v>
      </c>
      <c r="K1601">
        <v>7</v>
      </c>
      <c r="L1601">
        <v>3</v>
      </c>
      <c r="M1601">
        <v>2025</v>
      </c>
      <c r="N1601">
        <v>1</v>
      </c>
      <c r="O1601">
        <v>3</v>
      </c>
      <c r="P1601">
        <v>2025</v>
      </c>
      <c r="Q1601">
        <v>1</v>
      </c>
      <c r="R1601" t="s">
        <v>40</v>
      </c>
      <c r="S1601" t="s">
        <v>55</v>
      </c>
      <c r="T1601" t="s">
        <v>113</v>
      </c>
      <c r="U1601" t="s">
        <v>40</v>
      </c>
      <c r="V1601" t="s">
        <v>124</v>
      </c>
      <c r="W1601" t="s">
        <v>125</v>
      </c>
      <c r="X1601" t="s">
        <v>126</v>
      </c>
      <c r="Y1601">
        <v>85</v>
      </c>
      <c r="Z1601" t="s">
        <v>46</v>
      </c>
      <c r="AA1601" t="s">
        <v>47</v>
      </c>
      <c r="AB1601" s="1">
        <v>45727</v>
      </c>
      <c r="AC1601" t="s">
        <v>40</v>
      </c>
      <c r="AD1601" t="s">
        <v>40</v>
      </c>
      <c r="AE1601" t="s">
        <v>60</v>
      </c>
      <c r="AF1601" t="s">
        <v>40</v>
      </c>
      <c r="AG1601">
        <v>0</v>
      </c>
      <c r="AH1601" t="s">
        <v>100</v>
      </c>
    </row>
    <row r="1602" spans="1:34" x14ac:dyDescent="0.3">
      <c r="A1602" t="s">
        <v>2310</v>
      </c>
      <c r="B1602" t="s">
        <v>1455</v>
      </c>
      <c r="C1602" t="s">
        <v>169</v>
      </c>
      <c r="D1602" t="s">
        <v>80</v>
      </c>
      <c r="E1602" s="1">
        <v>45990</v>
      </c>
      <c r="F1602" s="1">
        <v>46050</v>
      </c>
      <c r="G1602" t="s">
        <v>38</v>
      </c>
      <c r="H1602">
        <v>4163</v>
      </c>
      <c r="I1602" t="s">
        <v>39</v>
      </c>
      <c r="J1602" t="b">
        <v>0</v>
      </c>
      <c r="K1602">
        <v>60</v>
      </c>
      <c r="L1602">
        <v>1</v>
      </c>
      <c r="M1602">
        <v>2026</v>
      </c>
      <c r="N1602">
        <v>2</v>
      </c>
      <c r="O1602">
        <v>11</v>
      </c>
      <c r="P1602">
        <v>2025</v>
      </c>
      <c r="Q1602">
        <v>5</v>
      </c>
      <c r="R1602" t="s">
        <v>40</v>
      </c>
      <c r="S1602" t="s">
        <v>45</v>
      </c>
      <c r="T1602" t="s">
        <v>113</v>
      </c>
      <c r="U1602" t="s">
        <v>66</v>
      </c>
      <c r="V1602" t="s">
        <v>170</v>
      </c>
      <c r="W1602" t="s">
        <v>171</v>
      </c>
      <c r="X1602" t="s">
        <v>126</v>
      </c>
      <c r="Y1602">
        <v>90</v>
      </c>
      <c r="Z1602" t="s">
        <v>84</v>
      </c>
      <c r="AA1602" t="s">
        <v>85</v>
      </c>
      <c r="AB1602" s="1">
        <v>46050</v>
      </c>
      <c r="AC1602" t="s">
        <v>40</v>
      </c>
      <c r="AD1602" t="s">
        <v>40</v>
      </c>
      <c r="AE1602" t="s">
        <v>86</v>
      </c>
      <c r="AF1602" t="s">
        <v>40</v>
      </c>
      <c r="AG1602">
        <v>0</v>
      </c>
      <c r="AH1602" t="s">
        <v>61</v>
      </c>
    </row>
    <row r="1603" spans="1:34" x14ac:dyDescent="0.3">
      <c r="A1603" t="s">
        <v>2311</v>
      </c>
      <c r="B1603" t="s">
        <v>1074</v>
      </c>
      <c r="C1603" t="s">
        <v>103</v>
      </c>
      <c r="D1603" t="s">
        <v>90</v>
      </c>
      <c r="E1603" s="1">
        <v>46119</v>
      </c>
      <c r="F1603" s="1">
        <v>46126</v>
      </c>
      <c r="G1603" t="s">
        <v>81</v>
      </c>
      <c r="H1603">
        <v>10011</v>
      </c>
      <c r="I1603" t="s">
        <v>65</v>
      </c>
      <c r="J1603" t="b">
        <v>0</v>
      </c>
      <c r="K1603">
        <v>7</v>
      </c>
      <c r="L1603">
        <v>4</v>
      </c>
      <c r="M1603">
        <v>2026</v>
      </c>
      <c r="N1603">
        <v>1</v>
      </c>
      <c r="O1603">
        <v>4</v>
      </c>
      <c r="P1603">
        <v>2026</v>
      </c>
      <c r="Q1603">
        <v>1</v>
      </c>
      <c r="R1603" t="s">
        <v>40</v>
      </c>
      <c r="S1603" t="s">
        <v>45</v>
      </c>
      <c r="T1603" t="s">
        <v>123</v>
      </c>
      <c r="U1603" t="s">
        <v>40</v>
      </c>
      <c r="V1603" t="s">
        <v>105</v>
      </c>
      <c r="W1603" t="s">
        <v>106</v>
      </c>
      <c r="X1603" t="s">
        <v>45</v>
      </c>
      <c r="Y1603">
        <v>140</v>
      </c>
      <c r="Z1603" t="s">
        <v>93</v>
      </c>
      <c r="AA1603" t="s">
        <v>94</v>
      </c>
      <c r="AB1603" s="1">
        <v>46126</v>
      </c>
      <c r="AC1603" t="s">
        <v>40</v>
      </c>
      <c r="AD1603" t="s">
        <v>40</v>
      </c>
      <c r="AE1603" t="s">
        <v>69</v>
      </c>
      <c r="AF1603" t="s">
        <v>66</v>
      </c>
      <c r="AG1603">
        <v>0</v>
      </c>
      <c r="AH1603" t="s">
        <v>100</v>
      </c>
    </row>
    <row r="1604" spans="1:34" x14ac:dyDescent="0.3">
      <c r="A1604" t="s">
        <v>2312</v>
      </c>
      <c r="B1604" t="s">
        <v>446</v>
      </c>
      <c r="C1604" t="s">
        <v>97</v>
      </c>
      <c r="D1604" t="s">
        <v>104</v>
      </c>
      <c r="E1604" s="1">
        <v>45727</v>
      </c>
      <c r="F1604" s="1">
        <v>45827</v>
      </c>
      <c r="G1604" t="s">
        <v>38</v>
      </c>
      <c r="H1604">
        <v>5746</v>
      </c>
      <c r="I1604" t="s">
        <v>54</v>
      </c>
      <c r="J1604" t="b">
        <v>0</v>
      </c>
      <c r="K1604">
        <v>100</v>
      </c>
      <c r="L1604">
        <v>6</v>
      </c>
      <c r="M1604">
        <v>2025</v>
      </c>
      <c r="N1604">
        <v>3</v>
      </c>
      <c r="O1604">
        <v>3</v>
      </c>
      <c r="P1604">
        <v>2025</v>
      </c>
      <c r="Q1604">
        <v>1</v>
      </c>
      <c r="R1604" t="s">
        <v>40</v>
      </c>
      <c r="S1604" t="s">
        <v>55</v>
      </c>
      <c r="T1604" t="s">
        <v>42</v>
      </c>
      <c r="U1604" t="s">
        <v>66</v>
      </c>
      <c r="V1604" t="s">
        <v>98</v>
      </c>
      <c r="W1604" t="s">
        <v>99</v>
      </c>
      <c r="X1604" t="s">
        <v>76</v>
      </c>
      <c r="Y1604">
        <v>80</v>
      </c>
      <c r="Z1604" t="s">
        <v>107</v>
      </c>
      <c r="AA1604" t="s">
        <v>108</v>
      </c>
      <c r="AB1604" s="1">
        <v>45827</v>
      </c>
      <c r="AC1604" t="s">
        <v>40</v>
      </c>
      <c r="AD1604" t="s">
        <v>40</v>
      </c>
      <c r="AE1604" t="s">
        <v>60</v>
      </c>
      <c r="AF1604" t="s">
        <v>40</v>
      </c>
      <c r="AG1604">
        <v>1</v>
      </c>
      <c r="AH1604" t="s">
        <v>49</v>
      </c>
    </row>
    <row r="1605" spans="1:34" x14ac:dyDescent="0.3">
      <c r="A1605" t="s">
        <v>2313</v>
      </c>
      <c r="B1605" t="s">
        <v>1062</v>
      </c>
      <c r="C1605" t="s">
        <v>97</v>
      </c>
      <c r="D1605" t="s">
        <v>90</v>
      </c>
      <c r="E1605" s="1">
        <v>46199</v>
      </c>
      <c r="F1605" s="1">
        <v>46213</v>
      </c>
      <c r="G1605" t="s">
        <v>41</v>
      </c>
      <c r="H1605">
        <v>8265</v>
      </c>
      <c r="I1605" t="s">
        <v>39</v>
      </c>
      <c r="J1605" t="b">
        <v>0</v>
      </c>
      <c r="K1605">
        <v>14</v>
      </c>
      <c r="L1605">
        <v>7</v>
      </c>
      <c r="M1605">
        <v>2026</v>
      </c>
      <c r="N1605">
        <v>4</v>
      </c>
      <c r="O1605">
        <v>6</v>
      </c>
      <c r="P1605">
        <v>2026</v>
      </c>
      <c r="Q1605">
        <v>4</v>
      </c>
      <c r="R1605" t="s">
        <v>40</v>
      </c>
      <c r="S1605" t="s">
        <v>41</v>
      </c>
      <c r="T1605" t="s">
        <v>42</v>
      </c>
      <c r="U1605" t="s">
        <v>40</v>
      </c>
      <c r="V1605" t="s">
        <v>98</v>
      </c>
      <c r="W1605" t="s">
        <v>99</v>
      </c>
      <c r="X1605" t="s">
        <v>76</v>
      </c>
      <c r="Y1605">
        <v>80</v>
      </c>
      <c r="Z1605" t="s">
        <v>93</v>
      </c>
      <c r="AA1605" t="s">
        <v>94</v>
      </c>
      <c r="AB1605" s="1">
        <v>46213</v>
      </c>
      <c r="AC1605" t="s">
        <v>40</v>
      </c>
      <c r="AD1605" t="s">
        <v>40</v>
      </c>
      <c r="AE1605" t="s">
        <v>86</v>
      </c>
      <c r="AF1605" t="s">
        <v>40</v>
      </c>
      <c r="AG1605">
        <v>0</v>
      </c>
      <c r="AH1605" t="s">
        <v>70</v>
      </c>
    </row>
    <row r="1606" spans="1:34" x14ac:dyDescent="0.3">
      <c r="A1606" t="s">
        <v>2314</v>
      </c>
      <c r="B1606" t="s">
        <v>397</v>
      </c>
      <c r="C1606" t="s">
        <v>155</v>
      </c>
      <c r="D1606" t="s">
        <v>37</v>
      </c>
      <c r="E1606" s="1">
        <v>45897</v>
      </c>
      <c r="F1606" s="1">
        <v>45900</v>
      </c>
      <c r="G1606" t="s">
        <v>81</v>
      </c>
      <c r="H1606">
        <v>8627</v>
      </c>
      <c r="I1606" t="s">
        <v>54</v>
      </c>
      <c r="J1606" t="b">
        <v>0</v>
      </c>
      <c r="K1606">
        <v>3</v>
      </c>
      <c r="L1606">
        <v>8</v>
      </c>
      <c r="M1606">
        <v>2025</v>
      </c>
      <c r="N1606">
        <v>6</v>
      </c>
      <c r="O1606">
        <v>8</v>
      </c>
      <c r="P1606">
        <v>2025</v>
      </c>
      <c r="Q1606">
        <v>3</v>
      </c>
      <c r="R1606" t="s">
        <v>66</v>
      </c>
      <c r="S1606" t="s">
        <v>55</v>
      </c>
      <c r="T1606" t="s">
        <v>42</v>
      </c>
      <c r="U1606" t="s">
        <v>66</v>
      </c>
      <c r="V1606" t="s">
        <v>156</v>
      </c>
      <c r="W1606" t="s">
        <v>157</v>
      </c>
      <c r="X1606" t="s">
        <v>158</v>
      </c>
      <c r="Y1606">
        <v>70</v>
      </c>
      <c r="Z1606" t="s">
        <v>46</v>
      </c>
      <c r="AA1606" t="s">
        <v>47</v>
      </c>
      <c r="AB1606" s="1">
        <v>45900</v>
      </c>
      <c r="AC1606" t="s">
        <v>66</v>
      </c>
      <c r="AD1606" t="s">
        <v>40</v>
      </c>
      <c r="AE1606" t="s">
        <v>86</v>
      </c>
      <c r="AF1606" t="s">
        <v>40</v>
      </c>
      <c r="AG1606">
        <v>1</v>
      </c>
      <c r="AH1606" t="s">
        <v>100</v>
      </c>
    </row>
    <row r="1607" spans="1:34" x14ac:dyDescent="0.3">
      <c r="A1607" t="s">
        <v>2315</v>
      </c>
      <c r="B1607" t="s">
        <v>1796</v>
      </c>
      <c r="C1607" t="s">
        <v>155</v>
      </c>
      <c r="D1607" t="s">
        <v>90</v>
      </c>
      <c r="E1607" s="1">
        <v>46143</v>
      </c>
      <c r="F1607" s="1">
        <v>46150</v>
      </c>
      <c r="G1607" t="s">
        <v>41</v>
      </c>
      <c r="H1607">
        <v>8496</v>
      </c>
      <c r="I1607" t="s">
        <v>65</v>
      </c>
      <c r="J1607" t="b">
        <v>0</v>
      </c>
      <c r="K1607">
        <v>7</v>
      </c>
      <c r="L1607">
        <v>5</v>
      </c>
      <c r="M1607">
        <v>2026</v>
      </c>
      <c r="N1607">
        <v>4</v>
      </c>
      <c r="O1607">
        <v>5</v>
      </c>
      <c r="P1607">
        <v>2026</v>
      </c>
      <c r="Q1607">
        <v>4</v>
      </c>
      <c r="R1607" t="s">
        <v>40</v>
      </c>
      <c r="S1607" t="s">
        <v>45</v>
      </c>
      <c r="T1607" t="s">
        <v>42</v>
      </c>
      <c r="U1607" t="s">
        <v>40</v>
      </c>
      <c r="V1607" t="s">
        <v>156</v>
      </c>
      <c r="W1607" t="s">
        <v>157</v>
      </c>
      <c r="X1607" t="s">
        <v>158</v>
      </c>
      <c r="Y1607">
        <v>70</v>
      </c>
      <c r="Z1607" t="s">
        <v>93</v>
      </c>
      <c r="AA1607" t="s">
        <v>94</v>
      </c>
      <c r="AB1607" s="1">
        <v>46150</v>
      </c>
      <c r="AC1607" t="s">
        <v>40</v>
      </c>
      <c r="AD1607" t="s">
        <v>40</v>
      </c>
      <c r="AE1607" t="s">
        <v>69</v>
      </c>
      <c r="AF1607" t="s">
        <v>40</v>
      </c>
      <c r="AG1607">
        <v>0</v>
      </c>
      <c r="AH1607" t="s">
        <v>100</v>
      </c>
    </row>
    <row r="1608" spans="1:34" x14ac:dyDescent="0.3">
      <c r="A1608" t="s">
        <v>2316</v>
      </c>
      <c r="B1608" t="s">
        <v>1051</v>
      </c>
      <c r="C1608" t="s">
        <v>73</v>
      </c>
      <c r="D1608" t="s">
        <v>37</v>
      </c>
      <c r="E1608" s="1">
        <v>46329</v>
      </c>
      <c r="F1608" s="1">
        <v>46389</v>
      </c>
      <c r="G1608" t="s">
        <v>41</v>
      </c>
      <c r="H1608">
        <v>7438</v>
      </c>
      <c r="I1608" t="s">
        <v>39</v>
      </c>
      <c r="J1608" t="b">
        <v>0</v>
      </c>
      <c r="K1608">
        <v>60</v>
      </c>
      <c r="L1608">
        <v>1</v>
      </c>
      <c r="M1608">
        <v>2027</v>
      </c>
      <c r="N1608">
        <v>5</v>
      </c>
      <c r="O1608">
        <v>11</v>
      </c>
      <c r="P1608">
        <v>2026</v>
      </c>
      <c r="Q1608">
        <v>1</v>
      </c>
      <c r="R1608" t="s">
        <v>66</v>
      </c>
      <c r="S1608" t="s">
        <v>67</v>
      </c>
      <c r="T1608" t="s">
        <v>42</v>
      </c>
      <c r="U1608" t="s">
        <v>66</v>
      </c>
      <c r="V1608" t="s">
        <v>74</v>
      </c>
      <c r="W1608" t="s">
        <v>75</v>
      </c>
      <c r="X1608" t="s">
        <v>76</v>
      </c>
      <c r="Y1608">
        <v>75</v>
      </c>
      <c r="Z1608" t="s">
        <v>46</v>
      </c>
      <c r="AA1608" t="s">
        <v>47</v>
      </c>
      <c r="AB1608" s="1"/>
      <c r="AC1608" t="s">
        <v>48</v>
      </c>
      <c r="AD1608" t="s">
        <v>48</v>
      </c>
      <c r="AE1608" t="s">
        <v>48</v>
      </c>
      <c r="AF1608" t="s">
        <v>48</v>
      </c>
      <c r="AG1608">
        <v>0</v>
      </c>
      <c r="AH1608" t="s">
        <v>61</v>
      </c>
    </row>
    <row r="1609" spans="1:34" x14ac:dyDescent="0.3">
      <c r="A1609" t="s">
        <v>2317</v>
      </c>
      <c r="B1609" t="s">
        <v>498</v>
      </c>
      <c r="C1609" t="s">
        <v>97</v>
      </c>
      <c r="D1609" t="s">
        <v>104</v>
      </c>
      <c r="E1609" s="1">
        <v>45736</v>
      </c>
      <c r="F1609" s="1">
        <v>45766</v>
      </c>
      <c r="G1609" t="s">
        <v>64</v>
      </c>
      <c r="H1609">
        <v>3902</v>
      </c>
      <c r="I1609" t="s">
        <v>65</v>
      </c>
      <c r="J1609" t="b">
        <v>0</v>
      </c>
      <c r="K1609">
        <v>30</v>
      </c>
      <c r="L1609">
        <v>4</v>
      </c>
      <c r="M1609">
        <v>2025</v>
      </c>
      <c r="N1609">
        <v>5</v>
      </c>
      <c r="O1609">
        <v>3</v>
      </c>
      <c r="P1609">
        <v>2025</v>
      </c>
      <c r="Q1609">
        <v>3</v>
      </c>
      <c r="R1609" t="s">
        <v>66</v>
      </c>
      <c r="S1609" t="s">
        <v>41</v>
      </c>
      <c r="T1609" t="s">
        <v>42</v>
      </c>
      <c r="U1609" t="s">
        <v>40</v>
      </c>
      <c r="V1609" t="s">
        <v>98</v>
      </c>
      <c r="W1609" t="s">
        <v>99</v>
      </c>
      <c r="X1609" t="s">
        <v>76</v>
      </c>
      <c r="Y1609">
        <v>80</v>
      </c>
      <c r="Z1609" t="s">
        <v>107</v>
      </c>
      <c r="AA1609" t="s">
        <v>108</v>
      </c>
      <c r="AB1609" s="1">
        <v>45766</v>
      </c>
      <c r="AC1609" t="s">
        <v>66</v>
      </c>
      <c r="AD1609" t="s">
        <v>40</v>
      </c>
      <c r="AE1609" t="s">
        <v>69</v>
      </c>
      <c r="AF1609" t="s">
        <v>40</v>
      </c>
      <c r="AG1609">
        <v>0</v>
      </c>
      <c r="AH1609" t="s">
        <v>70</v>
      </c>
    </row>
    <row r="1610" spans="1:34" x14ac:dyDescent="0.3">
      <c r="A1610" t="s">
        <v>2318</v>
      </c>
      <c r="B1610" t="s">
        <v>1810</v>
      </c>
      <c r="C1610" t="s">
        <v>129</v>
      </c>
      <c r="D1610" t="s">
        <v>104</v>
      </c>
      <c r="E1610" s="1">
        <v>46094</v>
      </c>
      <c r="F1610" s="1">
        <v>46124</v>
      </c>
      <c r="G1610" t="s">
        <v>41</v>
      </c>
      <c r="H1610">
        <v>8192</v>
      </c>
      <c r="I1610" t="s">
        <v>39</v>
      </c>
      <c r="J1610" t="b">
        <v>0</v>
      </c>
      <c r="K1610">
        <v>30</v>
      </c>
      <c r="L1610">
        <v>4</v>
      </c>
      <c r="M1610">
        <v>2026</v>
      </c>
      <c r="N1610">
        <v>6</v>
      </c>
      <c r="O1610">
        <v>3</v>
      </c>
      <c r="P1610">
        <v>2026</v>
      </c>
      <c r="Q1610">
        <v>4</v>
      </c>
      <c r="R1610" t="s">
        <v>66</v>
      </c>
      <c r="S1610" t="s">
        <v>55</v>
      </c>
      <c r="T1610" t="s">
        <v>42</v>
      </c>
      <c r="U1610" t="s">
        <v>66</v>
      </c>
      <c r="V1610" t="s">
        <v>131</v>
      </c>
      <c r="W1610" t="s">
        <v>132</v>
      </c>
      <c r="X1610" t="s">
        <v>45</v>
      </c>
      <c r="Y1610">
        <v>110</v>
      </c>
      <c r="Z1610" t="s">
        <v>107</v>
      </c>
      <c r="AA1610" t="s">
        <v>108</v>
      </c>
      <c r="AB1610" s="1">
        <v>46124</v>
      </c>
      <c r="AC1610" t="s">
        <v>66</v>
      </c>
      <c r="AD1610" t="s">
        <v>40</v>
      </c>
      <c r="AE1610" t="s">
        <v>69</v>
      </c>
      <c r="AF1610" t="s">
        <v>40</v>
      </c>
      <c r="AG1610">
        <v>0</v>
      </c>
      <c r="AH1610" t="s">
        <v>70</v>
      </c>
    </row>
    <row r="1611" spans="1:34" x14ac:dyDescent="0.3">
      <c r="A1611" t="s">
        <v>2319</v>
      </c>
      <c r="B1611" t="s">
        <v>795</v>
      </c>
      <c r="C1611" t="s">
        <v>169</v>
      </c>
      <c r="D1611" t="s">
        <v>53</v>
      </c>
      <c r="E1611" s="1">
        <v>46223</v>
      </c>
      <c r="F1611" s="1">
        <v>46237</v>
      </c>
      <c r="G1611" t="s">
        <v>38</v>
      </c>
      <c r="H1611">
        <v>4219</v>
      </c>
      <c r="I1611" t="s">
        <v>39</v>
      </c>
      <c r="J1611" t="b">
        <v>0</v>
      </c>
      <c r="K1611">
        <v>14</v>
      </c>
      <c r="L1611">
        <v>8</v>
      </c>
      <c r="M1611">
        <v>2026</v>
      </c>
      <c r="N1611">
        <v>0</v>
      </c>
      <c r="O1611">
        <v>7</v>
      </c>
      <c r="P1611">
        <v>2026</v>
      </c>
      <c r="Q1611">
        <v>0</v>
      </c>
      <c r="R1611" t="s">
        <v>40</v>
      </c>
      <c r="S1611" t="s">
        <v>41</v>
      </c>
      <c r="T1611" t="s">
        <v>42</v>
      </c>
      <c r="U1611" t="s">
        <v>40</v>
      </c>
      <c r="V1611" t="s">
        <v>170</v>
      </c>
      <c r="W1611" t="s">
        <v>171</v>
      </c>
      <c r="X1611" t="s">
        <v>126</v>
      </c>
      <c r="Y1611">
        <v>90</v>
      </c>
      <c r="Z1611" t="s">
        <v>58</v>
      </c>
      <c r="AA1611" t="s">
        <v>59</v>
      </c>
      <c r="AB1611" s="1">
        <v>46237</v>
      </c>
      <c r="AC1611" t="s">
        <v>40</v>
      </c>
      <c r="AD1611" t="s">
        <v>40</v>
      </c>
      <c r="AE1611" t="s">
        <v>86</v>
      </c>
      <c r="AF1611" t="s">
        <v>40</v>
      </c>
      <c r="AG1611">
        <v>0</v>
      </c>
      <c r="AH1611" t="s">
        <v>70</v>
      </c>
    </row>
    <row r="1612" spans="1:34" x14ac:dyDescent="0.3">
      <c r="A1612" t="s">
        <v>2320</v>
      </c>
      <c r="B1612" t="s">
        <v>957</v>
      </c>
      <c r="C1612" t="s">
        <v>97</v>
      </c>
      <c r="D1612" t="s">
        <v>130</v>
      </c>
      <c r="E1612" s="1">
        <v>45842</v>
      </c>
      <c r="F1612" s="1">
        <v>45902</v>
      </c>
      <c r="G1612" t="s">
        <v>64</v>
      </c>
      <c r="H1612">
        <v>4023</v>
      </c>
      <c r="I1612" t="s">
        <v>39</v>
      </c>
      <c r="J1612" t="b">
        <v>0</v>
      </c>
      <c r="K1612">
        <v>60</v>
      </c>
      <c r="L1612">
        <v>9</v>
      </c>
      <c r="M1612">
        <v>2025</v>
      </c>
      <c r="N1612">
        <v>1</v>
      </c>
      <c r="O1612">
        <v>7</v>
      </c>
      <c r="P1612">
        <v>2025</v>
      </c>
      <c r="Q1612">
        <v>4</v>
      </c>
      <c r="R1612" t="s">
        <v>40</v>
      </c>
      <c r="S1612" t="s">
        <v>55</v>
      </c>
      <c r="T1612" t="s">
        <v>113</v>
      </c>
      <c r="U1612" t="s">
        <v>40</v>
      </c>
      <c r="V1612" t="s">
        <v>98</v>
      </c>
      <c r="W1612" t="s">
        <v>99</v>
      </c>
      <c r="X1612" t="s">
        <v>76</v>
      </c>
      <c r="Y1612">
        <v>80</v>
      </c>
      <c r="Z1612" t="s">
        <v>133</v>
      </c>
      <c r="AA1612" t="s">
        <v>134</v>
      </c>
      <c r="AB1612" s="1">
        <v>45902</v>
      </c>
      <c r="AC1612" t="s">
        <v>40</v>
      </c>
      <c r="AD1612" t="s">
        <v>40</v>
      </c>
      <c r="AE1612" t="s">
        <v>60</v>
      </c>
      <c r="AF1612" t="s">
        <v>40</v>
      </c>
      <c r="AG1612">
        <v>0</v>
      </c>
      <c r="AH1612" t="s">
        <v>61</v>
      </c>
    </row>
    <row r="1613" spans="1:34" x14ac:dyDescent="0.3">
      <c r="A1613" t="s">
        <v>2321</v>
      </c>
      <c r="B1613" t="s">
        <v>1832</v>
      </c>
      <c r="C1613" t="s">
        <v>146</v>
      </c>
      <c r="D1613" t="s">
        <v>130</v>
      </c>
      <c r="E1613" s="1">
        <v>45731</v>
      </c>
      <c r="F1613" s="1">
        <v>45745</v>
      </c>
      <c r="G1613" t="s">
        <v>64</v>
      </c>
      <c r="H1613">
        <v>3851</v>
      </c>
      <c r="I1613" t="s">
        <v>39</v>
      </c>
      <c r="J1613" t="b">
        <v>0</v>
      </c>
      <c r="K1613">
        <v>14</v>
      </c>
      <c r="L1613">
        <v>3</v>
      </c>
      <c r="M1613">
        <v>2025</v>
      </c>
      <c r="N1613">
        <v>5</v>
      </c>
      <c r="O1613">
        <v>3</v>
      </c>
      <c r="P1613">
        <v>2025</v>
      </c>
      <c r="Q1613">
        <v>5</v>
      </c>
      <c r="R1613" t="s">
        <v>66</v>
      </c>
      <c r="S1613" t="s">
        <v>67</v>
      </c>
      <c r="T1613" t="s">
        <v>42</v>
      </c>
      <c r="U1613" t="s">
        <v>40</v>
      </c>
      <c r="V1613" t="s">
        <v>147</v>
      </c>
      <c r="W1613" t="s">
        <v>148</v>
      </c>
      <c r="X1613" t="s">
        <v>45</v>
      </c>
      <c r="Y1613">
        <v>160</v>
      </c>
      <c r="Z1613" t="s">
        <v>133</v>
      </c>
      <c r="AA1613" t="s">
        <v>134</v>
      </c>
      <c r="AB1613" s="1">
        <v>45745</v>
      </c>
      <c r="AC1613" t="s">
        <v>66</v>
      </c>
      <c r="AD1613" t="s">
        <v>40</v>
      </c>
      <c r="AE1613" t="s">
        <v>60</v>
      </c>
      <c r="AF1613" t="s">
        <v>40</v>
      </c>
      <c r="AG1613">
        <v>0</v>
      </c>
      <c r="AH1613" t="s">
        <v>70</v>
      </c>
    </row>
    <row r="1614" spans="1:34" x14ac:dyDescent="0.3">
      <c r="A1614" t="s">
        <v>2322</v>
      </c>
      <c r="B1614" t="s">
        <v>758</v>
      </c>
      <c r="C1614" t="s">
        <v>129</v>
      </c>
      <c r="D1614" t="s">
        <v>130</v>
      </c>
      <c r="E1614" s="1">
        <v>45691</v>
      </c>
      <c r="F1614" s="1">
        <v>45698</v>
      </c>
      <c r="G1614" t="s">
        <v>38</v>
      </c>
      <c r="H1614">
        <v>5192</v>
      </c>
      <c r="I1614" t="s">
        <v>39</v>
      </c>
      <c r="J1614" t="b">
        <v>0</v>
      </c>
      <c r="K1614">
        <v>7</v>
      </c>
      <c r="L1614">
        <v>2</v>
      </c>
      <c r="M1614">
        <v>2025</v>
      </c>
      <c r="N1614">
        <v>0</v>
      </c>
      <c r="O1614">
        <v>2</v>
      </c>
      <c r="P1614">
        <v>2025</v>
      </c>
      <c r="Q1614">
        <v>0</v>
      </c>
      <c r="R1614" t="s">
        <v>40</v>
      </c>
      <c r="S1614" t="s">
        <v>41</v>
      </c>
      <c r="T1614" t="s">
        <v>286</v>
      </c>
      <c r="U1614" t="s">
        <v>40</v>
      </c>
      <c r="V1614" t="s">
        <v>131</v>
      </c>
      <c r="W1614" t="s">
        <v>132</v>
      </c>
      <c r="X1614" t="s">
        <v>45</v>
      </c>
      <c r="Y1614">
        <v>110</v>
      </c>
      <c r="Z1614" t="s">
        <v>133</v>
      </c>
      <c r="AA1614" t="s">
        <v>134</v>
      </c>
      <c r="AB1614" s="1">
        <v>45698</v>
      </c>
      <c r="AC1614" t="s">
        <v>40</v>
      </c>
      <c r="AD1614" t="s">
        <v>40</v>
      </c>
      <c r="AE1614" t="s">
        <v>60</v>
      </c>
      <c r="AF1614" t="s">
        <v>40</v>
      </c>
      <c r="AG1614">
        <v>0</v>
      </c>
      <c r="AH1614" t="s">
        <v>100</v>
      </c>
    </row>
    <row r="1615" spans="1:34" x14ac:dyDescent="0.3">
      <c r="A1615" t="s">
        <v>2323</v>
      </c>
      <c r="B1615" t="s">
        <v>63</v>
      </c>
      <c r="C1615" t="s">
        <v>122</v>
      </c>
      <c r="D1615" t="s">
        <v>90</v>
      </c>
      <c r="E1615" s="1">
        <v>46234</v>
      </c>
      <c r="F1615" s="1">
        <v>46241</v>
      </c>
      <c r="G1615" t="s">
        <v>41</v>
      </c>
      <c r="H1615">
        <v>7211</v>
      </c>
      <c r="I1615" t="s">
        <v>65</v>
      </c>
      <c r="J1615" t="b">
        <v>0</v>
      </c>
      <c r="K1615">
        <v>7</v>
      </c>
      <c r="L1615">
        <v>8</v>
      </c>
      <c r="M1615">
        <v>2026</v>
      </c>
      <c r="N1615">
        <v>4</v>
      </c>
      <c r="O1615">
        <v>7</v>
      </c>
      <c r="P1615">
        <v>2026</v>
      </c>
      <c r="Q1615">
        <v>4</v>
      </c>
      <c r="R1615" t="s">
        <v>40</v>
      </c>
      <c r="S1615" t="s">
        <v>67</v>
      </c>
      <c r="T1615" t="s">
        <v>68</v>
      </c>
      <c r="U1615" t="s">
        <v>40</v>
      </c>
      <c r="V1615" t="s">
        <v>124</v>
      </c>
      <c r="W1615" t="s">
        <v>125</v>
      </c>
      <c r="X1615" t="s">
        <v>126</v>
      </c>
      <c r="Y1615">
        <v>85</v>
      </c>
      <c r="Z1615" t="s">
        <v>93</v>
      </c>
      <c r="AA1615" t="s">
        <v>94</v>
      </c>
      <c r="AB1615" s="1">
        <v>46241</v>
      </c>
      <c r="AC1615" t="s">
        <v>40</v>
      </c>
      <c r="AD1615" t="s">
        <v>40</v>
      </c>
      <c r="AE1615" t="s">
        <v>86</v>
      </c>
      <c r="AF1615" t="s">
        <v>40</v>
      </c>
      <c r="AG1615">
        <v>0</v>
      </c>
      <c r="AH1615" t="s">
        <v>100</v>
      </c>
    </row>
    <row r="1616" spans="1:34" x14ac:dyDescent="0.3">
      <c r="A1616" t="s">
        <v>2324</v>
      </c>
      <c r="B1616" t="s">
        <v>552</v>
      </c>
      <c r="C1616" t="s">
        <v>169</v>
      </c>
      <c r="D1616" t="s">
        <v>130</v>
      </c>
      <c r="E1616" s="1">
        <v>45818</v>
      </c>
      <c r="F1616" s="1">
        <v>45918</v>
      </c>
      <c r="G1616" t="s">
        <v>81</v>
      </c>
      <c r="H1616">
        <v>8293</v>
      </c>
      <c r="I1616" t="s">
        <v>54</v>
      </c>
      <c r="J1616" t="b">
        <v>0</v>
      </c>
      <c r="K1616">
        <v>100</v>
      </c>
      <c r="L1616">
        <v>9</v>
      </c>
      <c r="M1616">
        <v>2025</v>
      </c>
      <c r="N1616">
        <v>3</v>
      </c>
      <c r="O1616">
        <v>6</v>
      </c>
      <c r="P1616">
        <v>2025</v>
      </c>
      <c r="Q1616">
        <v>1</v>
      </c>
      <c r="R1616" t="s">
        <v>40</v>
      </c>
      <c r="S1616" t="s">
        <v>55</v>
      </c>
      <c r="T1616" t="s">
        <v>42</v>
      </c>
      <c r="U1616" t="s">
        <v>40</v>
      </c>
      <c r="V1616" t="s">
        <v>170</v>
      </c>
      <c r="W1616" t="s">
        <v>171</v>
      </c>
      <c r="X1616" t="s">
        <v>126</v>
      </c>
      <c r="Y1616">
        <v>90</v>
      </c>
      <c r="Z1616" t="s">
        <v>133</v>
      </c>
      <c r="AA1616" t="s">
        <v>134</v>
      </c>
      <c r="AB1616" s="1">
        <v>45918</v>
      </c>
      <c r="AC1616" t="s">
        <v>40</v>
      </c>
      <c r="AD1616" t="s">
        <v>40</v>
      </c>
      <c r="AE1616" t="s">
        <v>60</v>
      </c>
      <c r="AF1616" t="s">
        <v>40</v>
      </c>
      <c r="AG1616">
        <v>1</v>
      </c>
      <c r="AH1616" t="s">
        <v>49</v>
      </c>
    </row>
    <row r="1617" spans="1:34" x14ac:dyDescent="0.3">
      <c r="A1617" t="s">
        <v>2325</v>
      </c>
      <c r="B1617" t="s">
        <v>697</v>
      </c>
      <c r="C1617" t="s">
        <v>122</v>
      </c>
      <c r="D1617" t="s">
        <v>90</v>
      </c>
      <c r="E1617" s="1">
        <v>46211</v>
      </c>
      <c r="F1617" s="1">
        <v>46311</v>
      </c>
      <c r="G1617" t="s">
        <v>38</v>
      </c>
      <c r="H1617">
        <v>5087</v>
      </c>
      <c r="I1617" t="s">
        <v>54</v>
      </c>
      <c r="J1617" t="b">
        <v>0</v>
      </c>
      <c r="K1617">
        <v>100</v>
      </c>
      <c r="L1617">
        <v>10</v>
      </c>
      <c r="M1617">
        <v>2026</v>
      </c>
      <c r="N1617">
        <v>4</v>
      </c>
      <c r="O1617">
        <v>7</v>
      </c>
      <c r="P1617">
        <v>2026</v>
      </c>
      <c r="Q1617">
        <v>2</v>
      </c>
      <c r="R1617" t="s">
        <v>40</v>
      </c>
      <c r="S1617" t="s">
        <v>41</v>
      </c>
      <c r="T1617" t="s">
        <v>286</v>
      </c>
      <c r="U1617" t="s">
        <v>40</v>
      </c>
      <c r="V1617" t="s">
        <v>124</v>
      </c>
      <c r="W1617" t="s">
        <v>125</v>
      </c>
      <c r="X1617" t="s">
        <v>126</v>
      </c>
      <c r="Y1617">
        <v>85</v>
      </c>
      <c r="Z1617" t="s">
        <v>93</v>
      </c>
      <c r="AA1617" t="s">
        <v>94</v>
      </c>
      <c r="AB1617" s="1">
        <v>46311</v>
      </c>
      <c r="AC1617" t="s">
        <v>40</v>
      </c>
      <c r="AD1617" t="s">
        <v>40</v>
      </c>
      <c r="AE1617" t="s">
        <v>60</v>
      </c>
      <c r="AF1617" t="s">
        <v>40</v>
      </c>
      <c r="AG1617">
        <v>1</v>
      </c>
      <c r="AH1617" t="s">
        <v>49</v>
      </c>
    </row>
    <row r="1618" spans="1:34" x14ac:dyDescent="0.3">
      <c r="A1618" t="s">
        <v>2326</v>
      </c>
      <c r="B1618" t="s">
        <v>1663</v>
      </c>
      <c r="C1618" t="s">
        <v>103</v>
      </c>
      <c r="D1618" t="s">
        <v>130</v>
      </c>
      <c r="E1618" s="1">
        <v>45786</v>
      </c>
      <c r="F1618" s="1">
        <v>45886</v>
      </c>
      <c r="G1618" t="s">
        <v>41</v>
      </c>
      <c r="H1618">
        <v>6858</v>
      </c>
      <c r="I1618" t="s">
        <v>39</v>
      </c>
      <c r="J1618" t="b">
        <v>0</v>
      </c>
      <c r="K1618">
        <v>100</v>
      </c>
      <c r="L1618">
        <v>8</v>
      </c>
      <c r="M1618">
        <v>2025</v>
      </c>
      <c r="N1618">
        <v>6</v>
      </c>
      <c r="O1618">
        <v>5</v>
      </c>
      <c r="P1618">
        <v>2025</v>
      </c>
      <c r="Q1618">
        <v>4</v>
      </c>
      <c r="R1618" t="s">
        <v>66</v>
      </c>
      <c r="S1618" t="s">
        <v>45</v>
      </c>
      <c r="T1618" t="s">
        <v>42</v>
      </c>
      <c r="U1618" t="s">
        <v>40</v>
      </c>
      <c r="V1618" t="s">
        <v>105</v>
      </c>
      <c r="W1618" t="s">
        <v>106</v>
      </c>
      <c r="X1618" t="s">
        <v>45</v>
      </c>
      <c r="Y1618">
        <v>140</v>
      </c>
      <c r="Z1618" t="s">
        <v>133</v>
      </c>
      <c r="AA1618" t="s">
        <v>134</v>
      </c>
      <c r="AB1618" s="1">
        <v>45886</v>
      </c>
      <c r="AC1618" t="s">
        <v>66</v>
      </c>
      <c r="AD1618" t="s">
        <v>40</v>
      </c>
      <c r="AE1618" t="s">
        <v>86</v>
      </c>
      <c r="AF1618" t="s">
        <v>40</v>
      </c>
      <c r="AG1618">
        <v>0</v>
      </c>
      <c r="AH1618" t="s">
        <v>49</v>
      </c>
    </row>
    <row r="1619" spans="1:34" x14ac:dyDescent="0.3">
      <c r="A1619" t="s">
        <v>2327</v>
      </c>
      <c r="B1619" t="s">
        <v>1771</v>
      </c>
      <c r="C1619" t="s">
        <v>155</v>
      </c>
      <c r="D1619" t="s">
        <v>104</v>
      </c>
      <c r="E1619" s="1">
        <v>45929</v>
      </c>
      <c r="F1619" s="1">
        <v>45959</v>
      </c>
      <c r="G1619" t="s">
        <v>81</v>
      </c>
      <c r="H1619">
        <v>10642</v>
      </c>
      <c r="I1619" t="s">
        <v>39</v>
      </c>
      <c r="J1619" t="b">
        <v>0</v>
      </c>
      <c r="K1619">
        <v>30</v>
      </c>
      <c r="L1619">
        <v>10</v>
      </c>
      <c r="M1619">
        <v>2025</v>
      </c>
      <c r="N1619">
        <v>2</v>
      </c>
      <c r="O1619">
        <v>9</v>
      </c>
      <c r="P1619">
        <v>2025</v>
      </c>
      <c r="Q1619">
        <v>0</v>
      </c>
      <c r="R1619" t="s">
        <v>40</v>
      </c>
      <c r="S1619" t="s">
        <v>67</v>
      </c>
      <c r="T1619" t="s">
        <v>42</v>
      </c>
      <c r="U1619" t="s">
        <v>40</v>
      </c>
      <c r="V1619" t="s">
        <v>156</v>
      </c>
      <c r="W1619" t="s">
        <v>157</v>
      </c>
      <c r="X1619" t="s">
        <v>158</v>
      </c>
      <c r="Y1619">
        <v>70</v>
      </c>
      <c r="Z1619" t="s">
        <v>107</v>
      </c>
      <c r="AA1619" t="s">
        <v>108</v>
      </c>
      <c r="AB1619" s="1">
        <v>45959</v>
      </c>
      <c r="AC1619" t="s">
        <v>40</v>
      </c>
      <c r="AD1619" t="s">
        <v>40</v>
      </c>
      <c r="AE1619" t="s">
        <v>60</v>
      </c>
      <c r="AF1619" t="s">
        <v>40</v>
      </c>
      <c r="AG1619">
        <v>0</v>
      </c>
      <c r="AH1619" t="s">
        <v>70</v>
      </c>
    </row>
    <row r="1620" spans="1:34" x14ac:dyDescent="0.3">
      <c r="A1620" t="s">
        <v>2328</v>
      </c>
      <c r="B1620" t="s">
        <v>209</v>
      </c>
      <c r="C1620" t="s">
        <v>79</v>
      </c>
      <c r="D1620" t="s">
        <v>104</v>
      </c>
      <c r="E1620" s="1">
        <v>45680</v>
      </c>
      <c r="F1620" s="1">
        <v>45683</v>
      </c>
      <c r="G1620" t="s">
        <v>64</v>
      </c>
      <c r="H1620">
        <v>3357</v>
      </c>
      <c r="I1620" t="s">
        <v>65</v>
      </c>
      <c r="J1620" t="b">
        <v>0</v>
      </c>
      <c r="K1620">
        <v>3</v>
      </c>
      <c r="L1620">
        <v>1</v>
      </c>
      <c r="M1620">
        <v>2025</v>
      </c>
      <c r="N1620">
        <v>6</v>
      </c>
      <c r="O1620">
        <v>1</v>
      </c>
      <c r="P1620">
        <v>2025</v>
      </c>
      <c r="Q1620">
        <v>3</v>
      </c>
      <c r="R1620" t="s">
        <v>66</v>
      </c>
      <c r="S1620" t="s">
        <v>55</v>
      </c>
      <c r="T1620" t="s">
        <v>113</v>
      </c>
      <c r="U1620" t="s">
        <v>40</v>
      </c>
      <c r="V1620" t="s">
        <v>82</v>
      </c>
      <c r="W1620" t="s">
        <v>83</v>
      </c>
      <c r="X1620" t="s">
        <v>76</v>
      </c>
      <c r="Y1620">
        <v>100</v>
      </c>
      <c r="Z1620" t="s">
        <v>107</v>
      </c>
      <c r="AA1620" t="s">
        <v>108</v>
      </c>
      <c r="AB1620" s="1">
        <v>45683</v>
      </c>
      <c r="AC1620" t="s">
        <v>66</v>
      </c>
      <c r="AD1620" t="s">
        <v>66</v>
      </c>
      <c r="AE1620" t="s">
        <v>86</v>
      </c>
      <c r="AF1620" t="s">
        <v>40</v>
      </c>
      <c r="AG1620">
        <v>0</v>
      </c>
      <c r="AH1620" t="s">
        <v>100</v>
      </c>
    </row>
    <row r="1621" spans="1:34" x14ac:dyDescent="0.3">
      <c r="A1621" t="s">
        <v>2329</v>
      </c>
      <c r="B1621" t="s">
        <v>1761</v>
      </c>
      <c r="C1621" t="s">
        <v>73</v>
      </c>
      <c r="D1621" t="s">
        <v>80</v>
      </c>
      <c r="E1621" s="1">
        <v>45691</v>
      </c>
      <c r="F1621" s="1">
        <v>45698</v>
      </c>
      <c r="G1621" t="s">
        <v>64</v>
      </c>
      <c r="H1621">
        <v>2661</v>
      </c>
      <c r="I1621" t="s">
        <v>39</v>
      </c>
      <c r="J1621" t="b">
        <v>0</v>
      </c>
      <c r="K1621">
        <v>7</v>
      </c>
      <c r="L1621">
        <v>2</v>
      </c>
      <c r="M1621">
        <v>2025</v>
      </c>
      <c r="N1621">
        <v>0</v>
      </c>
      <c r="O1621">
        <v>2</v>
      </c>
      <c r="P1621">
        <v>2025</v>
      </c>
      <c r="Q1621">
        <v>0</v>
      </c>
      <c r="R1621" t="s">
        <v>40</v>
      </c>
      <c r="S1621" t="s">
        <v>41</v>
      </c>
      <c r="T1621" t="s">
        <v>48</v>
      </c>
      <c r="U1621" t="s">
        <v>40</v>
      </c>
      <c r="V1621" t="s">
        <v>74</v>
      </c>
      <c r="W1621" t="s">
        <v>75</v>
      </c>
      <c r="X1621" t="s">
        <v>76</v>
      </c>
      <c r="Y1621">
        <v>75</v>
      </c>
      <c r="Z1621" t="s">
        <v>84</v>
      </c>
      <c r="AA1621" t="s">
        <v>85</v>
      </c>
      <c r="AB1621" s="1">
        <v>45698</v>
      </c>
      <c r="AC1621" t="s">
        <v>40</v>
      </c>
      <c r="AD1621" t="s">
        <v>40</v>
      </c>
      <c r="AE1621" t="s">
        <v>60</v>
      </c>
      <c r="AF1621" t="s">
        <v>40</v>
      </c>
      <c r="AG1621">
        <v>0</v>
      </c>
      <c r="AH1621" t="s">
        <v>100</v>
      </c>
    </row>
    <row r="1622" spans="1:34" x14ac:dyDescent="0.3">
      <c r="A1622" t="s">
        <v>2330</v>
      </c>
      <c r="B1622" t="s">
        <v>207</v>
      </c>
      <c r="C1622" t="s">
        <v>73</v>
      </c>
      <c r="D1622" t="s">
        <v>53</v>
      </c>
      <c r="E1622" s="1">
        <v>45726</v>
      </c>
      <c r="F1622" s="1">
        <v>45727</v>
      </c>
      <c r="G1622" t="s">
        <v>81</v>
      </c>
      <c r="H1622">
        <v>7429</v>
      </c>
      <c r="I1622" t="s">
        <v>54</v>
      </c>
      <c r="J1622" t="b">
        <v>0</v>
      </c>
      <c r="K1622">
        <v>1</v>
      </c>
      <c r="L1622">
        <v>3</v>
      </c>
      <c r="M1622">
        <v>2025</v>
      </c>
      <c r="N1622">
        <v>1</v>
      </c>
      <c r="O1622">
        <v>3</v>
      </c>
      <c r="P1622">
        <v>2025</v>
      </c>
      <c r="Q1622">
        <v>0</v>
      </c>
      <c r="R1622" t="s">
        <v>40</v>
      </c>
      <c r="S1622" t="s">
        <v>55</v>
      </c>
      <c r="T1622" t="s">
        <v>113</v>
      </c>
      <c r="U1622" t="s">
        <v>40</v>
      </c>
      <c r="V1622" t="s">
        <v>74</v>
      </c>
      <c r="W1622" t="s">
        <v>75</v>
      </c>
      <c r="X1622" t="s">
        <v>76</v>
      </c>
      <c r="Y1622">
        <v>75</v>
      </c>
      <c r="Z1622" t="s">
        <v>58</v>
      </c>
      <c r="AA1622" t="s">
        <v>59</v>
      </c>
      <c r="AB1622" s="1">
        <v>45727</v>
      </c>
      <c r="AC1622" t="s">
        <v>40</v>
      </c>
      <c r="AD1622" t="s">
        <v>40</v>
      </c>
      <c r="AE1622" t="s">
        <v>60</v>
      </c>
      <c r="AF1622" t="s">
        <v>40</v>
      </c>
      <c r="AG1622">
        <v>1</v>
      </c>
      <c r="AH1622" t="s">
        <v>100</v>
      </c>
    </row>
    <row r="1623" spans="1:34" x14ac:dyDescent="0.3">
      <c r="A1623" t="s">
        <v>2331</v>
      </c>
      <c r="B1623" t="s">
        <v>365</v>
      </c>
      <c r="C1623" t="s">
        <v>169</v>
      </c>
      <c r="D1623" t="s">
        <v>53</v>
      </c>
      <c r="E1623" s="1">
        <v>46357</v>
      </c>
      <c r="F1623" s="1">
        <v>46457</v>
      </c>
      <c r="G1623" t="s">
        <v>38</v>
      </c>
      <c r="H1623">
        <v>5565</v>
      </c>
      <c r="I1623" t="s">
        <v>39</v>
      </c>
      <c r="J1623" t="b">
        <v>0</v>
      </c>
      <c r="K1623">
        <v>100</v>
      </c>
      <c r="L1623">
        <v>3</v>
      </c>
      <c r="M1623">
        <v>2027</v>
      </c>
      <c r="N1623">
        <v>3</v>
      </c>
      <c r="O1623">
        <v>12</v>
      </c>
      <c r="P1623">
        <v>2026</v>
      </c>
      <c r="Q1623">
        <v>1</v>
      </c>
      <c r="R1623" t="s">
        <v>40</v>
      </c>
      <c r="S1623" t="s">
        <v>41</v>
      </c>
      <c r="T1623" t="s">
        <v>42</v>
      </c>
      <c r="U1623" t="s">
        <v>40</v>
      </c>
      <c r="V1623" t="s">
        <v>170</v>
      </c>
      <c r="W1623" t="s">
        <v>171</v>
      </c>
      <c r="X1623" t="s">
        <v>126</v>
      </c>
      <c r="Y1623">
        <v>90</v>
      </c>
      <c r="Z1623" t="s">
        <v>58</v>
      </c>
      <c r="AA1623" t="s">
        <v>59</v>
      </c>
      <c r="AB1623" s="1"/>
      <c r="AC1623" t="s">
        <v>48</v>
      </c>
      <c r="AD1623" t="s">
        <v>48</v>
      </c>
      <c r="AE1623" t="s">
        <v>48</v>
      </c>
      <c r="AF1623" t="s">
        <v>48</v>
      </c>
      <c r="AG1623">
        <v>0</v>
      </c>
      <c r="AH1623" t="s">
        <v>49</v>
      </c>
    </row>
    <row r="1624" spans="1:34" x14ac:dyDescent="0.3">
      <c r="A1624" t="s">
        <v>2332</v>
      </c>
      <c r="B1624" t="s">
        <v>940</v>
      </c>
      <c r="C1624" t="s">
        <v>73</v>
      </c>
      <c r="D1624" t="s">
        <v>90</v>
      </c>
      <c r="E1624" s="1">
        <v>45824</v>
      </c>
      <c r="F1624" s="1">
        <v>45831</v>
      </c>
      <c r="G1624" t="s">
        <v>38</v>
      </c>
      <c r="H1624">
        <v>4168</v>
      </c>
      <c r="I1624" t="s">
        <v>39</v>
      </c>
      <c r="J1624" t="b">
        <v>0</v>
      </c>
      <c r="K1624">
        <v>7</v>
      </c>
      <c r="L1624">
        <v>6</v>
      </c>
      <c r="M1624">
        <v>2025</v>
      </c>
      <c r="N1624">
        <v>0</v>
      </c>
      <c r="O1624">
        <v>6</v>
      </c>
      <c r="P1624">
        <v>2025</v>
      </c>
      <c r="Q1624">
        <v>0</v>
      </c>
      <c r="R1624" t="s">
        <v>40</v>
      </c>
      <c r="S1624" t="s">
        <v>55</v>
      </c>
      <c r="T1624" t="s">
        <v>139</v>
      </c>
      <c r="U1624" t="s">
        <v>40</v>
      </c>
      <c r="V1624" t="s">
        <v>74</v>
      </c>
      <c r="W1624" t="s">
        <v>75</v>
      </c>
      <c r="X1624" t="s">
        <v>76</v>
      </c>
      <c r="Y1624">
        <v>75</v>
      </c>
      <c r="Z1624" t="s">
        <v>93</v>
      </c>
      <c r="AA1624" t="s">
        <v>94</v>
      </c>
      <c r="AB1624" s="1">
        <v>45831</v>
      </c>
      <c r="AC1624" t="s">
        <v>40</v>
      </c>
      <c r="AD1624" t="s">
        <v>40</v>
      </c>
      <c r="AE1624" t="s">
        <v>60</v>
      </c>
      <c r="AF1624" t="s">
        <v>40</v>
      </c>
      <c r="AG1624">
        <v>0</v>
      </c>
      <c r="AH1624" t="s">
        <v>100</v>
      </c>
    </row>
    <row r="1625" spans="1:34" x14ac:dyDescent="0.3">
      <c r="A1625" t="s">
        <v>2333</v>
      </c>
      <c r="B1625" t="s">
        <v>659</v>
      </c>
      <c r="C1625" t="s">
        <v>89</v>
      </c>
      <c r="D1625" t="s">
        <v>37</v>
      </c>
      <c r="E1625" s="1">
        <v>46209</v>
      </c>
      <c r="F1625" s="1">
        <v>46429</v>
      </c>
      <c r="G1625" t="s">
        <v>38</v>
      </c>
      <c r="H1625">
        <v>4603</v>
      </c>
      <c r="I1625" t="s">
        <v>39</v>
      </c>
      <c r="J1625" t="b">
        <v>0</v>
      </c>
      <c r="K1625">
        <v>220</v>
      </c>
      <c r="L1625">
        <v>2</v>
      </c>
      <c r="M1625">
        <v>2027</v>
      </c>
      <c r="N1625">
        <v>3</v>
      </c>
      <c r="O1625">
        <v>7</v>
      </c>
      <c r="P1625">
        <v>2026</v>
      </c>
      <c r="Q1625">
        <v>0</v>
      </c>
      <c r="R1625" t="s">
        <v>40</v>
      </c>
      <c r="S1625" t="s">
        <v>45</v>
      </c>
      <c r="T1625" t="s">
        <v>286</v>
      </c>
      <c r="U1625" t="s">
        <v>66</v>
      </c>
      <c r="V1625" t="s">
        <v>91</v>
      </c>
      <c r="W1625" t="s">
        <v>92</v>
      </c>
      <c r="X1625" t="s">
        <v>76</v>
      </c>
      <c r="Y1625">
        <v>65</v>
      </c>
      <c r="Z1625" t="s">
        <v>46</v>
      </c>
      <c r="AA1625" t="s">
        <v>47</v>
      </c>
      <c r="AB1625" s="1"/>
      <c r="AC1625" t="s">
        <v>48</v>
      </c>
      <c r="AD1625" t="s">
        <v>48</v>
      </c>
      <c r="AE1625" t="s">
        <v>48</v>
      </c>
      <c r="AF1625" t="s">
        <v>48</v>
      </c>
      <c r="AG1625">
        <v>0</v>
      </c>
      <c r="AH1625" t="s">
        <v>142</v>
      </c>
    </row>
    <row r="1626" spans="1:34" x14ac:dyDescent="0.3">
      <c r="A1626" t="s">
        <v>2334</v>
      </c>
      <c r="B1626" t="s">
        <v>1218</v>
      </c>
      <c r="C1626" t="s">
        <v>155</v>
      </c>
      <c r="D1626" t="s">
        <v>104</v>
      </c>
      <c r="E1626" s="1">
        <v>45978</v>
      </c>
      <c r="F1626" s="1">
        <v>46078</v>
      </c>
      <c r="G1626" t="s">
        <v>38</v>
      </c>
      <c r="H1626">
        <v>4084</v>
      </c>
      <c r="I1626" t="s">
        <v>54</v>
      </c>
      <c r="J1626" t="b">
        <v>0</v>
      </c>
      <c r="K1626">
        <v>100</v>
      </c>
      <c r="L1626">
        <v>2</v>
      </c>
      <c r="M1626">
        <v>2026</v>
      </c>
      <c r="N1626">
        <v>2</v>
      </c>
      <c r="O1626">
        <v>11</v>
      </c>
      <c r="P1626">
        <v>2025</v>
      </c>
      <c r="Q1626">
        <v>0</v>
      </c>
      <c r="R1626" t="s">
        <v>40</v>
      </c>
      <c r="S1626" t="s">
        <v>55</v>
      </c>
      <c r="T1626" t="s">
        <v>42</v>
      </c>
      <c r="U1626" t="s">
        <v>40</v>
      </c>
      <c r="V1626" t="s">
        <v>156</v>
      </c>
      <c r="W1626" t="s">
        <v>157</v>
      </c>
      <c r="X1626" t="s">
        <v>158</v>
      </c>
      <c r="Y1626">
        <v>70</v>
      </c>
      <c r="Z1626" t="s">
        <v>107</v>
      </c>
      <c r="AA1626" t="s">
        <v>108</v>
      </c>
      <c r="AB1626" s="1">
        <v>46078</v>
      </c>
      <c r="AC1626" t="s">
        <v>40</v>
      </c>
      <c r="AD1626" t="s">
        <v>40</v>
      </c>
      <c r="AE1626" t="s">
        <v>60</v>
      </c>
      <c r="AF1626" t="s">
        <v>40</v>
      </c>
      <c r="AG1626">
        <v>1</v>
      </c>
      <c r="AH1626" t="s">
        <v>49</v>
      </c>
    </row>
    <row r="1627" spans="1:34" x14ac:dyDescent="0.3">
      <c r="A1627" t="s">
        <v>2335</v>
      </c>
      <c r="B1627" t="s">
        <v>1124</v>
      </c>
      <c r="C1627" t="s">
        <v>122</v>
      </c>
      <c r="D1627" t="s">
        <v>53</v>
      </c>
      <c r="E1627" s="1">
        <v>46260</v>
      </c>
      <c r="F1627" s="1">
        <v>46274</v>
      </c>
      <c r="G1627" t="s">
        <v>38</v>
      </c>
      <c r="H1627">
        <v>3560</v>
      </c>
      <c r="I1627" t="s">
        <v>39</v>
      </c>
      <c r="J1627" t="b">
        <v>0</v>
      </c>
      <c r="K1627">
        <v>14</v>
      </c>
      <c r="L1627">
        <v>9</v>
      </c>
      <c r="M1627">
        <v>2026</v>
      </c>
      <c r="N1627">
        <v>2</v>
      </c>
      <c r="O1627">
        <v>8</v>
      </c>
      <c r="P1627">
        <v>2026</v>
      </c>
      <c r="Q1627">
        <v>2</v>
      </c>
      <c r="R1627" t="s">
        <v>40</v>
      </c>
      <c r="S1627" t="s">
        <v>41</v>
      </c>
      <c r="T1627" t="s">
        <v>42</v>
      </c>
      <c r="U1627" t="s">
        <v>40</v>
      </c>
      <c r="V1627" t="s">
        <v>124</v>
      </c>
      <c r="W1627" t="s">
        <v>125</v>
      </c>
      <c r="X1627" t="s">
        <v>126</v>
      </c>
      <c r="Y1627">
        <v>85</v>
      </c>
      <c r="Z1627" t="s">
        <v>58</v>
      </c>
      <c r="AA1627" t="s">
        <v>59</v>
      </c>
      <c r="AB1627" s="1">
        <v>46274</v>
      </c>
      <c r="AC1627" t="s">
        <v>40</v>
      </c>
      <c r="AD1627" t="s">
        <v>40</v>
      </c>
      <c r="AE1627" t="s">
        <v>60</v>
      </c>
      <c r="AF1627" t="s">
        <v>40</v>
      </c>
      <c r="AG1627">
        <v>0</v>
      </c>
      <c r="AH1627" t="s">
        <v>70</v>
      </c>
    </row>
    <row r="1628" spans="1:34" x14ac:dyDescent="0.3">
      <c r="A1628" t="s">
        <v>2336</v>
      </c>
      <c r="B1628" t="s">
        <v>1988</v>
      </c>
      <c r="C1628" t="s">
        <v>73</v>
      </c>
      <c r="D1628" t="s">
        <v>104</v>
      </c>
      <c r="E1628" s="1">
        <v>46008</v>
      </c>
      <c r="F1628" s="1">
        <v>46038</v>
      </c>
      <c r="G1628" t="s">
        <v>64</v>
      </c>
      <c r="H1628">
        <v>2471</v>
      </c>
      <c r="I1628" t="s">
        <v>39</v>
      </c>
      <c r="J1628" t="b">
        <v>0</v>
      </c>
      <c r="K1628">
        <v>30</v>
      </c>
      <c r="L1628">
        <v>1</v>
      </c>
      <c r="M1628">
        <v>2026</v>
      </c>
      <c r="N1628">
        <v>4</v>
      </c>
      <c r="O1628">
        <v>12</v>
      </c>
      <c r="P1628">
        <v>2025</v>
      </c>
      <c r="Q1628">
        <v>2</v>
      </c>
      <c r="R1628" t="s">
        <v>40</v>
      </c>
      <c r="S1628" t="s">
        <v>55</v>
      </c>
      <c r="T1628" t="s">
        <v>42</v>
      </c>
      <c r="U1628" t="s">
        <v>40</v>
      </c>
      <c r="V1628" t="s">
        <v>74</v>
      </c>
      <c r="W1628" t="s">
        <v>75</v>
      </c>
      <c r="X1628" t="s">
        <v>76</v>
      </c>
      <c r="Y1628">
        <v>75</v>
      </c>
      <c r="Z1628" t="s">
        <v>107</v>
      </c>
      <c r="AA1628" t="s">
        <v>108</v>
      </c>
      <c r="AB1628" s="1">
        <v>46038</v>
      </c>
      <c r="AC1628" t="s">
        <v>40</v>
      </c>
      <c r="AD1628" t="s">
        <v>40</v>
      </c>
      <c r="AE1628" t="s">
        <v>86</v>
      </c>
      <c r="AF1628" t="s">
        <v>40</v>
      </c>
      <c r="AG1628">
        <v>0</v>
      </c>
      <c r="AH1628" t="s">
        <v>70</v>
      </c>
    </row>
    <row r="1629" spans="1:34" x14ac:dyDescent="0.3">
      <c r="A1629" t="s">
        <v>2337</v>
      </c>
      <c r="B1629" t="s">
        <v>727</v>
      </c>
      <c r="C1629" t="s">
        <v>89</v>
      </c>
      <c r="D1629" t="s">
        <v>104</v>
      </c>
      <c r="E1629" s="1">
        <v>45789</v>
      </c>
      <c r="F1629" s="1">
        <v>45939</v>
      </c>
      <c r="G1629" t="s">
        <v>81</v>
      </c>
      <c r="H1629">
        <v>11970</v>
      </c>
      <c r="I1629" t="s">
        <v>39</v>
      </c>
      <c r="J1629" t="b">
        <v>0</v>
      </c>
      <c r="K1629">
        <v>150</v>
      </c>
      <c r="L1629">
        <v>10</v>
      </c>
      <c r="M1629">
        <v>2025</v>
      </c>
      <c r="N1629">
        <v>3</v>
      </c>
      <c r="O1629">
        <v>5</v>
      </c>
      <c r="P1629">
        <v>2025</v>
      </c>
      <c r="Q1629">
        <v>0</v>
      </c>
      <c r="R1629" t="s">
        <v>40</v>
      </c>
      <c r="S1629" t="s">
        <v>41</v>
      </c>
      <c r="T1629" t="s">
        <v>68</v>
      </c>
      <c r="U1629" t="s">
        <v>40</v>
      </c>
      <c r="V1629" t="s">
        <v>91</v>
      </c>
      <c r="W1629" t="s">
        <v>92</v>
      </c>
      <c r="X1629" t="s">
        <v>76</v>
      </c>
      <c r="Y1629">
        <v>65</v>
      </c>
      <c r="Z1629" t="s">
        <v>107</v>
      </c>
      <c r="AA1629" t="s">
        <v>108</v>
      </c>
      <c r="AB1629" s="1">
        <v>45939</v>
      </c>
      <c r="AC1629" t="s">
        <v>40</v>
      </c>
      <c r="AD1629" t="s">
        <v>40</v>
      </c>
      <c r="AE1629" t="s">
        <v>60</v>
      </c>
      <c r="AF1629" t="s">
        <v>40</v>
      </c>
      <c r="AG1629">
        <v>0</v>
      </c>
      <c r="AH1629" t="s">
        <v>49</v>
      </c>
    </row>
    <row r="1630" spans="1:34" x14ac:dyDescent="0.3">
      <c r="A1630" t="s">
        <v>2338</v>
      </c>
      <c r="B1630" t="s">
        <v>1439</v>
      </c>
      <c r="C1630" t="s">
        <v>97</v>
      </c>
      <c r="D1630" t="s">
        <v>37</v>
      </c>
      <c r="E1630" s="1">
        <v>45684</v>
      </c>
      <c r="F1630" s="1">
        <v>45784</v>
      </c>
      <c r="G1630" t="s">
        <v>41</v>
      </c>
      <c r="H1630">
        <v>5018</v>
      </c>
      <c r="I1630" t="s">
        <v>54</v>
      </c>
      <c r="J1630" t="b">
        <v>0</v>
      </c>
      <c r="K1630">
        <v>100</v>
      </c>
      <c r="L1630">
        <v>5</v>
      </c>
      <c r="M1630">
        <v>2025</v>
      </c>
      <c r="N1630">
        <v>2</v>
      </c>
      <c r="O1630">
        <v>1</v>
      </c>
      <c r="P1630">
        <v>2025</v>
      </c>
      <c r="Q1630">
        <v>0</v>
      </c>
      <c r="R1630" t="s">
        <v>40</v>
      </c>
      <c r="S1630" t="s">
        <v>67</v>
      </c>
      <c r="T1630" t="s">
        <v>42</v>
      </c>
      <c r="U1630" t="s">
        <v>40</v>
      </c>
      <c r="V1630" t="s">
        <v>98</v>
      </c>
      <c r="W1630" t="s">
        <v>99</v>
      </c>
      <c r="X1630" t="s">
        <v>76</v>
      </c>
      <c r="Y1630">
        <v>80</v>
      </c>
      <c r="Z1630" t="s">
        <v>46</v>
      </c>
      <c r="AA1630" t="s">
        <v>47</v>
      </c>
      <c r="AB1630" s="1">
        <v>45784</v>
      </c>
      <c r="AC1630" t="s">
        <v>40</v>
      </c>
      <c r="AD1630" t="s">
        <v>40</v>
      </c>
      <c r="AE1630" t="s">
        <v>69</v>
      </c>
      <c r="AF1630" t="s">
        <v>40</v>
      </c>
      <c r="AG1630">
        <v>1</v>
      </c>
      <c r="AH1630" t="s">
        <v>49</v>
      </c>
    </row>
    <row r="1631" spans="1:34" x14ac:dyDescent="0.3">
      <c r="A1631" t="s">
        <v>2339</v>
      </c>
      <c r="B1631" t="s">
        <v>981</v>
      </c>
      <c r="C1631" t="s">
        <v>169</v>
      </c>
      <c r="D1631" t="s">
        <v>53</v>
      </c>
      <c r="E1631" s="1">
        <v>45798</v>
      </c>
      <c r="F1631" s="1">
        <v>45805</v>
      </c>
      <c r="G1631" t="s">
        <v>38</v>
      </c>
      <c r="H1631">
        <v>3933</v>
      </c>
      <c r="I1631" t="s">
        <v>39</v>
      </c>
      <c r="J1631" t="b">
        <v>0</v>
      </c>
      <c r="K1631">
        <v>7</v>
      </c>
      <c r="L1631">
        <v>5</v>
      </c>
      <c r="M1631">
        <v>2025</v>
      </c>
      <c r="N1631">
        <v>2</v>
      </c>
      <c r="O1631">
        <v>5</v>
      </c>
      <c r="P1631">
        <v>2025</v>
      </c>
      <c r="Q1631">
        <v>2</v>
      </c>
      <c r="R1631" t="s">
        <v>40</v>
      </c>
      <c r="S1631" t="s">
        <v>55</v>
      </c>
      <c r="T1631" t="s">
        <v>42</v>
      </c>
      <c r="U1631" t="s">
        <v>40</v>
      </c>
      <c r="V1631" t="s">
        <v>170</v>
      </c>
      <c r="W1631" t="s">
        <v>171</v>
      </c>
      <c r="X1631" t="s">
        <v>126</v>
      </c>
      <c r="Y1631">
        <v>90</v>
      </c>
      <c r="Z1631" t="s">
        <v>58</v>
      </c>
      <c r="AA1631" t="s">
        <v>59</v>
      </c>
      <c r="AB1631" s="1">
        <v>45805</v>
      </c>
      <c r="AC1631" t="s">
        <v>40</v>
      </c>
      <c r="AD1631" t="s">
        <v>40</v>
      </c>
      <c r="AE1631" t="s">
        <v>69</v>
      </c>
      <c r="AF1631" t="s">
        <v>40</v>
      </c>
      <c r="AG1631">
        <v>0</v>
      </c>
      <c r="AH1631" t="s">
        <v>100</v>
      </c>
    </row>
    <row r="1632" spans="1:34" x14ac:dyDescent="0.3">
      <c r="A1632" t="s">
        <v>2340</v>
      </c>
      <c r="B1632" t="s">
        <v>269</v>
      </c>
      <c r="C1632" t="s">
        <v>36</v>
      </c>
      <c r="D1632" t="s">
        <v>53</v>
      </c>
      <c r="E1632" s="1">
        <v>45872</v>
      </c>
      <c r="F1632" s="1">
        <v>45932</v>
      </c>
      <c r="G1632" t="s">
        <v>38</v>
      </c>
      <c r="H1632">
        <v>3930</v>
      </c>
      <c r="I1632" t="s">
        <v>54</v>
      </c>
      <c r="J1632" t="b">
        <v>0</v>
      </c>
      <c r="K1632">
        <v>60</v>
      </c>
      <c r="L1632">
        <v>10</v>
      </c>
      <c r="M1632">
        <v>2025</v>
      </c>
      <c r="N1632">
        <v>3</v>
      </c>
      <c r="O1632">
        <v>8</v>
      </c>
      <c r="P1632">
        <v>2025</v>
      </c>
      <c r="Q1632">
        <v>6</v>
      </c>
      <c r="R1632" t="s">
        <v>40</v>
      </c>
      <c r="S1632" t="s">
        <v>45</v>
      </c>
      <c r="T1632" t="s">
        <v>42</v>
      </c>
      <c r="U1632" t="s">
        <v>40</v>
      </c>
      <c r="V1632" t="s">
        <v>43</v>
      </c>
      <c r="W1632" t="s">
        <v>44</v>
      </c>
      <c r="X1632" t="s">
        <v>45</v>
      </c>
      <c r="Y1632">
        <v>150</v>
      </c>
      <c r="Z1632" t="s">
        <v>58</v>
      </c>
      <c r="AA1632" t="s">
        <v>59</v>
      </c>
      <c r="AB1632" s="1">
        <v>45932</v>
      </c>
      <c r="AC1632" t="s">
        <v>40</v>
      </c>
      <c r="AD1632" t="s">
        <v>66</v>
      </c>
      <c r="AE1632" t="s">
        <v>60</v>
      </c>
      <c r="AF1632" t="s">
        <v>66</v>
      </c>
      <c r="AG1632">
        <v>1</v>
      </c>
      <c r="AH1632" t="s">
        <v>61</v>
      </c>
    </row>
    <row r="1633" spans="1:34" x14ac:dyDescent="0.3">
      <c r="A1633" t="s">
        <v>2341</v>
      </c>
      <c r="B1633" t="s">
        <v>513</v>
      </c>
      <c r="C1633" t="s">
        <v>122</v>
      </c>
      <c r="D1633" t="s">
        <v>80</v>
      </c>
      <c r="E1633" s="1">
        <v>46130</v>
      </c>
      <c r="F1633" s="1">
        <v>46160</v>
      </c>
      <c r="G1633" t="s">
        <v>81</v>
      </c>
      <c r="H1633">
        <v>9566</v>
      </c>
      <c r="I1633" t="s">
        <v>39</v>
      </c>
      <c r="J1633" t="b">
        <v>0</v>
      </c>
      <c r="K1633">
        <v>30</v>
      </c>
      <c r="L1633">
        <v>5</v>
      </c>
      <c r="M1633">
        <v>2026</v>
      </c>
      <c r="N1633">
        <v>0</v>
      </c>
      <c r="O1633">
        <v>4</v>
      </c>
      <c r="P1633">
        <v>2026</v>
      </c>
      <c r="Q1633">
        <v>5</v>
      </c>
      <c r="R1633" t="s">
        <v>40</v>
      </c>
      <c r="S1633" t="s">
        <v>55</v>
      </c>
      <c r="T1633" t="s">
        <v>42</v>
      </c>
      <c r="U1633" t="s">
        <v>40</v>
      </c>
      <c r="V1633" t="s">
        <v>124</v>
      </c>
      <c r="W1633" t="s">
        <v>125</v>
      </c>
      <c r="X1633" t="s">
        <v>126</v>
      </c>
      <c r="Y1633">
        <v>85</v>
      </c>
      <c r="Z1633" t="s">
        <v>84</v>
      </c>
      <c r="AA1633" t="s">
        <v>85</v>
      </c>
      <c r="AB1633" s="1">
        <v>46160</v>
      </c>
      <c r="AC1633" t="s">
        <v>40</v>
      </c>
      <c r="AD1633" t="s">
        <v>40</v>
      </c>
      <c r="AE1633" t="s">
        <v>69</v>
      </c>
      <c r="AF1633" t="s">
        <v>40</v>
      </c>
      <c r="AG1633">
        <v>0</v>
      </c>
      <c r="AH1633" t="s">
        <v>70</v>
      </c>
    </row>
    <row r="1634" spans="1:34" x14ac:dyDescent="0.3">
      <c r="A1634" t="s">
        <v>2342</v>
      </c>
      <c r="B1634" t="s">
        <v>833</v>
      </c>
      <c r="C1634" t="s">
        <v>146</v>
      </c>
      <c r="D1634" t="s">
        <v>80</v>
      </c>
      <c r="E1634" s="1">
        <v>45899</v>
      </c>
      <c r="F1634" s="1">
        <v>45959</v>
      </c>
      <c r="G1634" t="s">
        <v>81</v>
      </c>
      <c r="H1634">
        <v>7396</v>
      </c>
      <c r="I1634" t="s">
        <v>39</v>
      </c>
      <c r="J1634" t="b">
        <v>0</v>
      </c>
      <c r="K1634">
        <v>60</v>
      </c>
      <c r="L1634">
        <v>10</v>
      </c>
      <c r="M1634">
        <v>2025</v>
      </c>
      <c r="N1634">
        <v>2</v>
      </c>
      <c r="O1634">
        <v>8</v>
      </c>
      <c r="P1634">
        <v>2025</v>
      </c>
      <c r="Q1634">
        <v>5</v>
      </c>
      <c r="R1634" t="s">
        <v>40</v>
      </c>
      <c r="S1634" t="s">
        <v>67</v>
      </c>
      <c r="T1634" t="s">
        <v>286</v>
      </c>
      <c r="U1634" t="s">
        <v>66</v>
      </c>
      <c r="V1634" t="s">
        <v>147</v>
      </c>
      <c r="W1634" t="s">
        <v>148</v>
      </c>
      <c r="X1634" t="s">
        <v>45</v>
      </c>
      <c r="Y1634">
        <v>160</v>
      </c>
      <c r="Z1634" t="s">
        <v>84</v>
      </c>
      <c r="AA1634" t="s">
        <v>85</v>
      </c>
      <c r="AB1634" s="1">
        <v>45959</v>
      </c>
      <c r="AC1634" t="s">
        <v>40</v>
      </c>
      <c r="AD1634" t="s">
        <v>40</v>
      </c>
      <c r="AE1634" t="s">
        <v>60</v>
      </c>
      <c r="AF1634" t="s">
        <v>40</v>
      </c>
      <c r="AG1634">
        <v>0</v>
      </c>
      <c r="AH1634" t="s">
        <v>61</v>
      </c>
    </row>
    <row r="1635" spans="1:34" x14ac:dyDescent="0.3">
      <c r="A1635" t="s">
        <v>2343</v>
      </c>
      <c r="B1635" t="s">
        <v>533</v>
      </c>
      <c r="C1635" t="s">
        <v>122</v>
      </c>
      <c r="D1635" t="s">
        <v>104</v>
      </c>
      <c r="E1635" s="1">
        <v>45700</v>
      </c>
      <c r="F1635" s="1">
        <v>45714</v>
      </c>
      <c r="G1635" t="s">
        <v>41</v>
      </c>
      <c r="H1635">
        <v>8102</v>
      </c>
      <c r="I1635" t="s">
        <v>39</v>
      </c>
      <c r="J1635" t="b">
        <v>0</v>
      </c>
      <c r="K1635">
        <v>14</v>
      </c>
      <c r="L1635">
        <v>2</v>
      </c>
      <c r="M1635">
        <v>2025</v>
      </c>
      <c r="N1635">
        <v>2</v>
      </c>
      <c r="O1635">
        <v>2</v>
      </c>
      <c r="P1635">
        <v>2025</v>
      </c>
      <c r="Q1635">
        <v>2</v>
      </c>
      <c r="R1635" t="s">
        <v>40</v>
      </c>
      <c r="S1635" t="s">
        <v>67</v>
      </c>
      <c r="T1635" t="s">
        <v>42</v>
      </c>
      <c r="U1635" t="s">
        <v>40</v>
      </c>
      <c r="V1635" t="s">
        <v>124</v>
      </c>
      <c r="W1635" t="s">
        <v>125</v>
      </c>
      <c r="X1635" t="s">
        <v>126</v>
      </c>
      <c r="Y1635">
        <v>85</v>
      </c>
      <c r="Z1635" t="s">
        <v>107</v>
      </c>
      <c r="AA1635" t="s">
        <v>108</v>
      </c>
      <c r="AB1635" s="1">
        <v>45714</v>
      </c>
      <c r="AC1635" t="s">
        <v>40</v>
      </c>
      <c r="AD1635" t="s">
        <v>40</v>
      </c>
      <c r="AE1635" t="s">
        <v>60</v>
      </c>
      <c r="AF1635" t="s">
        <v>40</v>
      </c>
      <c r="AG1635">
        <v>0</v>
      </c>
      <c r="AH1635" t="s">
        <v>70</v>
      </c>
    </row>
    <row r="1636" spans="1:34" x14ac:dyDescent="0.3">
      <c r="A1636" t="s">
        <v>2344</v>
      </c>
      <c r="B1636" t="s">
        <v>1677</v>
      </c>
      <c r="C1636" t="s">
        <v>36</v>
      </c>
      <c r="D1636" t="s">
        <v>53</v>
      </c>
      <c r="E1636" s="1">
        <v>46290</v>
      </c>
      <c r="F1636" s="1">
        <v>46440</v>
      </c>
      <c r="G1636" t="s">
        <v>38</v>
      </c>
      <c r="H1636">
        <v>5723</v>
      </c>
      <c r="I1636" t="s">
        <v>54</v>
      </c>
      <c r="J1636" t="b">
        <v>0</v>
      </c>
      <c r="K1636">
        <v>150</v>
      </c>
      <c r="L1636">
        <v>2</v>
      </c>
      <c r="M1636">
        <v>2027</v>
      </c>
      <c r="N1636">
        <v>0</v>
      </c>
      <c r="O1636">
        <v>9</v>
      </c>
      <c r="P1636">
        <v>2026</v>
      </c>
      <c r="Q1636">
        <v>4</v>
      </c>
      <c r="R1636" t="s">
        <v>40</v>
      </c>
      <c r="S1636" t="s">
        <v>45</v>
      </c>
      <c r="T1636" t="s">
        <v>42</v>
      </c>
      <c r="U1636" t="s">
        <v>40</v>
      </c>
      <c r="V1636" t="s">
        <v>43</v>
      </c>
      <c r="W1636" t="s">
        <v>44</v>
      </c>
      <c r="X1636" t="s">
        <v>45</v>
      </c>
      <c r="Y1636">
        <v>150</v>
      </c>
      <c r="Z1636" t="s">
        <v>58</v>
      </c>
      <c r="AA1636" t="s">
        <v>59</v>
      </c>
      <c r="AB1636" s="1"/>
      <c r="AC1636" t="s">
        <v>48</v>
      </c>
      <c r="AD1636" t="s">
        <v>48</v>
      </c>
      <c r="AE1636" t="s">
        <v>48</v>
      </c>
      <c r="AF1636" t="s">
        <v>48</v>
      </c>
      <c r="AG1636">
        <v>1</v>
      </c>
      <c r="AH1636" t="s">
        <v>49</v>
      </c>
    </row>
    <row r="1637" spans="1:34" x14ac:dyDescent="0.3">
      <c r="A1637" t="s">
        <v>2345</v>
      </c>
      <c r="B1637" t="s">
        <v>933</v>
      </c>
      <c r="C1637" t="s">
        <v>79</v>
      </c>
      <c r="D1637" t="s">
        <v>37</v>
      </c>
      <c r="E1637" s="1">
        <v>46173</v>
      </c>
      <c r="F1637" s="1">
        <v>46233</v>
      </c>
      <c r="G1637" t="s">
        <v>81</v>
      </c>
      <c r="H1637">
        <v>10935</v>
      </c>
      <c r="I1637" t="s">
        <v>39</v>
      </c>
      <c r="J1637" t="b">
        <v>0</v>
      </c>
      <c r="K1637">
        <v>60</v>
      </c>
      <c r="L1637">
        <v>7</v>
      </c>
      <c r="M1637">
        <v>2026</v>
      </c>
      <c r="N1637">
        <v>3</v>
      </c>
      <c r="O1637">
        <v>5</v>
      </c>
      <c r="P1637">
        <v>2026</v>
      </c>
      <c r="Q1637">
        <v>6</v>
      </c>
      <c r="R1637" t="s">
        <v>40</v>
      </c>
      <c r="S1637" t="s">
        <v>55</v>
      </c>
      <c r="T1637" t="s">
        <v>42</v>
      </c>
      <c r="U1637" t="s">
        <v>40</v>
      </c>
      <c r="V1637" t="s">
        <v>82</v>
      </c>
      <c r="W1637" t="s">
        <v>83</v>
      </c>
      <c r="X1637" t="s">
        <v>76</v>
      </c>
      <c r="Y1637">
        <v>100</v>
      </c>
      <c r="Z1637" t="s">
        <v>46</v>
      </c>
      <c r="AA1637" t="s">
        <v>47</v>
      </c>
      <c r="AB1637" s="1">
        <v>46233</v>
      </c>
      <c r="AC1637" t="s">
        <v>40</v>
      </c>
      <c r="AD1637" t="s">
        <v>40</v>
      </c>
      <c r="AE1637" t="s">
        <v>86</v>
      </c>
      <c r="AF1637" t="s">
        <v>40</v>
      </c>
      <c r="AG1637">
        <v>0</v>
      </c>
      <c r="AH1637" t="s">
        <v>61</v>
      </c>
    </row>
    <row r="1638" spans="1:34" x14ac:dyDescent="0.3">
      <c r="A1638" t="s">
        <v>2346</v>
      </c>
      <c r="B1638" t="s">
        <v>1122</v>
      </c>
      <c r="C1638" t="s">
        <v>97</v>
      </c>
      <c r="D1638" t="s">
        <v>104</v>
      </c>
      <c r="E1638" s="1">
        <v>45834</v>
      </c>
      <c r="F1638" s="1">
        <v>45835</v>
      </c>
      <c r="G1638" t="s">
        <v>81</v>
      </c>
      <c r="H1638">
        <v>11894</v>
      </c>
      <c r="I1638" t="s">
        <v>65</v>
      </c>
      <c r="J1638" t="b">
        <v>0</v>
      </c>
      <c r="K1638">
        <v>1</v>
      </c>
      <c r="L1638">
        <v>6</v>
      </c>
      <c r="M1638">
        <v>2025</v>
      </c>
      <c r="N1638">
        <v>4</v>
      </c>
      <c r="O1638">
        <v>6</v>
      </c>
      <c r="P1638">
        <v>2025</v>
      </c>
      <c r="Q1638">
        <v>3</v>
      </c>
      <c r="R1638" t="s">
        <v>40</v>
      </c>
      <c r="S1638" t="s">
        <v>41</v>
      </c>
      <c r="T1638" t="s">
        <v>139</v>
      </c>
      <c r="U1638" t="s">
        <v>40</v>
      </c>
      <c r="V1638" t="s">
        <v>98</v>
      </c>
      <c r="W1638" t="s">
        <v>99</v>
      </c>
      <c r="X1638" t="s">
        <v>76</v>
      </c>
      <c r="Y1638">
        <v>80</v>
      </c>
      <c r="Z1638" t="s">
        <v>107</v>
      </c>
      <c r="AA1638" t="s">
        <v>108</v>
      </c>
      <c r="AB1638" s="1">
        <v>45835</v>
      </c>
      <c r="AC1638" t="s">
        <v>40</v>
      </c>
      <c r="AD1638" t="s">
        <v>40</v>
      </c>
      <c r="AE1638" t="s">
        <v>60</v>
      </c>
      <c r="AF1638" t="s">
        <v>40</v>
      </c>
      <c r="AG1638">
        <v>0</v>
      </c>
      <c r="AH1638" t="s">
        <v>100</v>
      </c>
    </row>
    <row r="1639" spans="1:34" x14ac:dyDescent="0.3">
      <c r="A1639" t="s">
        <v>2347</v>
      </c>
      <c r="B1639" t="s">
        <v>309</v>
      </c>
      <c r="C1639" t="s">
        <v>89</v>
      </c>
      <c r="D1639" t="s">
        <v>53</v>
      </c>
      <c r="E1639" s="1">
        <v>45740</v>
      </c>
      <c r="F1639" s="1">
        <v>45800</v>
      </c>
      <c r="G1639" t="s">
        <v>41</v>
      </c>
      <c r="H1639">
        <v>5751</v>
      </c>
      <c r="I1639" t="s">
        <v>54</v>
      </c>
      <c r="J1639" t="b">
        <v>0</v>
      </c>
      <c r="K1639">
        <v>60</v>
      </c>
      <c r="L1639">
        <v>5</v>
      </c>
      <c r="M1639">
        <v>2025</v>
      </c>
      <c r="N1639">
        <v>4</v>
      </c>
      <c r="O1639">
        <v>3</v>
      </c>
      <c r="P1639">
        <v>2025</v>
      </c>
      <c r="Q1639">
        <v>0</v>
      </c>
      <c r="R1639" t="s">
        <v>40</v>
      </c>
      <c r="S1639" t="s">
        <v>55</v>
      </c>
      <c r="T1639" t="s">
        <v>42</v>
      </c>
      <c r="U1639" t="s">
        <v>66</v>
      </c>
      <c r="V1639" t="s">
        <v>91</v>
      </c>
      <c r="W1639" t="s">
        <v>92</v>
      </c>
      <c r="X1639" t="s">
        <v>76</v>
      </c>
      <c r="Y1639">
        <v>65</v>
      </c>
      <c r="Z1639" t="s">
        <v>58</v>
      </c>
      <c r="AA1639" t="s">
        <v>59</v>
      </c>
      <c r="AB1639" s="1">
        <v>45800</v>
      </c>
      <c r="AC1639" t="s">
        <v>40</v>
      </c>
      <c r="AD1639" t="s">
        <v>40</v>
      </c>
      <c r="AE1639" t="s">
        <v>69</v>
      </c>
      <c r="AF1639" t="s">
        <v>40</v>
      </c>
      <c r="AG1639">
        <v>1</v>
      </c>
      <c r="AH1639" t="s">
        <v>61</v>
      </c>
    </row>
    <row r="1640" spans="1:34" x14ac:dyDescent="0.3">
      <c r="A1640" t="s">
        <v>2348</v>
      </c>
      <c r="B1640" t="s">
        <v>692</v>
      </c>
      <c r="C1640" t="s">
        <v>146</v>
      </c>
      <c r="D1640" t="s">
        <v>90</v>
      </c>
      <c r="E1640" s="1">
        <v>46019</v>
      </c>
      <c r="F1640" s="1">
        <v>46079</v>
      </c>
      <c r="G1640" t="s">
        <v>41</v>
      </c>
      <c r="H1640">
        <v>5704</v>
      </c>
      <c r="I1640" t="s">
        <v>65</v>
      </c>
      <c r="J1640" t="b">
        <v>0</v>
      </c>
      <c r="K1640">
        <v>60</v>
      </c>
      <c r="L1640">
        <v>2</v>
      </c>
      <c r="M1640">
        <v>2026</v>
      </c>
      <c r="N1640">
        <v>3</v>
      </c>
      <c r="O1640">
        <v>12</v>
      </c>
      <c r="P1640">
        <v>2025</v>
      </c>
      <c r="Q1640">
        <v>6</v>
      </c>
      <c r="R1640" t="s">
        <v>40</v>
      </c>
      <c r="S1640" t="s">
        <v>55</v>
      </c>
      <c r="T1640" t="s">
        <v>113</v>
      </c>
      <c r="U1640" t="s">
        <v>40</v>
      </c>
      <c r="V1640" t="s">
        <v>147</v>
      </c>
      <c r="W1640" t="s">
        <v>148</v>
      </c>
      <c r="X1640" t="s">
        <v>45</v>
      </c>
      <c r="Y1640">
        <v>160</v>
      </c>
      <c r="Z1640" t="s">
        <v>93</v>
      </c>
      <c r="AA1640" t="s">
        <v>94</v>
      </c>
      <c r="AB1640" s="1">
        <v>46079</v>
      </c>
      <c r="AC1640" t="s">
        <v>40</v>
      </c>
      <c r="AD1640" t="s">
        <v>40</v>
      </c>
      <c r="AE1640" t="s">
        <v>60</v>
      </c>
      <c r="AF1640" t="s">
        <v>40</v>
      </c>
      <c r="AG1640">
        <v>0</v>
      </c>
      <c r="AH1640" t="s">
        <v>61</v>
      </c>
    </row>
    <row r="1641" spans="1:34" x14ac:dyDescent="0.3">
      <c r="A1641" t="s">
        <v>2349</v>
      </c>
      <c r="B1641" t="s">
        <v>456</v>
      </c>
      <c r="C1641" t="s">
        <v>129</v>
      </c>
      <c r="D1641" t="s">
        <v>130</v>
      </c>
      <c r="E1641" s="1">
        <v>45750</v>
      </c>
      <c r="F1641" s="1">
        <v>45850</v>
      </c>
      <c r="G1641" t="s">
        <v>38</v>
      </c>
      <c r="H1641">
        <v>4620</v>
      </c>
      <c r="I1641" t="s">
        <v>54</v>
      </c>
      <c r="J1641" t="b">
        <v>0</v>
      </c>
      <c r="K1641">
        <v>100</v>
      </c>
      <c r="L1641">
        <v>7</v>
      </c>
      <c r="M1641">
        <v>2025</v>
      </c>
      <c r="N1641">
        <v>5</v>
      </c>
      <c r="O1641">
        <v>4</v>
      </c>
      <c r="P1641">
        <v>2025</v>
      </c>
      <c r="Q1641">
        <v>3</v>
      </c>
      <c r="R1641" t="s">
        <v>66</v>
      </c>
      <c r="S1641" t="s">
        <v>55</v>
      </c>
      <c r="T1641" t="s">
        <v>123</v>
      </c>
      <c r="U1641" t="s">
        <v>40</v>
      </c>
      <c r="V1641" t="s">
        <v>131</v>
      </c>
      <c r="W1641" t="s">
        <v>132</v>
      </c>
      <c r="X1641" t="s">
        <v>45</v>
      </c>
      <c r="Y1641">
        <v>110</v>
      </c>
      <c r="Z1641" t="s">
        <v>133</v>
      </c>
      <c r="AA1641" t="s">
        <v>134</v>
      </c>
      <c r="AB1641" s="1">
        <v>45850</v>
      </c>
      <c r="AC1641" t="s">
        <v>66</v>
      </c>
      <c r="AD1641" t="s">
        <v>40</v>
      </c>
      <c r="AE1641" t="s">
        <v>86</v>
      </c>
      <c r="AF1641" t="s">
        <v>40</v>
      </c>
      <c r="AG1641">
        <v>1</v>
      </c>
      <c r="AH1641" t="s">
        <v>49</v>
      </c>
    </row>
    <row r="1642" spans="1:34" x14ac:dyDescent="0.3">
      <c r="A1642" t="s">
        <v>2350</v>
      </c>
      <c r="B1642" t="s">
        <v>1383</v>
      </c>
      <c r="C1642" t="s">
        <v>52</v>
      </c>
      <c r="D1642" t="s">
        <v>80</v>
      </c>
      <c r="E1642" s="1">
        <v>46328</v>
      </c>
      <c r="F1642" s="1">
        <v>46342</v>
      </c>
      <c r="G1642" t="s">
        <v>38</v>
      </c>
      <c r="H1642">
        <v>29892</v>
      </c>
      <c r="I1642" t="s">
        <v>39</v>
      </c>
      <c r="J1642" t="b">
        <v>1</v>
      </c>
      <c r="K1642">
        <v>14</v>
      </c>
      <c r="L1642">
        <v>11</v>
      </c>
      <c r="M1642">
        <v>2026</v>
      </c>
      <c r="N1642">
        <v>0</v>
      </c>
      <c r="O1642">
        <v>11</v>
      </c>
      <c r="P1642">
        <v>2026</v>
      </c>
      <c r="Q1642">
        <v>0</v>
      </c>
      <c r="R1642" t="s">
        <v>40</v>
      </c>
      <c r="S1642" t="s">
        <v>67</v>
      </c>
      <c r="T1642" t="s">
        <v>42</v>
      </c>
      <c r="U1642" t="s">
        <v>40</v>
      </c>
      <c r="V1642" t="s">
        <v>56</v>
      </c>
      <c r="W1642" t="s">
        <v>57</v>
      </c>
      <c r="X1642" t="s">
        <v>45</v>
      </c>
      <c r="Y1642">
        <v>120</v>
      </c>
      <c r="Z1642" t="s">
        <v>84</v>
      </c>
      <c r="AA1642" t="s">
        <v>85</v>
      </c>
      <c r="AB1642" s="1">
        <v>46342</v>
      </c>
      <c r="AC1642" t="s">
        <v>40</v>
      </c>
      <c r="AD1642" t="s">
        <v>40</v>
      </c>
      <c r="AE1642" t="s">
        <v>86</v>
      </c>
      <c r="AF1642" t="s">
        <v>40</v>
      </c>
      <c r="AG1642">
        <v>0</v>
      </c>
      <c r="AH1642" t="s">
        <v>70</v>
      </c>
    </row>
    <row r="1643" spans="1:34" x14ac:dyDescent="0.3">
      <c r="A1643" t="s">
        <v>2351</v>
      </c>
      <c r="B1643" t="s">
        <v>801</v>
      </c>
      <c r="C1643" t="s">
        <v>79</v>
      </c>
      <c r="D1643" t="s">
        <v>104</v>
      </c>
      <c r="E1643" s="1">
        <v>45856</v>
      </c>
      <c r="F1643" s="1">
        <v>45863</v>
      </c>
      <c r="G1643" t="s">
        <v>41</v>
      </c>
      <c r="H1643">
        <v>7937</v>
      </c>
      <c r="I1643" t="s">
        <v>54</v>
      </c>
      <c r="J1643" t="b">
        <v>0</v>
      </c>
      <c r="K1643">
        <v>7</v>
      </c>
      <c r="L1643">
        <v>7</v>
      </c>
      <c r="M1643">
        <v>2025</v>
      </c>
      <c r="N1643">
        <v>4</v>
      </c>
      <c r="O1643">
        <v>7</v>
      </c>
      <c r="P1643">
        <v>2025</v>
      </c>
      <c r="Q1643">
        <v>4</v>
      </c>
      <c r="R1643" t="s">
        <v>40</v>
      </c>
      <c r="S1643" t="s">
        <v>67</v>
      </c>
      <c r="T1643" t="s">
        <v>123</v>
      </c>
      <c r="U1643" t="s">
        <v>40</v>
      </c>
      <c r="V1643" t="s">
        <v>82</v>
      </c>
      <c r="W1643" t="s">
        <v>83</v>
      </c>
      <c r="X1643" t="s">
        <v>76</v>
      </c>
      <c r="Y1643">
        <v>100</v>
      </c>
      <c r="Z1643" t="s">
        <v>107</v>
      </c>
      <c r="AA1643" t="s">
        <v>108</v>
      </c>
      <c r="AB1643" s="1">
        <v>45863</v>
      </c>
      <c r="AC1643" t="s">
        <v>40</v>
      </c>
      <c r="AD1643" t="s">
        <v>40</v>
      </c>
      <c r="AE1643" t="s">
        <v>86</v>
      </c>
      <c r="AF1643" t="s">
        <v>40</v>
      </c>
      <c r="AG1643">
        <v>1</v>
      </c>
      <c r="AH1643" t="s">
        <v>100</v>
      </c>
    </row>
    <row r="1644" spans="1:34" x14ac:dyDescent="0.3">
      <c r="A1644" t="s">
        <v>2352</v>
      </c>
      <c r="B1644" t="s">
        <v>1788</v>
      </c>
      <c r="C1644" t="s">
        <v>155</v>
      </c>
      <c r="D1644" t="s">
        <v>90</v>
      </c>
      <c r="E1644" s="1">
        <v>45909</v>
      </c>
      <c r="F1644" s="1">
        <v>45923</v>
      </c>
      <c r="G1644" t="s">
        <v>38</v>
      </c>
      <c r="H1644">
        <v>4227</v>
      </c>
      <c r="I1644" t="s">
        <v>39</v>
      </c>
      <c r="J1644" t="b">
        <v>0</v>
      </c>
      <c r="K1644">
        <v>14</v>
      </c>
      <c r="L1644">
        <v>9</v>
      </c>
      <c r="M1644">
        <v>2025</v>
      </c>
      <c r="N1644">
        <v>1</v>
      </c>
      <c r="O1644">
        <v>9</v>
      </c>
      <c r="P1644">
        <v>2025</v>
      </c>
      <c r="Q1644">
        <v>1</v>
      </c>
      <c r="R1644" t="s">
        <v>40</v>
      </c>
      <c r="S1644" t="s">
        <v>55</v>
      </c>
      <c r="T1644" t="s">
        <v>68</v>
      </c>
      <c r="U1644" t="s">
        <v>40</v>
      </c>
      <c r="V1644" t="s">
        <v>156</v>
      </c>
      <c r="W1644" t="s">
        <v>157</v>
      </c>
      <c r="X1644" t="s">
        <v>158</v>
      </c>
      <c r="Y1644">
        <v>70</v>
      </c>
      <c r="Z1644" t="s">
        <v>93</v>
      </c>
      <c r="AA1644" t="s">
        <v>94</v>
      </c>
      <c r="AB1644" s="1">
        <v>45923</v>
      </c>
      <c r="AC1644" t="s">
        <v>40</v>
      </c>
      <c r="AD1644" t="s">
        <v>40</v>
      </c>
      <c r="AE1644" t="s">
        <v>60</v>
      </c>
      <c r="AF1644" t="s">
        <v>40</v>
      </c>
      <c r="AG1644">
        <v>0</v>
      </c>
      <c r="AH1644" t="s">
        <v>70</v>
      </c>
    </row>
    <row r="1645" spans="1:34" x14ac:dyDescent="0.3">
      <c r="A1645" t="s">
        <v>2353</v>
      </c>
      <c r="B1645" t="s">
        <v>292</v>
      </c>
      <c r="C1645" t="s">
        <v>73</v>
      </c>
      <c r="D1645" t="s">
        <v>104</v>
      </c>
      <c r="E1645" s="1">
        <v>45663</v>
      </c>
      <c r="F1645" s="1">
        <v>45723</v>
      </c>
      <c r="G1645" t="s">
        <v>41</v>
      </c>
      <c r="H1645">
        <v>6889</v>
      </c>
      <c r="I1645" t="s">
        <v>54</v>
      </c>
      <c r="J1645" t="b">
        <v>0</v>
      </c>
      <c r="K1645">
        <v>60</v>
      </c>
      <c r="L1645">
        <v>3</v>
      </c>
      <c r="M1645">
        <v>2025</v>
      </c>
      <c r="N1645">
        <v>4</v>
      </c>
      <c r="O1645">
        <v>1</v>
      </c>
      <c r="P1645">
        <v>2025</v>
      </c>
      <c r="Q1645">
        <v>0</v>
      </c>
      <c r="R1645" t="s">
        <v>40</v>
      </c>
      <c r="S1645" t="s">
        <v>67</v>
      </c>
      <c r="T1645" t="s">
        <v>42</v>
      </c>
      <c r="U1645" t="s">
        <v>40</v>
      </c>
      <c r="V1645" t="s">
        <v>74</v>
      </c>
      <c r="W1645" t="s">
        <v>75</v>
      </c>
      <c r="X1645" t="s">
        <v>76</v>
      </c>
      <c r="Y1645">
        <v>75</v>
      </c>
      <c r="Z1645" t="s">
        <v>107</v>
      </c>
      <c r="AA1645" t="s">
        <v>108</v>
      </c>
      <c r="AB1645" s="1">
        <v>45723</v>
      </c>
      <c r="AC1645" t="s">
        <v>40</v>
      </c>
      <c r="AD1645" t="s">
        <v>40</v>
      </c>
      <c r="AE1645" t="s">
        <v>60</v>
      </c>
      <c r="AF1645" t="s">
        <v>40</v>
      </c>
      <c r="AG1645">
        <v>1</v>
      </c>
      <c r="AH1645" t="s">
        <v>61</v>
      </c>
    </row>
    <row r="1646" spans="1:34" x14ac:dyDescent="0.3">
      <c r="A1646" t="s">
        <v>2354</v>
      </c>
      <c r="B1646" t="s">
        <v>1058</v>
      </c>
      <c r="C1646" t="s">
        <v>169</v>
      </c>
      <c r="D1646" t="s">
        <v>104</v>
      </c>
      <c r="E1646" s="1">
        <v>45771</v>
      </c>
      <c r="F1646" s="1">
        <v>45921</v>
      </c>
      <c r="G1646" t="s">
        <v>41</v>
      </c>
      <c r="H1646">
        <v>6601</v>
      </c>
      <c r="I1646" t="s">
        <v>65</v>
      </c>
      <c r="J1646" t="b">
        <v>0</v>
      </c>
      <c r="K1646">
        <v>150</v>
      </c>
      <c r="L1646">
        <v>9</v>
      </c>
      <c r="M1646">
        <v>2025</v>
      </c>
      <c r="N1646">
        <v>6</v>
      </c>
      <c r="O1646">
        <v>4</v>
      </c>
      <c r="P1646">
        <v>2025</v>
      </c>
      <c r="Q1646">
        <v>3</v>
      </c>
      <c r="R1646" t="s">
        <v>66</v>
      </c>
      <c r="S1646" t="s">
        <v>41</v>
      </c>
      <c r="T1646" t="s">
        <v>42</v>
      </c>
      <c r="U1646" t="s">
        <v>40</v>
      </c>
      <c r="V1646" t="s">
        <v>170</v>
      </c>
      <c r="W1646" t="s">
        <v>171</v>
      </c>
      <c r="X1646" t="s">
        <v>126</v>
      </c>
      <c r="Y1646">
        <v>90</v>
      </c>
      <c r="Z1646" t="s">
        <v>107</v>
      </c>
      <c r="AA1646" t="s">
        <v>108</v>
      </c>
      <c r="AB1646" s="1">
        <v>45921</v>
      </c>
      <c r="AC1646" t="s">
        <v>66</v>
      </c>
      <c r="AD1646" t="s">
        <v>40</v>
      </c>
      <c r="AE1646" t="s">
        <v>60</v>
      </c>
      <c r="AF1646" t="s">
        <v>40</v>
      </c>
      <c r="AG1646">
        <v>0</v>
      </c>
      <c r="AH1646" t="s">
        <v>49</v>
      </c>
    </row>
    <row r="1647" spans="1:34" x14ac:dyDescent="0.3">
      <c r="A1647" t="s">
        <v>2355</v>
      </c>
      <c r="B1647" t="s">
        <v>1677</v>
      </c>
      <c r="C1647" t="s">
        <v>52</v>
      </c>
      <c r="D1647" t="s">
        <v>130</v>
      </c>
      <c r="E1647" s="1">
        <v>46244</v>
      </c>
      <c r="F1647" s="1">
        <v>46258</v>
      </c>
      <c r="G1647" t="s">
        <v>41</v>
      </c>
      <c r="H1647">
        <v>5369</v>
      </c>
      <c r="I1647" t="s">
        <v>39</v>
      </c>
      <c r="J1647" t="b">
        <v>0</v>
      </c>
      <c r="K1647">
        <v>14</v>
      </c>
      <c r="L1647">
        <v>8</v>
      </c>
      <c r="M1647">
        <v>2026</v>
      </c>
      <c r="N1647">
        <v>0</v>
      </c>
      <c r="O1647">
        <v>8</v>
      </c>
      <c r="P1647">
        <v>2026</v>
      </c>
      <c r="Q1647">
        <v>0</v>
      </c>
      <c r="R1647" t="s">
        <v>40</v>
      </c>
      <c r="S1647" t="s">
        <v>45</v>
      </c>
      <c r="T1647" t="s">
        <v>42</v>
      </c>
      <c r="U1647" t="s">
        <v>40</v>
      </c>
      <c r="V1647" t="s">
        <v>56</v>
      </c>
      <c r="W1647" t="s">
        <v>57</v>
      </c>
      <c r="X1647" t="s">
        <v>45</v>
      </c>
      <c r="Y1647">
        <v>120</v>
      </c>
      <c r="Z1647" t="s">
        <v>133</v>
      </c>
      <c r="AA1647" t="s">
        <v>134</v>
      </c>
      <c r="AB1647" s="1">
        <v>46258</v>
      </c>
      <c r="AC1647" t="s">
        <v>40</v>
      </c>
      <c r="AD1647" t="s">
        <v>40</v>
      </c>
      <c r="AE1647" t="s">
        <v>86</v>
      </c>
      <c r="AF1647" t="s">
        <v>40</v>
      </c>
      <c r="AG1647">
        <v>0</v>
      </c>
      <c r="AH1647" t="s">
        <v>70</v>
      </c>
    </row>
    <row r="1648" spans="1:34" x14ac:dyDescent="0.3">
      <c r="A1648" t="s">
        <v>2356</v>
      </c>
      <c r="B1648" t="s">
        <v>2116</v>
      </c>
      <c r="C1648" t="s">
        <v>129</v>
      </c>
      <c r="D1648" t="s">
        <v>130</v>
      </c>
      <c r="E1648" s="1">
        <v>45868</v>
      </c>
      <c r="F1648" s="1">
        <v>46088</v>
      </c>
      <c r="G1648" t="s">
        <v>38</v>
      </c>
      <c r="H1648">
        <v>3550</v>
      </c>
      <c r="I1648" t="s">
        <v>54</v>
      </c>
      <c r="J1648" t="b">
        <v>0</v>
      </c>
      <c r="K1648">
        <v>220</v>
      </c>
      <c r="L1648">
        <v>3</v>
      </c>
      <c r="M1648">
        <v>2026</v>
      </c>
      <c r="N1648">
        <v>5</v>
      </c>
      <c r="O1648">
        <v>7</v>
      </c>
      <c r="P1648">
        <v>2025</v>
      </c>
      <c r="Q1648">
        <v>2</v>
      </c>
      <c r="R1648" t="s">
        <v>66</v>
      </c>
      <c r="S1648" t="s">
        <v>55</v>
      </c>
      <c r="T1648" t="s">
        <v>42</v>
      </c>
      <c r="U1648" t="s">
        <v>40</v>
      </c>
      <c r="V1648" t="s">
        <v>131</v>
      </c>
      <c r="W1648" t="s">
        <v>132</v>
      </c>
      <c r="X1648" t="s">
        <v>45</v>
      </c>
      <c r="Y1648">
        <v>110</v>
      </c>
      <c r="Z1648" t="s">
        <v>133</v>
      </c>
      <c r="AA1648" t="s">
        <v>134</v>
      </c>
      <c r="AB1648" s="1">
        <v>46088</v>
      </c>
      <c r="AC1648" t="s">
        <v>66</v>
      </c>
      <c r="AD1648" t="s">
        <v>40</v>
      </c>
      <c r="AE1648" t="s">
        <v>60</v>
      </c>
      <c r="AF1648" t="s">
        <v>40</v>
      </c>
      <c r="AG1648">
        <v>1</v>
      </c>
      <c r="AH1648" t="s">
        <v>142</v>
      </c>
    </row>
    <row r="1649" spans="1:34" x14ac:dyDescent="0.3">
      <c r="A1649" t="s">
        <v>2357</v>
      </c>
      <c r="B1649" t="s">
        <v>833</v>
      </c>
      <c r="C1649" t="s">
        <v>103</v>
      </c>
      <c r="D1649" t="s">
        <v>53</v>
      </c>
      <c r="E1649" s="1">
        <v>45798</v>
      </c>
      <c r="F1649" s="1">
        <v>45948</v>
      </c>
      <c r="G1649" t="s">
        <v>64</v>
      </c>
      <c r="H1649">
        <v>2914</v>
      </c>
      <c r="I1649" t="s">
        <v>54</v>
      </c>
      <c r="J1649" t="b">
        <v>0</v>
      </c>
      <c r="K1649">
        <v>150</v>
      </c>
      <c r="L1649">
        <v>10</v>
      </c>
      <c r="M1649">
        <v>2025</v>
      </c>
      <c r="N1649">
        <v>5</v>
      </c>
      <c r="O1649">
        <v>5</v>
      </c>
      <c r="P1649">
        <v>2025</v>
      </c>
      <c r="Q1649">
        <v>2</v>
      </c>
      <c r="R1649" t="s">
        <v>66</v>
      </c>
      <c r="S1649" t="s">
        <v>67</v>
      </c>
      <c r="T1649" t="s">
        <v>286</v>
      </c>
      <c r="U1649" t="s">
        <v>66</v>
      </c>
      <c r="V1649" t="s">
        <v>105</v>
      </c>
      <c r="W1649" t="s">
        <v>106</v>
      </c>
      <c r="X1649" t="s">
        <v>45</v>
      </c>
      <c r="Y1649">
        <v>140</v>
      </c>
      <c r="Z1649" t="s">
        <v>58</v>
      </c>
      <c r="AA1649" t="s">
        <v>59</v>
      </c>
      <c r="AB1649" s="1">
        <v>45948</v>
      </c>
      <c r="AC1649" t="s">
        <v>66</v>
      </c>
      <c r="AD1649" t="s">
        <v>40</v>
      </c>
      <c r="AE1649" t="s">
        <v>60</v>
      </c>
      <c r="AF1649" t="s">
        <v>40</v>
      </c>
      <c r="AG1649">
        <v>1</v>
      </c>
      <c r="AH1649" t="s">
        <v>49</v>
      </c>
    </row>
    <row r="1650" spans="1:34" x14ac:dyDescent="0.3">
      <c r="A1650" t="s">
        <v>2358</v>
      </c>
      <c r="B1650" t="s">
        <v>839</v>
      </c>
      <c r="C1650" t="s">
        <v>122</v>
      </c>
      <c r="D1650" t="s">
        <v>104</v>
      </c>
      <c r="E1650" s="1">
        <v>46332</v>
      </c>
      <c r="F1650" s="1">
        <v>46432</v>
      </c>
      <c r="G1650" t="s">
        <v>81</v>
      </c>
      <c r="H1650">
        <v>6759</v>
      </c>
      <c r="I1650" t="s">
        <v>54</v>
      </c>
      <c r="J1650" t="b">
        <v>0</v>
      </c>
      <c r="K1650">
        <v>100</v>
      </c>
      <c r="L1650">
        <v>2</v>
      </c>
      <c r="M1650">
        <v>2027</v>
      </c>
      <c r="N1650">
        <v>6</v>
      </c>
      <c r="O1650">
        <v>11</v>
      </c>
      <c r="P1650">
        <v>2026</v>
      </c>
      <c r="Q1650">
        <v>4</v>
      </c>
      <c r="R1650" t="s">
        <v>66</v>
      </c>
      <c r="S1650" t="s">
        <v>67</v>
      </c>
      <c r="T1650" t="s">
        <v>42</v>
      </c>
      <c r="U1650" t="s">
        <v>40</v>
      </c>
      <c r="V1650" t="s">
        <v>124</v>
      </c>
      <c r="W1650" t="s">
        <v>125</v>
      </c>
      <c r="X1650" t="s">
        <v>126</v>
      </c>
      <c r="Y1650">
        <v>85</v>
      </c>
      <c r="Z1650" t="s">
        <v>107</v>
      </c>
      <c r="AA1650" t="s">
        <v>108</v>
      </c>
      <c r="AB1650" s="1"/>
      <c r="AC1650" t="s">
        <v>48</v>
      </c>
      <c r="AD1650" t="s">
        <v>48</v>
      </c>
      <c r="AE1650" t="s">
        <v>48</v>
      </c>
      <c r="AF1650" t="s">
        <v>48</v>
      </c>
      <c r="AG1650">
        <v>1</v>
      </c>
      <c r="AH1650" t="s">
        <v>49</v>
      </c>
    </row>
    <row r="1651" spans="1:34" x14ac:dyDescent="0.3">
      <c r="A1651" t="s">
        <v>2359</v>
      </c>
      <c r="B1651" t="s">
        <v>673</v>
      </c>
      <c r="C1651" t="s">
        <v>155</v>
      </c>
      <c r="D1651" t="s">
        <v>53</v>
      </c>
      <c r="E1651" s="1">
        <v>45842</v>
      </c>
      <c r="F1651" s="1">
        <v>45872</v>
      </c>
      <c r="G1651" t="s">
        <v>64</v>
      </c>
      <c r="H1651">
        <v>4002</v>
      </c>
      <c r="I1651" t="s">
        <v>39</v>
      </c>
      <c r="J1651" t="b">
        <v>0</v>
      </c>
      <c r="K1651">
        <v>30</v>
      </c>
      <c r="L1651">
        <v>8</v>
      </c>
      <c r="M1651">
        <v>2025</v>
      </c>
      <c r="N1651">
        <v>6</v>
      </c>
      <c r="O1651">
        <v>7</v>
      </c>
      <c r="P1651">
        <v>2025</v>
      </c>
      <c r="Q1651">
        <v>4</v>
      </c>
      <c r="R1651" t="s">
        <v>66</v>
      </c>
      <c r="S1651" t="s">
        <v>55</v>
      </c>
      <c r="T1651" t="s">
        <v>42</v>
      </c>
      <c r="U1651" t="s">
        <v>40</v>
      </c>
      <c r="V1651" t="s">
        <v>156</v>
      </c>
      <c r="W1651" t="s">
        <v>157</v>
      </c>
      <c r="X1651" t="s">
        <v>158</v>
      </c>
      <c r="Y1651">
        <v>70</v>
      </c>
      <c r="Z1651" t="s">
        <v>58</v>
      </c>
      <c r="AA1651" t="s">
        <v>59</v>
      </c>
      <c r="AB1651" s="1">
        <v>45872</v>
      </c>
      <c r="AC1651" t="s">
        <v>66</v>
      </c>
      <c r="AD1651" t="s">
        <v>40</v>
      </c>
      <c r="AE1651" t="s">
        <v>86</v>
      </c>
      <c r="AF1651" t="s">
        <v>40</v>
      </c>
      <c r="AG1651">
        <v>0</v>
      </c>
      <c r="AH1651" t="s">
        <v>70</v>
      </c>
    </row>
    <row r="1652" spans="1:34" x14ac:dyDescent="0.3">
      <c r="A1652" t="s">
        <v>2360</v>
      </c>
      <c r="B1652" t="s">
        <v>998</v>
      </c>
      <c r="C1652" t="s">
        <v>52</v>
      </c>
      <c r="D1652" t="s">
        <v>130</v>
      </c>
      <c r="E1652" s="1">
        <v>46164</v>
      </c>
      <c r="F1652" s="1">
        <v>46194</v>
      </c>
      <c r="G1652" t="s">
        <v>38</v>
      </c>
      <c r="H1652">
        <v>4248</v>
      </c>
      <c r="I1652" t="s">
        <v>39</v>
      </c>
      <c r="J1652" t="b">
        <v>0</v>
      </c>
      <c r="K1652">
        <v>30</v>
      </c>
      <c r="L1652">
        <v>6</v>
      </c>
      <c r="M1652">
        <v>2026</v>
      </c>
      <c r="N1652">
        <v>6</v>
      </c>
      <c r="O1652">
        <v>5</v>
      </c>
      <c r="P1652">
        <v>2026</v>
      </c>
      <c r="Q1652">
        <v>4</v>
      </c>
      <c r="R1652" t="s">
        <v>66</v>
      </c>
      <c r="S1652" t="s">
        <v>41</v>
      </c>
      <c r="T1652" t="s">
        <v>123</v>
      </c>
      <c r="U1652" t="s">
        <v>66</v>
      </c>
      <c r="V1652" t="s">
        <v>56</v>
      </c>
      <c r="W1652" t="s">
        <v>57</v>
      </c>
      <c r="X1652" t="s">
        <v>45</v>
      </c>
      <c r="Y1652">
        <v>120</v>
      </c>
      <c r="Z1652" t="s">
        <v>133</v>
      </c>
      <c r="AA1652" t="s">
        <v>134</v>
      </c>
      <c r="AB1652" s="1">
        <v>46194</v>
      </c>
      <c r="AC1652" t="s">
        <v>66</v>
      </c>
      <c r="AD1652" t="s">
        <v>40</v>
      </c>
      <c r="AE1652" t="s">
        <v>60</v>
      </c>
      <c r="AF1652" t="s">
        <v>40</v>
      </c>
      <c r="AG1652">
        <v>0</v>
      </c>
      <c r="AH1652" t="s">
        <v>70</v>
      </c>
    </row>
    <row r="1653" spans="1:34" x14ac:dyDescent="0.3">
      <c r="A1653" t="s">
        <v>2361</v>
      </c>
      <c r="B1653" t="s">
        <v>1274</v>
      </c>
      <c r="C1653" t="s">
        <v>169</v>
      </c>
      <c r="D1653" t="s">
        <v>130</v>
      </c>
      <c r="E1653" s="1">
        <v>46166</v>
      </c>
      <c r="F1653" s="1">
        <v>46169</v>
      </c>
      <c r="G1653" t="s">
        <v>81</v>
      </c>
      <c r="H1653">
        <v>8108</v>
      </c>
      <c r="I1653" t="s">
        <v>39</v>
      </c>
      <c r="J1653" t="b">
        <v>0</v>
      </c>
      <c r="K1653">
        <v>3</v>
      </c>
      <c r="L1653">
        <v>5</v>
      </c>
      <c r="M1653">
        <v>2026</v>
      </c>
      <c r="N1653">
        <v>2</v>
      </c>
      <c r="O1653">
        <v>5</v>
      </c>
      <c r="P1653">
        <v>2026</v>
      </c>
      <c r="Q1653">
        <v>6</v>
      </c>
      <c r="R1653" t="s">
        <v>40</v>
      </c>
      <c r="S1653" t="s">
        <v>41</v>
      </c>
      <c r="T1653" t="s">
        <v>123</v>
      </c>
      <c r="U1653" t="s">
        <v>40</v>
      </c>
      <c r="V1653" t="s">
        <v>170</v>
      </c>
      <c r="W1653" t="s">
        <v>171</v>
      </c>
      <c r="X1653" t="s">
        <v>126</v>
      </c>
      <c r="Y1653">
        <v>90</v>
      </c>
      <c r="Z1653" t="s">
        <v>133</v>
      </c>
      <c r="AA1653" t="s">
        <v>134</v>
      </c>
      <c r="AB1653" s="1">
        <v>46169</v>
      </c>
      <c r="AC1653" t="s">
        <v>40</v>
      </c>
      <c r="AD1653" t="s">
        <v>40</v>
      </c>
      <c r="AE1653" t="s">
        <v>69</v>
      </c>
      <c r="AF1653" t="s">
        <v>40</v>
      </c>
      <c r="AG1653">
        <v>0</v>
      </c>
      <c r="AH1653" t="s">
        <v>100</v>
      </c>
    </row>
    <row r="1654" spans="1:34" x14ac:dyDescent="0.3">
      <c r="A1654" t="s">
        <v>2362</v>
      </c>
      <c r="B1654" t="s">
        <v>1383</v>
      </c>
      <c r="C1654" t="s">
        <v>97</v>
      </c>
      <c r="D1654" t="s">
        <v>53</v>
      </c>
      <c r="E1654" s="1">
        <v>45958</v>
      </c>
      <c r="F1654" s="1">
        <v>46018</v>
      </c>
      <c r="G1654" t="s">
        <v>81</v>
      </c>
      <c r="H1654">
        <v>9924</v>
      </c>
      <c r="I1654" t="s">
        <v>54</v>
      </c>
      <c r="J1654" t="b">
        <v>0</v>
      </c>
      <c r="K1654">
        <v>60</v>
      </c>
      <c r="L1654">
        <v>12</v>
      </c>
      <c r="M1654">
        <v>2025</v>
      </c>
      <c r="N1654">
        <v>5</v>
      </c>
      <c r="O1654">
        <v>10</v>
      </c>
      <c r="P1654">
        <v>2025</v>
      </c>
      <c r="Q1654">
        <v>1</v>
      </c>
      <c r="R1654" t="s">
        <v>66</v>
      </c>
      <c r="S1654" t="s">
        <v>67</v>
      </c>
      <c r="T1654" t="s">
        <v>42</v>
      </c>
      <c r="U1654" t="s">
        <v>40</v>
      </c>
      <c r="V1654" t="s">
        <v>98</v>
      </c>
      <c r="W1654" t="s">
        <v>99</v>
      </c>
      <c r="X1654" t="s">
        <v>76</v>
      </c>
      <c r="Y1654">
        <v>80</v>
      </c>
      <c r="Z1654" t="s">
        <v>58</v>
      </c>
      <c r="AA1654" t="s">
        <v>59</v>
      </c>
      <c r="AB1654" s="1">
        <v>46018</v>
      </c>
      <c r="AC1654" t="s">
        <v>66</v>
      </c>
      <c r="AD1654" t="s">
        <v>40</v>
      </c>
      <c r="AE1654" t="s">
        <v>69</v>
      </c>
      <c r="AF1654" t="s">
        <v>40</v>
      </c>
      <c r="AG1654">
        <v>1</v>
      </c>
      <c r="AH1654" t="s">
        <v>61</v>
      </c>
    </row>
    <row r="1655" spans="1:34" x14ac:dyDescent="0.3">
      <c r="A1655" t="s">
        <v>2363</v>
      </c>
      <c r="B1655" t="s">
        <v>831</v>
      </c>
      <c r="C1655" t="s">
        <v>97</v>
      </c>
      <c r="D1655" t="s">
        <v>90</v>
      </c>
      <c r="E1655" s="1">
        <v>46186</v>
      </c>
      <c r="F1655" s="1">
        <v>46200</v>
      </c>
      <c r="G1655" t="s">
        <v>81</v>
      </c>
      <c r="H1655">
        <v>6526</v>
      </c>
      <c r="I1655" t="s">
        <v>39</v>
      </c>
      <c r="J1655" t="b">
        <v>0</v>
      </c>
      <c r="K1655">
        <v>14</v>
      </c>
      <c r="L1655">
        <v>6</v>
      </c>
      <c r="M1655">
        <v>2026</v>
      </c>
      <c r="N1655">
        <v>5</v>
      </c>
      <c r="O1655">
        <v>6</v>
      </c>
      <c r="P1655">
        <v>2026</v>
      </c>
      <c r="Q1655">
        <v>5</v>
      </c>
      <c r="R1655" t="s">
        <v>66</v>
      </c>
      <c r="S1655" t="s">
        <v>41</v>
      </c>
      <c r="T1655" t="s">
        <v>48</v>
      </c>
      <c r="U1655" t="s">
        <v>40</v>
      </c>
      <c r="V1655" t="s">
        <v>98</v>
      </c>
      <c r="W1655" t="s">
        <v>99</v>
      </c>
      <c r="X1655" t="s">
        <v>76</v>
      </c>
      <c r="Y1655">
        <v>80</v>
      </c>
      <c r="Z1655" t="s">
        <v>93</v>
      </c>
      <c r="AA1655" t="s">
        <v>94</v>
      </c>
      <c r="AB1655" s="1">
        <v>46200</v>
      </c>
      <c r="AC1655" t="s">
        <v>66</v>
      </c>
      <c r="AD1655" t="s">
        <v>40</v>
      </c>
      <c r="AE1655" t="s">
        <v>60</v>
      </c>
      <c r="AF1655" t="s">
        <v>40</v>
      </c>
      <c r="AG1655">
        <v>0</v>
      </c>
      <c r="AH1655" t="s">
        <v>70</v>
      </c>
    </row>
    <row r="1656" spans="1:34" x14ac:dyDescent="0.3">
      <c r="A1656" t="s">
        <v>2364</v>
      </c>
      <c r="B1656" t="s">
        <v>411</v>
      </c>
      <c r="C1656" t="s">
        <v>122</v>
      </c>
      <c r="D1656" t="s">
        <v>37</v>
      </c>
      <c r="E1656" s="1">
        <v>45932</v>
      </c>
      <c r="F1656" s="1">
        <v>45935</v>
      </c>
      <c r="G1656" t="s">
        <v>41</v>
      </c>
      <c r="H1656">
        <v>7471</v>
      </c>
      <c r="I1656" t="s">
        <v>39</v>
      </c>
      <c r="J1656" t="b">
        <v>0</v>
      </c>
      <c r="K1656">
        <v>3</v>
      </c>
      <c r="L1656">
        <v>10</v>
      </c>
      <c r="M1656">
        <v>2025</v>
      </c>
      <c r="N1656">
        <v>6</v>
      </c>
      <c r="O1656">
        <v>10</v>
      </c>
      <c r="P1656">
        <v>2025</v>
      </c>
      <c r="Q1656">
        <v>3</v>
      </c>
      <c r="R1656" t="s">
        <v>66</v>
      </c>
      <c r="S1656" t="s">
        <v>41</v>
      </c>
      <c r="T1656" t="s">
        <v>42</v>
      </c>
      <c r="U1656" t="s">
        <v>40</v>
      </c>
      <c r="V1656" t="s">
        <v>124</v>
      </c>
      <c r="W1656" t="s">
        <v>125</v>
      </c>
      <c r="X1656" t="s">
        <v>126</v>
      </c>
      <c r="Y1656">
        <v>85</v>
      </c>
      <c r="Z1656" t="s">
        <v>46</v>
      </c>
      <c r="AA1656" t="s">
        <v>47</v>
      </c>
      <c r="AB1656" s="1">
        <v>45935</v>
      </c>
      <c r="AC1656" t="s">
        <v>66</v>
      </c>
      <c r="AD1656" t="s">
        <v>40</v>
      </c>
      <c r="AE1656" t="s">
        <v>60</v>
      </c>
      <c r="AF1656" t="s">
        <v>40</v>
      </c>
      <c r="AG1656">
        <v>0</v>
      </c>
      <c r="AH1656" t="s">
        <v>100</v>
      </c>
    </row>
    <row r="1657" spans="1:34" x14ac:dyDescent="0.3">
      <c r="A1657" t="s">
        <v>2365</v>
      </c>
      <c r="B1657" t="s">
        <v>2366</v>
      </c>
      <c r="C1657" t="s">
        <v>122</v>
      </c>
      <c r="D1657" t="s">
        <v>80</v>
      </c>
      <c r="E1657" s="1">
        <v>45737</v>
      </c>
      <c r="F1657" s="1">
        <v>45744</v>
      </c>
      <c r="G1657" t="s">
        <v>41</v>
      </c>
      <c r="H1657">
        <v>7601</v>
      </c>
      <c r="I1657" t="s">
        <v>54</v>
      </c>
      <c r="J1657" t="b">
        <v>0</v>
      </c>
      <c r="K1657">
        <v>7</v>
      </c>
      <c r="L1657">
        <v>3</v>
      </c>
      <c r="M1657">
        <v>2025</v>
      </c>
      <c r="N1657">
        <v>4</v>
      </c>
      <c r="O1657">
        <v>3</v>
      </c>
      <c r="P1657">
        <v>2025</v>
      </c>
      <c r="Q1657">
        <v>4</v>
      </c>
      <c r="R1657" t="s">
        <v>40</v>
      </c>
      <c r="S1657" t="s">
        <v>45</v>
      </c>
      <c r="T1657" t="s">
        <v>113</v>
      </c>
      <c r="U1657" t="s">
        <v>40</v>
      </c>
      <c r="V1657" t="s">
        <v>124</v>
      </c>
      <c r="W1657" t="s">
        <v>125</v>
      </c>
      <c r="X1657" t="s">
        <v>126</v>
      </c>
      <c r="Y1657">
        <v>85</v>
      </c>
      <c r="Z1657" t="s">
        <v>84</v>
      </c>
      <c r="AA1657" t="s">
        <v>85</v>
      </c>
      <c r="AB1657" s="1">
        <v>45744</v>
      </c>
      <c r="AC1657" t="s">
        <v>40</v>
      </c>
      <c r="AD1657" t="s">
        <v>40</v>
      </c>
      <c r="AE1657" t="s">
        <v>60</v>
      </c>
      <c r="AF1657" t="s">
        <v>40</v>
      </c>
      <c r="AG1657">
        <v>1</v>
      </c>
      <c r="AH1657" t="s">
        <v>100</v>
      </c>
    </row>
    <row r="1658" spans="1:34" x14ac:dyDescent="0.3">
      <c r="A1658" t="s">
        <v>2367</v>
      </c>
      <c r="B1658" t="s">
        <v>548</v>
      </c>
      <c r="C1658" t="s">
        <v>122</v>
      </c>
      <c r="D1658" t="s">
        <v>80</v>
      </c>
      <c r="E1658" s="1">
        <v>46193</v>
      </c>
      <c r="F1658" s="1">
        <v>46200</v>
      </c>
      <c r="G1658" t="s">
        <v>38</v>
      </c>
      <c r="H1658">
        <v>5122</v>
      </c>
      <c r="I1658" t="s">
        <v>65</v>
      </c>
      <c r="J1658" t="b">
        <v>0</v>
      </c>
      <c r="K1658">
        <v>7</v>
      </c>
      <c r="L1658">
        <v>6</v>
      </c>
      <c r="M1658">
        <v>2026</v>
      </c>
      <c r="N1658">
        <v>5</v>
      </c>
      <c r="O1658">
        <v>6</v>
      </c>
      <c r="P1658">
        <v>2026</v>
      </c>
      <c r="Q1658">
        <v>5</v>
      </c>
      <c r="R1658" t="s">
        <v>66</v>
      </c>
      <c r="S1658" t="s">
        <v>55</v>
      </c>
      <c r="T1658" t="s">
        <v>42</v>
      </c>
      <c r="U1658" t="s">
        <v>66</v>
      </c>
      <c r="V1658" t="s">
        <v>124</v>
      </c>
      <c r="W1658" t="s">
        <v>125</v>
      </c>
      <c r="X1658" t="s">
        <v>126</v>
      </c>
      <c r="Y1658">
        <v>85</v>
      </c>
      <c r="Z1658" t="s">
        <v>84</v>
      </c>
      <c r="AA1658" t="s">
        <v>85</v>
      </c>
      <c r="AB1658" s="1">
        <v>46200</v>
      </c>
      <c r="AC1658" t="s">
        <v>66</v>
      </c>
      <c r="AD1658" t="s">
        <v>40</v>
      </c>
      <c r="AE1658" t="s">
        <v>60</v>
      </c>
      <c r="AF1658" t="s">
        <v>40</v>
      </c>
      <c r="AG1658">
        <v>0</v>
      </c>
      <c r="AH1658" t="s">
        <v>100</v>
      </c>
    </row>
    <row r="1659" spans="1:34" x14ac:dyDescent="0.3">
      <c r="A1659" t="s">
        <v>2368</v>
      </c>
      <c r="B1659" t="s">
        <v>764</v>
      </c>
      <c r="C1659" t="s">
        <v>103</v>
      </c>
      <c r="D1659" t="s">
        <v>53</v>
      </c>
      <c r="E1659" s="1">
        <v>46082</v>
      </c>
      <c r="F1659" s="1">
        <v>46182</v>
      </c>
      <c r="G1659" t="s">
        <v>38</v>
      </c>
      <c r="H1659">
        <v>4457</v>
      </c>
      <c r="I1659" t="s">
        <v>65</v>
      </c>
      <c r="J1659" t="b">
        <v>0</v>
      </c>
      <c r="K1659">
        <v>100</v>
      </c>
      <c r="L1659">
        <v>6</v>
      </c>
      <c r="M1659">
        <v>2026</v>
      </c>
      <c r="N1659">
        <v>1</v>
      </c>
      <c r="O1659">
        <v>3</v>
      </c>
      <c r="P1659">
        <v>2026</v>
      </c>
      <c r="Q1659">
        <v>6</v>
      </c>
      <c r="R1659" t="s">
        <v>40</v>
      </c>
      <c r="S1659" t="s">
        <v>41</v>
      </c>
      <c r="T1659" t="s">
        <v>113</v>
      </c>
      <c r="U1659" t="s">
        <v>66</v>
      </c>
      <c r="V1659" t="s">
        <v>105</v>
      </c>
      <c r="W1659" t="s">
        <v>106</v>
      </c>
      <c r="X1659" t="s">
        <v>45</v>
      </c>
      <c r="Y1659">
        <v>140</v>
      </c>
      <c r="Z1659" t="s">
        <v>58</v>
      </c>
      <c r="AA1659" t="s">
        <v>59</v>
      </c>
      <c r="AB1659" s="1">
        <v>46182</v>
      </c>
      <c r="AC1659" t="s">
        <v>40</v>
      </c>
      <c r="AD1659" t="s">
        <v>40</v>
      </c>
      <c r="AE1659" t="s">
        <v>60</v>
      </c>
      <c r="AF1659" t="s">
        <v>40</v>
      </c>
      <c r="AG1659">
        <v>0</v>
      </c>
      <c r="AH1659" t="s">
        <v>49</v>
      </c>
    </row>
    <row r="1660" spans="1:34" x14ac:dyDescent="0.3">
      <c r="A1660" t="s">
        <v>2369</v>
      </c>
      <c r="B1660" t="s">
        <v>1674</v>
      </c>
      <c r="C1660" t="s">
        <v>129</v>
      </c>
      <c r="D1660" t="s">
        <v>53</v>
      </c>
      <c r="E1660" s="1">
        <v>45747</v>
      </c>
      <c r="F1660" s="1">
        <v>45777</v>
      </c>
      <c r="G1660" t="s">
        <v>64</v>
      </c>
      <c r="H1660">
        <v>2505</v>
      </c>
      <c r="I1660" t="s">
        <v>39</v>
      </c>
      <c r="J1660" t="b">
        <v>0</v>
      </c>
      <c r="K1660">
        <v>30</v>
      </c>
      <c r="L1660">
        <v>4</v>
      </c>
      <c r="M1660">
        <v>2025</v>
      </c>
      <c r="N1660">
        <v>2</v>
      </c>
      <c r="O1660">
        <v>3</v>
      </c>
      <c r="P1660">
        <v>2025</v>
      </c>
      <c r="Q1660">
        <v>0</v>
      </c>
      <c r="R1660" t="s">
        <v>40</v>
      </c>
      <c r="S1660" t="s">
        <v>55</v>
      </c>
      <c r="T1660" t="s">
        <v>42</v>
      </c>
      <c r="U1660" t="s">
        <v>40</v>
      </c>
      <c r="V1660" t="s">
        <v>131</v>
      </c>
      <c r="W1660" t="s">
        <v>132</v>
      </c>
      <c r="X1660" t="s">
        <v>45</v>
      </c>
      <c r="Y1660">
        <v>110</v>
      </c>
      <c r="Z1660" t="s">
        <v>58</v>
      </c>
      <c r="AA1660" t="s">
        <v>59</v>
      </c>
      <c r="AB1660" s="1">
        <v>45777</v>
      </c>
      <c r="AC1660" t="s">
        <v>40</v>
      </c>
      <c r="AD1660" t="s">
        <v>40</v>
      </c>
      <c r="AE1660" t="s">
        <v>69</v>
      </c>
      <c r="AF1660" t="s">
        <v>40</v>
      </c>
      <c r="AG1660">
        <v>0</v>
      </c>
      <c r="AH1660" t="s">
        <v>70</v>
      </c>
    </row>
    <row r="1661" spans="1:34" x14ac:dyDescent="0.3">
      <c r="A1661" t="s">
        <v>2370</v>
      </c>
      <c r="B1661" t="s">
        <v>593</v>
      </c>
      <c r="C1661" t="s">
        <v>169</v>
      </c>
      <c r="D1661" t="s">
        <v>53</v>
      </c>
      <c r="E1661" s="1">
        <v>45699</v>
      </c>
      <c r="F1661" s="1">
        <v>45759</v>
      </c>
      <c r="G1661" t="s">
        <v>41</v>
      </c>
      <c r="H1661">
        <v>6687</v>
      </c>
      <c r="I1661" t="s">
        <v>39</v>
      </c>
      <c r="J1661" t="b">
        <v>0</v>
      </c>
      <c r="K1661">
        <v>60</v>
      </c>
      <c r="L1661">
        <v>4</v>
      </c>
      <c r="M1661">
        <v>2025</v>
      </c>
      <c r="N1661">
        <v>5</v>
      </c>
      <c r="O1661">
        <v>2</v>
      </c>
      <c r="P1661">
        <v>2025</v>
      </c>
      <c r="Q1661">
        <v>1</v>
      </c>
      <c r="R1661" t="s">
        <v>66</v>
      </c>
      <c r="S1661" t="s">
        <v>41</v>
      </c>
      <c r="T1661" t="s">
        <v>42</v>
      </c>
      <c r="U1661" t="s">
        <v>40</v>
      </c>
      <c r="V1661" t="s">
        <v>170</v>
      </c>
      <c r="W1661" t="s">
        <v>171</v>
      </c>
      <c r="X1661" t="s">
        <v>126</v>
      </c>
      <c r="Y1661">
        <v>90</v>
      </c>
      <c r="Z1661" t="s">
        <v>58</v>
      </c>
      <c r="AA1661" t="s">
        <v>59</v>
      </c>
      <c r="AB1661" s="1">
        <v>45759</v>
      </c>
      <c r="AC1661" t="s">
        <v>66</v>
      </c>
      <c r="AD1661" t="s">
        <v>40</v>
      </c>
      <c r="AE1661" t="s">
        <v>69</v>
      </c>
      <c r="AF1661" t="s">
        <v>40</v>
      </c>
      <c r="AG1661">
        <v>0</v>
      </c>
      <c r="AH1661" t="s">
        <v>61</v>
      </c>
    </row>
    <row r="1662" spans="1:34" x14ac:dyDescent="0.3">
      <c r="A1662" t="s">
        <v>2371</v>
      </c>
      <c r="B1662" t="s">
        <v>1284</v>
      </c>
      <c r="C1662" t="s">
        <v>73</v>
      </c>
      <c r="D1662" t="s">
        <v>37</v>
      </c>
      <c r="E1662" s="1">
        <v>45911</v>
      </c>
      <c r="F1662" s="1">
        <v>45925</v>
      </c>
      <c r="G1662" t="s">
        <v>41</v>
      </c>
      <c r="H1662">
        <v>5110</v>
      </c>
      <c r="I1662" t="s">
        <v>65</v>
      </c>
      <c r="J1662" t="b">
        <v>0</v>
      </c>
      <c r="K1662">
        <v>14</v>
      </c>
      <c r="L1662">
        <v>9</v>
      </c>
      <c r="M1662">
        <v>2025</v>
      </c>
      <c r="N1662">
        <v>3</v>
      </c>
      <c r="O1662">
        <v>9</v>
      </c>
      <c r="P1662">
        <v>2025</v>
      </c>
      <c r="Q1662">
        <v>3</v>
      </c>
      <c r="R1662" t="s">
        <v>40</v>
      </c>
      <c r="S1662" t="s">
        <v>55</v>
      </c>
      <c r="T1662" t="s">
        <v>42</v>
      </c>
      <c r="U1662" t="s">
        <v>66</v>
      </c>
      <c r="V1662" t="s">
        <v>74</v>
      </c>
      <c r="W1662" t="s">
        <v>75</v>
      </c>
      <c r="X1662" t="s">
        <v>76</v>
      </c>
      <c r="Y1662">
        <v>75</v>
      </c>
      <c r="Z1662" t="s">
        <v>46</v>
      </c>
      <c r="AA1662" t="s">
        <v>47</v>
      </c>
      <c r="AB1662" s="1">
        <v>45925</v>
      </c>
      <c r="AC1662" t="s">
        <v>40</v>
      </c>
      <c r="AD1662" t="s">
        <v>40</v>
      </c>
      <c r="AE1662" t="s">
        <v>60</v>
      </c>
      <c r="AF1662" t="s">
        <v>40</v>
      </c>
      <c r="AG1662">
        <v>0</v>
      </c>
      <c r="AH1662" t="s">
        <v>70</v>
      </c>
    </row>
    <row r="1663" spans="1:34" x14ac:dyDescent="0.3">
      <c r="A1663" t="s">
        <v>2372</v>
      </c>
      <c r="B1663" t="s">
        <v>1240</v>
      </c>
      <c r="C1663" t="s">
        <v>103</v>
      </c>
      <c r="D1663" t="s">
        <v>104</v>
      </c>
      <c r="E1663" s="1">
        <v>45781</v>
      </c>
      <c r="F1663" s="1">
        <v>45811</v>
      </c>
      <c r="G1663" t="s">
        <v>38</v>
      </c>
      <c r="H1663">
        <v>4251</v>
      </c>
      <c r="I1663" t="s">
        <v>39</v>
      </c>
      <c r="J1663" t="b">
        <v>0</v>
      </c>
      <c r="K1663">
        <v>30</v>
      </c>
      <c r="L1663">
        <v>6</v>
      </c>
      <c r="M1663">
        <v>2025</v>
      </c>
      <c r="N1663">
        <v>1</v>
      </c>
      <c r="O1663">
        <v>5</v>
      </c>
      <c r="P1663">
        <v>2025</v>
      </c>
      <c r="Q1663">
        <v>6</v>
      </c>
      <c r="R1663" t="s">
        <v>40</v>
      </c>
      <c r="S1663" t="s">
        <v>55</v>
      </c>
      <c r="T1663" t="s">
        <v>42</v>
      </c>
      <c r="U1663" t="s">
        <v>40</v>
      </c>
      <c r="V1663" t="s">
        <v>105</v>
      </c>
      <c r="W1663" t="s">
        <v>106</v>
      </c>
      <c r="X1663" t="s">
        <v>45</v>
      </c>
      <c r="Y1663">
        <v>140</v>
      </c>
      <c r="Z1663" t="s">
        <v>107</v>
      </c>
      <c r="AA1663" t="s">
        <v>108</v>
      </c>
      <c r="AB1663" s="1">
        <v>45811</v>
      </c>
      <c r="AC1663" t="s">
        <v>40</v>
      </c>
      <c r="AD1663" t="s">
        <v>40</v>
      </c>
      <c r="AE1663" t="s">
        <v>60</v>
      </c>
      <c r="AF1663" t="s">
        <v>40</v>
      </c>
      <c r="AG1663">
        <v>0</v>
      </c>
      <c r="AH1663" t="s">
        <v>70</v>
      </c>
    </row>
    <row r="1664" spans="1:34" x14ac:dyDescent="0.3">
      <c r="A1664" t="s">
        <v>2373</v>
      </c>
      <c r="B1664" t="s">
        <v>214</v>
      </c>
      <c r="C1664" t="s">
        <v>36</v>
      </c>
      <c r="D1664" t="s">
        <v>80</v>
      </c>
      <c r="E1664" s="1">
        <v>45674</v>
      </c>
      <c r="F1664" s="1">
        <v>45734</v>
      </c>
      <c r="G1664" t="s">
        <v>41</v>
      </c>
      <c r="H1664">
        <v>6347</v>
      </c>
      <c r="I1664" t="s">
        <v>65</v>
      </c>
      <c r="J1664" t="b">
        <v>0</v>
      </c>
      <c r="K1664">
        <v>60</v>
      </c>
      <c r="L1664">
        <v>3</v>
      </c>
      <c r="M1664">
        <v>2025</v>
      </c>
      <c r="N1664">
        <v>1</v>
      </c>
      <c r="O1664">
        <v>1</v>
      </c>
      <c r="P1664">
        <v>2025</v>
      </c>
      <c r="Q1664">
        <v>4</v>
      </c>
      <c r="R1664" t="s">
        <v>40</v>
      </c>
      <c r="S1664" t="s">
        <v>45</v>
      </c>
      <c r="T1664" t="s">
        <v>113</v>
      </c>
      <c r="U1664" t="s">
        <v>40</v>
      </c>
      <c r="V1664" t="s">
        <v>43</v>
      </c>
      <c r="W1664" t="s">
        <v>44</v>
      </c>
      <c r="X1664" t="s">
        <v>45</v>
      </c>
      <c r="Y1664">
        <v>150</v>
      </c>
      <c r="Z1664" t="s">
        <v>84</v>
      </c>
      <c r="AA1664" t="s">
        <v>85</v>
      </c>
      <c r="AB1664" s="1">
        <v>45734</v>
      </c>
      <c r="AC1664" t="s">
        <v>40</v>
      </c>
      <c r="AD1664" t="s">
        <v>40</v>
      </c>
      <c r="AE1664" t="s">
        <v>60</v>
      </c>
      <c r="AF1664" t="s">
        <v>40</v>
      </c>
      <c r="AG1664">
        <v>0</v>
      </c>
      <c r="AH1664" t="s">
        <v>61</v>
      </c>
    </row>
    <row r="1665" spans="1:34" x14ac:dyDescent="0.3">
      <c r="A1665" t="s">
        <v>2374</v>
      </c>
      <c r="B1665" t="s">
        <v>2029</v>
      </c>
      <c r="C1665" t="s">
        <v>103</v>
      </c>
      <c r="D1665" t="s">
        <v>104</v>
      </c>
      <c r="E1665" s="1">
        <v>45868</v>
      </c>
      <c r="F1665" s="1">
        <v>45898</v>
      </c>
      <c r="G1665" t="s">
        <v>38</v>
      </c>
      <c r="H1665">
        <v>4192</v>
      </c>
      <c r="I1665" t="s">
        <v>65</v>
      </c>
      <c r="J1665" t="b">
        <v>0</v>
      </c>
      <c r="K1665">
        <v>30</v>
      </c>
      <c r="L1665">
        <v>8</v>
      </c>
      <c r="M1665">
        <v>2025</v>
      </c>
      <c r="N1665">
        <v>4</v>
      </c>
      <c r="O1665">
        <v>7</v>
      </c>
      <c r="P1665">
        <v>2025</v>
      </c>
      <c r="Q1665">
        <v>2</v>
      </c>
      <c r="R1665" t="s">
        <v>40</v>
      </c>
      <c r="S1665" t="s">
        <v>45</v>
      </c>
      <c r="T1665" t="s">
        <v>42</v>
      </c>
      <c r="U1665" t="s">
        <v>40</v>
      </c>
      <c r="V1665" t="s">
        <v>105</v>
      </c>
      <c r="W1665" t="s">
        <v>106</v>
      </c>
      <c r="X1665" t="s">
        <v>45</v>
      </c>
      <c r="Y1665">
        <v>140</v>
      </c>
      <c r="Z1665" t="s">
        <v>107</v>
      </c>
      <c r="AA1665" t="s">
        <v>108</v>
      </c>
      <c r="AB1665" s="1">
        <v>45898</v>
      </c>
      <c r="AC1665" t="s">
        <v>40</v>
      </c>
      <c r="AD1665" t="s">
        <v>40</v>
      </c>
      <c r="AE1665" t="s">
        <v>86</v>
      </c>
      <c r="AF1665" t="s">
        <v>40</v>
      </c>
      <c r="AG1665">
        <v>0</v>
      </c>
      <c r="AH1665" t="s">
        <v>70</v>
      </c>
    </row>
    <row r="1666" spans="1:34" x14ac:dyDescent="0.3">
      <c r="A1666" t="s">
        <v>2375</v>
      </c>
      <c r="B1666" t="s">
        <v>1058</v>
      </c>
      <c r="C1666" t="s">
        <v>52</v>
      </c>
      <c r="D1666" t="s">
        <v>37</v>
      </c>
      <c r="E1666" s="1">
        <v>45980</v>
      </c>
      <c r="F1666" s="1">
        <v>46040</v>
      </c>
      <c r="G1666" t="s">
        <v>81</v>
      </c>
      <c r="H1666">
        <v>11177</v>
      </c>
      <c r="I1666" t="s">
        <v>54</v>
      </c>
      <c r="J1666" t="b">
        <v>0</v>
      </c>
      <c r="K1666">
        <v>60</v>
      </c>
      <c r="L1666">
        <v>1</v>
      </c>
      <c r="M1666">
        <v>2026</v>
      </c>
      <c r="N1666">
        <v>6</v>
      </c>
      <c r="O1666">
        <v>11</v>
      </c>
      <c r="P1666">
        <v>2025</v>
      </c>
      <c r="Q1666">
        <v>2</v>
      </c>
      <c r="R1666" t="s">
        <v>66</v>
      </c>
      <c r="S1666" t="s">
        <v>41</v>
      </c>
      <c r="T1666" t="s">
        <v>42</v>
      </c>
      <c r="U1666" t="s">
        <v>40</v>
      </c>
      <c r="V1666" t="s">
        <v>56</v>
      </c>
      <c r="W1666" t="s">
        <v>57</v>
      </c>
      <c r="X1666" t="s">
        <v>45</v>
      </c>
      <c r="Y1666">
        <v>120</v>
      </c>
      <c r="Z1666" t="s">
        <v>46</v>
      </c>
      <c r="AA1666" t="s">
        <v>47</v>
      </c>
      <c r="AB1666" s="1">
        <v>46040</v>
      </c>
      <c r="AC1666" t="s">
        <v>66</v>
      </c>
      <c r="AD1666" t="s">
        <v>40</v>
      </c>
      <c r="AE1666" t="s">
        <v>86</v>
      </c>
      <c r="AF1666" t="s">
        <v>40</v>
      </c>
      <c r="AG1666">
        <v>1</v>
      </c>
      <c r="AH1666" t="s">
        <v>61</v>
      </c>
    </row>
    <row r="1667" spans="1:34" x14ac:dyDescent="0.3">
      <c r="A1667" t="s">
        <v>2376</v>
      </c>
      <c r="B1667" t="s">
        <v>2377</v>
      </c>
      <c r="C1667" t="s">
        <v>52</v>
      </c>
      <c r="D1667" t="s">
        <v>53</v>
      </c>
      <c r="E1667" s="1">
        <v>46321</v>
      </c>
      <c r="F1667" s="1">
        <v>46421</v>
      </c>
      <c r="G1667" t="s">
        <v>41</v>
      </c>
      <c r="H1667">
        <v>5121</v>
      </c>
      <c r="I1667" t="s">
        <v>54</v>
      </c>
      <c r="J1667" t="b">
        <v>0</v>
      </c>
      <c r="K1667">
        <v>100</v>
      </c>
      <c r="L1667">
        <v>2</v>
      </c>
      <c r="M1667">
        <v>2027</v>
      </c>
      <c r="N1667">
        <v>2</v>
      </c>
      <c r="O1667">
        <v>10</v>
      </c>
      <c r="P1667">
        <v>2026</v>
      </c>
      <c r="Q1667">
        <v>0</v>
      </c>
      <c r="R1667" t="s">
        <v>40</v>
      </c>
      <c r="S1667" t="s">
        <v>55</v>
      </c>
      <c r="T1667" t="s">
        <v>42</v>
      </c>
      <c r="U1667" t="s">
        <v>40</v>
      </c>
      <c r="V1667" t="s">
        <v>56</v>
      </c>
      <c r="W1667" t="s">
        <v>57</v>
      </c>
      <c r="X1667" t="s">
        <v>45</v>
      </c>
      <c r="Y1667">
        <v>120</v>
      </c>
      <c r="Z1667" t="s">
        <v>58</v>
      </c>
      <c r="AA1667" t="s">
        <v>59</v>
      </c>
      <c r="AB1667" s="1"/>
      <c r="AC1667" t="s">
        <v>48</v>
      </c>
      <c r="AD1667" t="s">
        <v>48</v>
      </c>
      <c r="AE1667" t="s">
        <v>48</v>
      </c>
      <c r="AF1667" t="s">
        <v>48</v>
      </c>
      <c r="AG1667">
        <v>1</v>
      </c>
      <c r="AH1667" t="s">
        <v>49</v>
      </c>
    </row>
    <row r="1668" spans="1:34" x14ac:dyDescent="0.3">
      <c r="A1668" t="s">
        <v>2378</v>
      </c>
      <c r="B1668" t="s">
        <v>782</v>
      </c>
      <c r="C1668" t="s">
        <v>36</v>
      </c>
      <c r="D1668" t="s">
        <v>104</v>
      </c>
      <c r="E1668" s="1">
        <v>45824</v>
      </c>
      <c r="F1668" s="1">
        <v>45854</v>
      </c>
      <c r="G1668" t="s">
        <v>64</v>
      </c>
      <c r="H1668">
        <v>2592</v>
      </c>
      <c r="I1668" t="s">
        <v>39</v>
      </c>
      <c r="J1668" t="b">
        <v>0</v>
      </c>
      <c r="K1668">
        <v>30</v>
      </c>
      <c r="L1668">
        <v>7</v>
      </c>
      <c r="M1668">
        <v>2025</v>
      </c>
      <c r="N1668">
        <v>2</v>
      </c>
      <c r="O1668">
        <v>6</v>
      </c>
      <c r="P1668">
        <v>2025</v>
      </c>
      <c r="Q1668">
        <v>0</v>
      </c>
      <c r="R1668" t="s">
        <v>40</v>
      </c>
      <c r="S1668" t="s">
        <v>67</v>
      </c>
      <c r="T1668" t="s">
        <v>42</v>
      </c>
      <c r="U1668" t="s">
        <v>66</v>
      </c>
      <c r="V1668" t="s">
        <v>43</v>
      </c>
      <c r="W1668" t="s">
        <v>44</v>
      </c>
      <c r="X1668" t="s">
        <v>45</v>
      </c>
      <c r="Y1668">
        <v>150</v>
      </c>
      <c r="Z1668" t="s">
        <v>107</v>
      </c>
      <c r="AA1668" t="s">
        <v>108</v>
      </c>
      <c r="AB1668" s="1">
        <v>45854</v>
      </c>
      <c r="AC1668" t="s">
        <v>40</v>
      </c>
      <c r="AD1668" t="s">
        <v>40</v>
      </c>
      <c r="AE1668" t="s">
        <v>86</v>
      </c>
      <c r="AF1668" t="s">
        <v>40</v>
      </c>
      <c r="AG1668">
        <v>0</v>
      </c>
      <c r="AH1668" t="s">
        <v>70</v>
      </c>
    </row>
    <row r="1669" spans="1:34" x14ac:dyDescent="0.3">
      <c r="A1669" t="s">
        <v>2379</v>
      </c>
      <c r="B1669" t="s">
        <v>729</v>
      </c>
      <c r="C1669" t="s">
        <v>146</v>
      </c>
      <c r="D1669" t="s">
        <v>90</v>
      </c>
      <c r="E1669" s="1">
        <v>46160</v>
      </c>
      <c r="F1669" s="1">
        <v>46163</v>
      </c>
      <c r="G1669" t="s">
        <v>38</v>
      </c>
      <c r="H1669">
        <v>4822</v>
      </c>
      <c r="I1669" t="s">
        <v>39</v>
      </c>
      <c r="J1669" t="b">
        <v>0</v>
      </c>
      <c r="K1669">
        <v>3</v>
      </c>
      <c r="L1669">
        <v>5</v>
      </c>
      <c r="M1669">
        <v>2026</v>
      </c>
      <c r="N1669">
        <v>3</v>
      </c>
      <c r="O1669">
        <v>5</v>
      </c>
      <c r="P1669">
        <v>2026</v>
      </c>
      <c r="Q1669">
        <v>0</v>
      </c>
      <c r="R1669" t="s">
        <v>40</v>
      </c>
      <c r="S1669" t="s">
        <v>55</v>
      </c>
      <c r="T1669" t="s">
        <v>113</v>
      </c>
      <c r="U1669" t="s">
        <v>40</v>
      </c>
      <c r="V1669" t="s">
        <v>147</v>
      </c>
      <c r="W1669" t="s">
        <v>148</v>
      </c>
      <c r="X1669" t="s">
        <v>45</v>
      </c>
      <c r="Y1669">
        <v>160</v>
      </c>
      <c r="Z1669" t="s">
        <v>93</v>
      </c>
      <c r="AA1669" t="s">
        <v>94</v>
      </c>
      <c r="AB1669" s="1">
        <v>46163</v>
      </c>
      <c r="AC1669" t="s">
        <v>40</v>
      </c>
      <c r="AD1669" t="s">
        <v>40</v>
      </c>
      <c r="AE1669" t="s">
        <v>69</v>
      </c>
      <c r="AF1669" t="s">
        <v>40</v>
      </c>
      <c r="AG1669">
        <v>0</v>
      </c>
      <c r="AH1669" t="s">
        <v>100</v>
      </c>
    </row>
    <row r="1670" spans="1:34" x14ac:dyDescent="0.3">
      <c r="A1670" t="s">
        <v>2380</v>
      </c>
      <c r="B1670" t="s">
        <v>744</v>
      </c>
      <c r="C1670" t="s">
        <v>146</v>
      </c>
      <c r="D1670" t="s">
        <v>104</v>
      </c>
      <c r="E1670" s="1">
        <v>45973</v>
      </c>
      <c r="F1670" s="1">
        <v>46003</v>
      </c>
      <c r="G1670" t="s">
        <v>38</v>
      </c>
      <c r="H1670">
        <v>4695</v>
      </c>
      <c r="I1670" t="s">
        <v>39</v>
      </c>
      <c r="J1670" t="b">
        <v>0</v>
      </c>
      <c r="K1670">
        <v>30</v>
      </c>
      <c r="L1670">
        <v>12</v>
      </c>
      <c r="M1670">
        <v>2025</v>
      </c>
      <c r="N1670">
        <v>4</v>
      </c>
      <c r="O1670">
        <v>11</v>
      </c>
      <c r="P1670">
        <v>2025</v>
      </c>
      <c r="Q1670">
        <v>2</v>
      </c>
      <c r="R1670" t="s">
        <v>40</v>
      </c>
      <c r="S1670" t="s">
        <v>41</v>
      </c>
      <c r="T1670" t="s">
        <v>42</v>
      </c>
      <c r="U1670" t="s">
        <v>40</v>
      </c>
      <c r="V1670" t="s">
        <v>147</v>
      </c>
      <c r="W1670" t="s">
        <v>148</v>
      </c>
      <c r="X1670" t="s">
        <v>45</v>
      </c>
      <c r="Y1670">
        <v>160</v>
      </c>
      <c r="Z1670" t="s">
        <v>107</v>
      </c>
      <c r="AA1670" t="s">
        <v>108</v>
      </c>
      <c r="AB1670" s="1">
        <v>46003</v>
      </c>
      <c r="AC1670" t="s">
        <v>40</v>
      </c>
      <c r="AD1670" t="s">
        <v>40</v>
      </c>
      <c r="AE1670" t="s">
        <v>69</v>
      </c>
      <c r="AF1670" t="s">
        <v>40</v>
      </c>
      <c r="AG1670">
        <v>0</v>
      </c>
      <c r="AH1670" t="s">
        <v>70</v>
      </c>
    </row>
    <row r="1671" spans="1:34" x14ac:dyDescent="0.3">
      <c r="A1671" t="s">
        <v>2381</v>
      </c>
      <c r="B1671" t="s">
        <v>1402</v>
      </c>
      <c r="C1671" t="s">
        <v>36</v>
      </c>
      <c r="D1671" t="s">
        <v>37</v>
      </c>
      <c r="E1671" s="1">
        <v>45901</v>
      </c>
      <c r="F1671" s="1">
        <v>46051</v>
      </c>
      <c r="G1671" t="s">
        <v>81</v>
      </c>
      <c r="H1671">
        <v>7425</v>
      </c>
      <c r="I1671" t="s">
        <v>212</v>
      </c>
      <c r="J1671" t="b">
        <v>0</v>
      </c>
      <c r="K1671">
        <v>150</v>
      </c>
      <c r="L1671">
        <v>1</v>
      </c>
      <c r="M1671">
        <v>2026</v>
      </c>
      <c r="N1671">
        <v>3</v>
      </c>
      <c r="O1671">
        <v>9</v>
      </c>
      <c r="P1671">
        <v>2025</v>
      </c>
      <c r="Q1671">
        <v>0</v>
      </c>
      <c r="R1671" t="s">
        <v>40</v>
      </c>
      <c r="S1671" t="s">
        <v>55</v>
      </c>
      <c r="T1671" t="s">
        <v>68</v>
      </c>
      <c r="U1671" t="s">
        <v>40</v>
      </c>
      <c r="V1671" t="s">
        <v>43</v>
      </c>
      <c r="W1671" t="s">
        <v>44</v>
      </c>
      <c r="X1671" t="s">
        <v>45</v>
      </c>
      <c r="Y1671">
        <v>150</v>
      </c>
      <c r="Z1671" t="s">
        <v>46</v>
      </c>
      <c r="AA1671" t="s">
        <v>47</v>
      </c>
      <c r="AB1671" s="1">
        <v>46051</v>
      </c>
      <c r="AC1671" t="s">
        <v>40</v>
      </c>
      <c r="AD1671" t="s">
        <v>40</v>
      </c>
      <c r="AE1671" t="s">
        <v>86</v>
      </c>
      <c r="AF1671" t="s">
        <v>40</v>
      </c>
      <c r="AG1671">
        <v>0</v>
      </c>
      <c r="AH1671" t="s">
        <v>49</v>
      </c>
    </row>
    <row r="1672" spans="1:34" x14ac:dyDescent="0.3">
      <c r="A1672" t="s">
        <v>2382</v>
      </c>
      <c r="B1672" t="s">
        <v>688</v>
      </c>
      <c r="C1672" t="s">
        <v>52</v>
      </c>
      <c r="D1672" t="s">
        <v>104</v>
      </c>
      <c r="E1672" s="1">
        <v>46271</v>
      </c>
      <c r="F1672" s="1">
        <v>46274</v>
      </c>
      <c r="G1672" t="s">
        <v>81</v>
      </c>
      <c r="H1672">
        <v>6516</v>
      </c>
      <c r="I1672" t="s">
        <v>39</v>
      </c>
      <c r="J1672" t="b">
        <v>0</v>
      </c>
      <c r="K1672">
        <v>3</v>
      </c>
      <c r="L1672">
        <v>9</v>
      </c>
      <c r="M1672">
        <v>2026</v>
      </c>
      <c r="N1672">
        <v>2</v>
      </c>
      <c r="O1672">
        <v>9</v>
      </c>
      <c r="P1672">
        <v>2026</v>
      </c>
      <c r="Q1672">
        <v>6</v>
      </c>
      <c r="R1672" t="s">
        <v>40</v>
      </c>
      <c r="S1672" t="s">
        <v>67</v>
      </c>
      <c r="T1672" t="s">
        <v>286</v>
      </c>
      <c r="U1672" t="s">
        <v>40</v>
      </c>
      <c r="V1672" t="s">
        <v>56</v>
      </c>
      <c r="W1672" t="s">
        <v>57</v>
      </c>
      <c r="X1672" t="s">
        <v>45</v>
      </c>
      <c r="Y1672">
        <v>120</v>
      </c>
      <c r="Z1672" t="s">
        <v>107</v>
      </c>
      <c r="AA1672" t="s">
        <v>108</v>
      </c>
      <c r="AB1672" s="1">
        <v>46274</v>
      </c>
      <c r="AC1672" t="s">
        <v>40</v>
      </c>
      <c r="AD1672" t="s">
        <v>40</v>
      </c>
      <c r="AE1672" t="s">
        <v>60</v>
      </c>
      <c r="AF1672" t="s">
        <v>40</v>
      </c>
      <c r="AG1672">
        <v>0</v>
      </c>
      <c r="AH1672" t="s">
        <v>100</v>
      </c>
    </row>
    <row r="1673" spans="1:34" x14ac:dyDescent="0.3">
      <c r="A1673" t="s">
        <v>2383</v>
      </c>
      <c r="B1673" t="s">
        <v>519</v>
      </c>
      <c r="C1673" t="s">
        <v>73</v>
      </c>
      <c r="D1673" t="s">
        <v>80</v>
      </c>
      <c r="E1673" s="1">
        <v>46182</v>
      </c>
      <c r="F1673" s="1">
        <v>46242</v>
      </c>
      <c r="G1673" t="s">
        <v>81</v>
      </c>
      <c r="H1673">
        <v>7701</v>
      </c>
      <c r="I1673" t="s">
        <v>65</v>
      </c>
      <c r="J1673" t="b">
        <v>0</v>
      </c>
      <c r="K1673">
        <v>60</v>
      </c>
      <c r="L1673">
        <v>8</v>
      </c>
      <c r="M1673">
        <v>2026</v>
      </c>
      <c r="N1673">
        <v>5</v>
      </c>
      <c r="O1673">
        <v>6</v>
      </c>
      <c r="P1673">
        <v>2026</v>
      </c>
      <c r="Q1673">
        <v>1</v>
      </c>
      <c r="R1673" t="s">
        <v>66</v>
      </c>
      <c r="S1673" t="s">
        <v>41</v>
      </c>
      <c r="T1673" t="s">
        <v>42</v>
      </c>
      <c r="U1673" t="s">
        <v>40</v>
      </c>
      <c r="V1673" t="s">
        <v>74</v>
      </c>
      <c r="W1673" t="s">
        <v>75</v>
      </c>
      <c r="X1673" t="s">
        <v>76</v>
      </c>
      <c r="Y1673">
        <v>75</v>
      </c>
      <c r="Z1673" t="s">
        <v>84</v>
      </c>
      <c r="AA1673" t="s">
        <v>85</v>
      </c>
      <c r="AB1673" s="1">
        <v>46242</v>
      </c>
      <c r="AC1673" t="s">
        <v>66</v>
      </c>
      <c r="AD1673" t="s">
        <v>40</v>
      </c>
      <c r="AE1673" t="s">
        <v>86</v>
      </c>
      <c r="AF1673" t="s">
        <v>40</v>
      </c>
      <c r="AG1673">
        <v>0</v>
      </c>
      <c r="AH1673" t="s">
        <v>61</v>
      </c>
    </row>
    <row r="1674" spans="1:34" x14ac:dyDescent="0.3">
      <c r="A1674" t="s">
        <v>2384</v>
      </c>
      <c r="B1674" t="s">
        <v>1360</v>
      </c>
      <c r="C1674" t="s">
        <v>89</v>
      </c>
      <c r="D1674" t="s">
        <v>80</v>
      </c>
      <c r="E1674" s="1">
        <v>45772</v>
      </c>
      <c r="F1674" s="1">
        <v>45786</v>
      </c>
      <c r="G1674" t="s">
        <v>64</v>
      </c>
      <c r="H1674">
        <v>3498</v>
      </c>
      <c r="I1674" t="s">
        <v>39</v>
      </c>
      <c r="J1674" t="b">
        <v>0</v>
      </c>
      <c r="K1674">
        <v>14</v>
      </c>
      <c r="L1674">
        <v>5</v>
      </c>
      <c r="M1674">
        <v>2025</v>
      </c>
      <c r="N1674">
        <v>4</v>
      </c>
      <c r="O1674">
        <v>4</v>
      </c>
      <c r="P1674">
        <v>2025</v>
      </c>
      <c r="Q1674">
        <v>4</v>
      </c>
      <c r="R1674" t="s">
        <v>40</v>
      </c>
      <c r="S1674" t="s">
        <v>55</v>
      </c>
      <c r="T1674" t="s">
        <v>113</v>
      </c>
      <c r="U1674" t="s">
        <v>40</v>
      </c>
      <c r="V1674" t="s">
        <v>91</v>
      </c>
      <c r="W1674" t="s">
        <v>92</v>
      </c>
      <c r="X1674" t="s">
        <v>76</v>
      </c>
      <c r="Y1674">
        <v>65</v>
      </c>
      <c r="Z1674" t="s">
        <v>84</v>
      </c>
      <c r="AA1674" t="s">
        <v>85</v>
      </c>
      <c r="AB1674" s="1">
        <v>45786</v>
      </c>
      <c r="AC1674" t="s">
        <v>40</v>
      </c>
      <c r="AD1674" t="s">
        <v>40</v>
      </c>
      <c r="AE1674" t="s">
        <v>69</v>
      </c>
      <c r="AF1674" t="s">
        <v>40</v>
      </c>
      <c r="AG1674">
        <v>0</v>
      </c>
      <c r="AH1674" t="s">
        <v>70</v>
      </c>
    </row>
    <row r="1675" spans="1:34" x14ac:dyDescent="0.3">
      <c r="A1675" t="s">
        <v>2385</v>
      </c>
      <c r="B1675" t="s">
        <v>1074</v>
      </c>
      <c r="C1675" t="s">
        <v>155</v>
      </c>
      <c r="D1675" t="s">
        <v>130</v>
      </c>
      <c r="E1675" s="1">
        <v>45763</v>
      </c>
      <c r="F1675" s="1">
        <v>45777</v>
      </c>
      <c r="G1675" t="s">
        <v>81</v>
      </c>
      <c r="H1675">
        <v>11857</v>
      </c>
      <c r="I1675" t="s">
        <v>54</v>
      </c>
      <c r="J1675" t="b">
        <v>0</v>
      </c>
      <c r="K1675">
        <v>14</v>
      </c>
      <c r="L1675">
        <v>4</v>
      </c>
      <c r="M1675">
        <v>2025</v>
      </c>
      <c r="N1675">
        <v>2</v>
      </c>
      <c r="O1675">
        <v>4</v>
      </c>
      <c r="P1675">
        <v>2025</v>
      </c>
      <c r="Q1675">
        <v>2</v>
      </c>
      <c r="R1675" t="s">
        <v>40</v>
      </c>
      <c r="S1675" t="s">
        <v>45</v>
      </c>
      <c r="T1675" t="s">
        <v>123</v>
      </c>
      <c r="U1675" t="s">
        <v>40</v>
      </c>
      <c r="V1675" t="s">
        <v>156</v>
      </c>
      <c r="W1675" t="s">
        <v>157</v>
      </c>
      <c r="X1675" t="s">
        <v>158</v>
      </c>
      <c r="Y1675">
        <v>70</v>
      </c>
      <c r="Z1675" t="s">
        <v>133</v>
      </c>
      <c r="AA1675" t="s">
        <v>134</v>
      </c>
      <c r="AB1675" s="1">
        <v>45777</v>
      </c>
      <c r="AC1675" t="s">
        <v>40</v>
      </c>
      <c r="AD1675" t="s">
        <v>40</v>
      </c>
      <c r="AE1675" t="s">
        <v>69</v>
      </c>
      <c r="AF1675" t="s">
        <v>40</v>
      </c>
      <c r="AG1675">
        <v>1</v>
      </c>
      <c r="AH1675" t="s">
        <v>70</v>
      </c>
    </row>
    <row r="1676" spans="1:34" x14ac:dyDescent="0.3">
      <c r="A1676" t="s">
        <v>2386</v>
      </c>
      <c r="B1676" t="s">
        <v>668</v>
      </c>
      <c r="C1676" t="s">
        <v>52</v>
      </c>
      <c r="D1676" t="s">
        <v>130</v>
      </c>
      <c r="E1676" s="1">
        <v>46145</v>
      </c>
      <c r="F1676" s="1">
        <v>46146</v>
      </c>
      <c r="G1676" t="s">
        <v>38</v>
      </c>
      <c r="H1676">
        <v>4722</v>
      </c>
      <c r="I1676" t="s">
        <v>39</v>
      </c>
      <c r="J1676" t="b">
        <v>0</v>
      </c>
      <c r="K1676">
        <v>1</v>
      </c>
      <c r="L1676">
        <v>5</v>
      </c>
      <c r="M1676">
        <v>2026</v>
      </c>
      <c r="N1676">
        <v>0</v>
      </c>
      <c r="O1676">
        <v>5</v>
      </c>
      <c r="P1676">
        <v>2026</v>
      </c>
      <c r="Q1676">
        <v>6</v>
      </c>
      <c r="R1676" t="s">
        <v>40</v>
      </c>
      <c r="S1676" t="s">
        <v>67</v>
      </c>
      <c r="T1676" t="s">
        <v>42</v>
      </c>
      <c r="U1676" t="s">
        <v>66</v>
      </c>
      <c r="V1676" t="s">
        <v>56</v>
      </c>
      <c r="W1676" t="s">
        <v>57</v>
      </c>
      <c r="X1676" t="s">
        <v>45</v>
      </c>
      <c r="Y1676">
        <v>120</v>
      </c>
      <c r="Z1676" t="s">
        <v>133</v>
      </c>
      <c r="AA1676" t="s">
        <v>134</v>
      </c>
      <c r="AB1676" s="1">
        <v>46146</v>
      </c>
      <c r="AC1676" t="s">
        <v>40</v>
      </c>
      <c r="AD1676" t="s">
        <v>40</v>
      </c>
      <c r="AE1676" t="s">
        <v>69</v>
      </c>
      <c r="AF1676" t="s">
        <v>40</v>
      </c>
      <c r="AG1676">
        <v>0</v>
      </c>
      <c r="AH1676" t="s">
        <v>100</v>
      </c>
    </row>
    <row r="1677" spans="1:34" x14ac:dyDescent="0.3">
      <c r="A1677" t="s">
        <v>2387</v>
      </c>
      <c r="B1677" t="s">
        <v>2388</v>
      </c>
      <c r="C1677" t="s">
        <v>52</v>
      </c>
      <c r="D1677" t="s">
        <v>80</v>
      </c>
      <c r="E1677" s="1">
        <v>46313</v>
      </c>
      <c r="F1677" s="1">
        <v>46413</v>
      </c>
      <c r="G1677" t="s">
        <v>64</v>
      </c>
      <c r="H1677">
        <v>2526</v>
      </c>
      <c r="I1677" t="s">
        <v>39</v>
      </c>
      <c r="J1677" t="b">
        <v>0</v>
      </c>
      <c r="K1677">
        <v>100</v>
      </c>
      <c r="L1677">
        <v>1</v>
      </c>
      <c r="M1677">
        <v>2027</v>
      </c>
      <c r="N1677">
        <v>1</v>
      </c>
      <c r="O1677">
        <v>10</v>
      </c>
      <c r="P1677">
        <v>2026</v>
      </c>
      <c r="Q1677">
        <v>6</v>
      </c>
      <c r="R1677" t="s">
        <v>40</v>
      </c>
      <c r="S1677" t="s">
        <v>55</v>
      </c>
      <c r="T1677" t="s">
        <v>42</v>
      </c>
      <c r="U1677" t="s">
        <v>40</v>
      </c>
      <c r="V1677" t="s">
        <v>56</v>
      </c>
      <c r="W1677" t="s">
        <v>57</v>
      </c>
      <c r="X1677" t="s">
        <v>45</v>
      </c>
      <c r="Y1677">
        <v>120</v>
      </c>
      <c r="Z1677" t="s">
        <v>84</v>
      </c>
      <c r="AA1677" t="s">
        <v>85</v>
      </c>
      <c r="AB1677" s="1"/>
      <c r="AC1677" t="s">
        <v>48</v>
      </c>
      <c r="AD1677" t="s">
        <v>48</v>
      </c>
      <c r="AE1677" t="s">
        <v>48</v>
      </c>
      <c r="AF1677" t="s">
        <v>48</v>
      </c>
      <c r="AG1677">
        <v>0</v>
      </c>
      <c r="AH1677" t="s">
        <v>49</v>
      </c>
    </row>
    <row r="1678" spans="1:34" x14ac:dyDescent="0.3">
      <c r="A1678" t="s">
        <v>2389</v>
      </c>
      <c r="B1678" t="s">
        <v>718</v>
      </c>
      <c r="C1678" t="s">
        <v>169</v>
      </c>
      <c r="D1678" t="s">
        <v>80</v>
      </c>
      <c r="E1678" s="1">
        <v>45992</v>
      </c>
      <c r="F1678" s="1">
        <v>46052</v>
      </c>
      <c r="G1678" t="s">
        <v>64</v>
      </c>
      <c r="H1678">
        <v>3137</v>
      </c>
      <c r="I1678" t="s">
        <v>212</v>
      </c>
      <c r="J1678" t="b">
        <v>0</v>
      </c>
      <c r="K1678">
        <v>60</v>
      </c>
      <c r="L1678">
        <v>1</v>
      </c>
      <c r="M1678">
        <v>2026</v>
      </c>
      <c r="N1678">
        <v>4</v>
      </c>
      <c r="O1678">
        <v>12</v>
      </c>
      <c r="P1678">
        <v>2025</v>
      </c>
      <c r="Q1678">
        <v>0</v>
      </c>
      <c r="R1678" t="s">
        <v>40</v>
      </c>
      <c r="S1678" t="s">
        <v>45</v>
      </c>
      <c r="T1678" t="s">
        <v>42</v>
      </c>
      <c r="U1678" t="s">
        <v>40</v>
      </c>
      <c r="V1678" t="s">
        <v>170</v>
      </c>
      <c r="W1678" t="s">
        <v>171</v>
      </c>
      <c r="X1678" t="s">
        <v>126</v>
      </c>
      <c r="Y1678">
        <v>90</v>
      </c>
      <c r="Z1678" t="s">
        <v>84</v>
      </c>
      <c r="AA1678" t="s">
        <v>85</v>
      </c>
      <c r="AB1678" s="1">
        <v>46052</v>
      </c>
      <c r="AC1678" t="s">
        <v>40</v>
      </c>
      <c r="AD1678" t="s">
        <v>40</v>
      </c>
      <c r="AE1678" t="s">
        <v>86</v>
      </c>
      <c r="AF1678" t="s">
        <v>40</v>
      </c>
      <c r="AG1678">
        <v>0</v>
      </c>
      <c r="AH1678" t="s">
        <v>61</v>
      </c>
    </row>
    <row r="1679" spans="1:34" x14ac:dyDescent="0.3">
      <c r="A1679" t="s">
        <v>2390</v>
      </c>
      <c r="B1679" t="s">
        <v>579</v>
      </c>
      <c r="C1679" t="s">
        <v>129</v>
      </c>
      <c r="D1679" t="s">
        <v>37</v>
      </c>
      <c r="E1679" s="1">
        <v>46136</v>
      </c>
      <c r="F1679" s="1">
        <v>46166</v>
      </c>
      <c r="G1679" t="s">
        <v>64</v>
      </c>
      <c r="H1679">
        <v>3058</v>
      </c>
      <c r="I1679" t="s">
        <v>65</v>
      </c>
      <c r="J1679" t="b">
        <v>0</v>
      </c>
      <c r="K1679">
        <v>30</v>
      </c>
      <c r="L1679">
        <v>5</v>
      </c>
      <c r="M1679">
        <v>2026</v>
      </c>
      <c r="N1679">
        <v>6</v>
      </c>
      <c r="O1679">
        <v>4</v>
      </c>
      <c r="P1679">
        <v>2026</v>
      </c>
      <c r="Q1679">
        <v>4</v>
      </c>
      <c r="R1679" t="s">
        <v>66</v>
      </c>
      <c r="S1679" t="s">
        <v>41</v>
      </c>
      <c r="T1679" t="s">
        <v>123</v>
      </c>
      <c r="U1679" t="s">
        <v>66</v>
      </c>
      <c r="V1679" t="s">
        <v>131</v>
      </c>
      <c r="W1679" t="s">
        <v>132</v>
      </c>
      <c r="X1679" t="s">
        <v>45</v>
      </c>
      <c r="Y1679">
        <v>110</v>
      </c>
      <c r="Z1679" t="s">
        <v>46</v>
      </c>
      <c r="AA1679" t="s">
        <v>47</v>
      </c>
      <c r="AB1679" s="1">
        <v>46166</v>
      </c>
      <c r="AC1679" t="s">
        <v>66</v>
      </c>
      <c r="AD1679" t="s">
        <v>40</v>
      </c>
      <c r="AE1679" t="s">
        <v>69</v>
      </c>
      <c r="AF1679" t="s">
        <v>40</v>
      </c>
      <c r="AG1679">
        <v>0</v>
      </c>
      <c r="AH1679" t="s">
        <v>70</v>
      </c>
    </row>
    <row r="1680" spans="1:34" x14ac:dyDescent="0.3">
      <c r="A1680" t="s">
        <v>2391</v>
      </c>
      <c r="B1680" t="s">
        <v>385</v>
      </c>
      <c r="C1680" t="s">
        <v>36</v>
      </c>
      <c r="D1680" t="s">
        <v>90</v>
      </c>
      <c r="E1680" s="1">
        <v>46141</v>
      </c>
      <c r="F1680" s="1">
        <v>46155</v>
      </c>
      <c r="G1680" t="s">
        <v>38</v>
      </c>
      <c r="H1680">
        <v>3635</v>
      </c>
      <c r="I1680" t="s">
        <v>39</v>
      </c>
      <c r="J1680" t="b">
        <v>0</v>
      </c>
      <c r="K1680">
        <v>14</v>
      </c>
      <c r="L1680">
        <v>5</v>
      </c>
      <c r="M1680">
        <v>2026</v>
      </c>
      <c r="N1680">
        <v>2</v>
      </c>
      <c r="O1680">
        <v>4</v>
      </c>
      <c r="P1680">
        <v>2026</v>
      </c>
      <c r="Q1680">
        <v>2</v>
      </c>
      <c r="R1680" t="s">
        <v>40</v>
      </c>
      <c r="S1680" t="s">
        <v>55</v>
      </c>
      <c r="T1680" t="s">
        <v>286</v>
      </c>
      <c r="U1680" t="s">
        <v>66</v>
      </c>
      <c r="V1680" t="s">
        <v>43</v>
      </c>
      <c r="W1680" t="s">
        <v>44</v>
      </c>
      <c r="X1680" t="s">
        <v>45</v>
      </c>
      <c r="Y1680">
        <v>150</v>
      </c>
      <c r="Z1680" t="s">
        <v>93</v>
      </c>
      <c r="AA1680" t="s">
        <v>94</v>
      </c>
      <c r="AB1680" s="1">
        <v>46155</v>
      </c>
      <c r="AC1680" t="s">
        <v>40</v>
      </c>
      <c r="AD1680" t="s">
        <v>40</v>
      </c>
      <c r="AE1680" t="s">
        <v>69</v>
      </c>
      <c r="AF1680" t="s">
        <v>40</v>
      </c>
      <c r="AG1680">
        <v>0</v>
      </c>
      <c r="AH1680" t="s">
        <v>70</v>
      </c>
    </row>
    <row r="1681" spans="1:34" x14ac:dyDescent="0.3">
      <c r="A1681" t="s">
        <v>2392</v>
      </c>
      <c r="B1681" t="s">
        <v>1354</v>
      </c>
      <c r="C1681" t="s">
        <v>129</v>
      </c>
      <c r="D1681" t="s">
        <v>90</v>
      </c>
      <c r="E1681" s="1">
        <v>46089</v>
      </c>
      <c r="F1681" s="1">
        <v>46096</v>
      </c>
      <c r="G1681" t="s">
        <v>81</v>
      </c>
      <c r="H1681">
        <v>9171</v>
      </c>
      <c r="I1681" t="s">
        <v>39</v>
      </c>
      <c r="J1681" t="b">
        <v>0</v>
      </c>
      <c r="K1681">
        <v>7</v>
      </c>
      <c r="L1681">
        <v>3</v>
      </c>
      <c r="M1681">
        <v>2026</v>
      </c>
      <c r="N1681">
        <v>6</v>
      </c>
      <c r="O1681">
        <v>3</v>
      </c>
      <c r="P1681">
        <v>2026</v>
      </c>
      <c r="Q1681">
        <v>6</v>
      </c>
      <c r="R1681" t="s">
        <v>66</v>
      </c>
      <c r="S1681" t="s">
        <v>41</v>
      </c>
      <c r="T1681" t="s">
        <v>42</v>
      </c>
      <c r="U1681" t="s">
        <v>66</v>
      </c>
      <c r="V1681" t="s">
        <v>131</v>
      </c>
      <c r="W1681" t="s">
        <v>132</v>
      </c>
      <c r="X1681" t="s">
        <v>45</v>
      </c>
      <c r="Y1681">
        <v>110</v>
      </c>
      <c r="Z1681" t="s">
        <v>93</v>
      </c>
      <c r="AA1681" t="s">
        <v>94</v>
      </c>
      <c r="AB1681" s="1">
        <v>46096</v>
      </c>
      <c r="AC1681" t="s">
        <v>66</v>
      </c>
      <c r="AD1681" t="s">
        <v>40</v>
      </c>
      <c r="AE1681" t="s">
        <v>60</v>
      </c>
      <c r="AF1681" t="s">
        <v>40</v>
      </c>
      <c r="AG1681">
        <v>0</v>
      </c>
      <c r="AH1681" t="s">
        <v>100</v>
      </c>
    </row>
    <row r="1682" spans="1:34" x14ac:dyDescent="0.3">
      <c r="A1682" t="s">
        <v>2393</v>
      </c>
      <c r="B1682" t="s">
        <v>1739</v>
      </c>
      <c r="C1682" t="s">
        <v>79</v>
      </c>
      <c r="D1682" t="s">
        <v>80</v>
      </c>
      <c r="E1682" s="1">
        <v>46354</v>
      </c>
      <c r="F1682" s="1">
        <v>46454</v>
      </c>
      <c r="G1682" t="s">
        <v>41</v>
      </c>
      <c r="H1682">
        <v>8013</v>
      </c>
      <c r="I1682" t="s">
        <v>65</v>
      </c>
      <c r="J1682" t="b">
        <v>0</v>
      </c>
      <c r="K1682">
        <v>100</v>
      </c>
      <c r="L1682">
        <v>3</v>
      </c>
      <c r="M1682">
        <v>2027</v>
      </c>
      <c r="N1682">
        <v>0</v>
      </c>
      <c r="O1682">
        <v>11</v>
      </c>
      <c r="P1682">
        <v>2026</v>
      </c>
      <c r="Q1682">
        <v>5</v>
      </c>
      <c r="R1682" t="s">
        <v>40</v>
      </c>
      <c r="S1682" t="s">
        <v>67</v>
      </c>
      <c r="T1682" t="s">
        <v>42</v>
      </c>
      <c r="U1682" t="s">
        <v>66</v>
      </c>
      <c r="V1682" t="s">
        <v>82</v>
      </c>
      <c r="W1682" t="s">
        <v>83</v>
      </c>
      <c r="X1682" t="s">
        <v>76</v>
      </c>
      <c r="Y1682">
        <v>100</v>
      </c>
      <c r="Z1682" t="s">
        <v>84</v>
      </c>
      <c r="AA1682" t="s">
        <v>85</v>
      </c>
      <c r="AB1682" s="1"/>
      <c r="AC1682" t="s">
        <v>48</v>
      </c>
      <c r="AD1682" t="s">
        <v>48</v>
      </c>
      <c r="AE1682" t="s">
        <v>48</v>
      </c>
      <c r="AF1682" t="s">
        <v>48</v>
      </c>
      <c r="AG1682">
        <v>0</v>
      </c>
      <c r="AH1682" t="s">
        <v>49</v>
      </c>
    </row>
    <row r="1683" spans="1:34" x14ac:dyDescent="0.3">
      <c r="A1683" t="s">
        <v>2394</v>
      </c>
      <c r="B1683" t="s">
        <v>357</v>
      </c>
      <c r="C1683" t="s">
        <v>169</v>
      </c>
      <c r="D1683" t="s">
        <v>90</v>
      </c>
      <c r="E1683" s="1">
        <v>46331</v>
      </c>
      <c r="F1683" s="1">
        <v>46431</v>
      </c>
      <c r="G1683" t="s">
        <v>38</v>
      </c>
      <c r="H1683">
        <v>3576</v>
      </c>
      <c r="I1683" t="s">
        <v>54</v>
      </c>
      <c r="J1683" t="b">
        <v>0</v>
      </c>
      <c r="K1683">
        <v>100</v>
      </c>
      <c r="L1683">
        <v>2</v>
      </c>
      <c r="M1683">
        <v>2027</v>
      </c>
      <c r="N1683">
        <v>5</v>
      </c>
      <c r="O1683">
        <v>11</v>
      </c>
      <c r="P1683">
        <v>2026</v>
      </c>
      <c r="Q1683">
        <v>3</v>
      </c>
      <c r="R1683" t="s">
        <v>66</v>
      </c>
      <c r="S1683" t="s">
        <v>45</v>
      </c>
      <c r="T1683" t="s">
        <v>123</v>
      </c>
      <c r="U1683" t="s">
        <v>40</v>
      </c>
      <c r="V1683" t="s">
        <v>170</v>
      </c>
      <c r="W1683" t="s">
        <v>171</v>
      </c>
      <c r="X1683" t="s">
        <v>126</v>
      </c>
      <c r="Y1683">
        <v>90</v>
      </c>
      <c r="Z1683" t="s">
        <v>93</v>
      </c>
      <c r="AA1683" t="s">
        <v>94</v>
      </c>
      <c r="AB1683" s="1"/>
      <c r="AC1683" t="s">
        <v>48</v>
      </c>
      <c r="AD1683" t="s">
        <v>48</v>
      </c>
      <c r="AE1683" t="s">
        <v>48</v>
      </c>
      <c r="AF1683" t="s">
        <v>48</v>
      </c>
      <c r="AG1683">
        <v>1</v>
      </c>
      <c r="AH1683" t="s">
        <v>49</v>
      </c>
    </row>
    <row r="1684" spans="1:34" x14ac:dyDescent="0.3">
      <c r="A1684" t="s">
        <v>2395</v>
      </c>
      <c r="B1684" t="s">
        <v>2116</v>
      </c>
      <c r="C1684" t="s">
        <v>122</v>
      </c>
      <c r="D1684" t="s">
        <v>53</v>
      </c>
      <c r="E1684" s="1">
        <v>45912</v>
      </c>
      <c r="F1684" s="1">
        <v>45913</v>
      </c>
      <c r="G1684" t="s">
        <v>81</v>
      </c>
      <c r="H1684">
        <v>6981</v>
      </c>
      <c r="I1684" t="s">
        <v>39</v>
      </c>
      <c r="J1684" t="b">
        <v>0</v>
      </c>
      <c r="K1684">
        <v>1</v>
      </c>
      <c r="L1684">
        <v>9</v>
      </c>
      <c r="M1684">
        <v>2025</v>
      </c>
      <c r="N1684">
        <v>5</v>
      </c>
      <c r="O1684">
        <v>9</v>
      </c>
      <c r="P1684">
        <v>2025</v>
      </c>
      <c r="Q1684">
        <v>4</v>
      </c>
      <c r="R1684" t="s">
        <v>66</v>
      </c>
      <c r="S1684" t="s">
        <v>55</v>
      </c>
      <c r="T1684" t="s">
        <v>42</v>
      </c>
      <c r="U1684" t="s">
        <v>40</v>
      </c>
      <c r="V1684" t="s">
        <v>124</v>
      </c>
      <c r="W1684" t="s">
        <v>125</v>
      </c>
      <c r="X1684" t="s">
        <v>126</v>
      </c>
      <c r="Y1684">
        <v>85</v>
      </c>
      <c r="Z1684" t="s">
        <v>58</v>
      </c>
      <c r="AA1684" t="s">
        <v>59</v>
      </c>
      <c r="AB1684" s="1">
        <v>45913</v>
      </c>
      <c r="AC1684" t="s">
        <v>66</v>
      </c>
      <c r="AD1684" t="s">
        <v>40</v>
      </c>
      <c r="AE1684" t="s">
        <v>60</v>
      </c>
      <c r="AF1684" t="s">
        <v>40</v>
      </c>
      <c r="AG1684">
        <v>0</v>
      </c>
      <c r="AH1684" t="s">
        <v>100</v>
      </c>
    </row>
    <row r="1685" spans="1:34" x14ac:dyDescent="0.3">
      <c r="A1685" t="s">
        <v>2396</v>
      </c>
      <c r="B1685" t="s">
        <v>1093</v>
      </c>
      <c r="C1685" t="s">
        <v>169</v>
      </c>
      <c r="D1685" t="s">
        <v>90</v>
      </c>
      <c r="E1685" s="1">
        <v>46042</v>
      </c>
      <c r="F1685" s="1">
        <v>46049</v>
      </c>
      <c r="G1685" t="s">
        <v>81</v>
      </c>
      <c r="H1685">
        <v>8321</v>
      </c>
      <c r="I1685" t="s">
        <v>65</v>
      </c>
      <c r="J1685" t="b">
        <v>0</v>
      </c>
      <c r="K1685">
        <v>7</v>
      </c>
      <c r="L1685">
        <v>1</v>
      </c>
      <c r="M1685">
        <v>2026</v>
      </c>
      <c r="N1685">
        <v>1</v>
      </c>
      <c r="O1685">
        <v>1</v>
      </c>
      <c r="P1685">
        <v>2026</v>
      </c>
      <c r="Q1685">
        <v>1</v>
      </c>
      <c r="R1685" t="s">
        <v>40</v>
      </c>
      <c r="S1685" t="s">
        <v>55</v>
      </c>
      <c r="T1685" t="s">
        <v>42</v>
      </c>
      <c r="U1685" t="s">
        <v>40</v>
      </c>
      <c r="V1685" t="s">
        <v>170</v>
      </c>
      <c r="W1685" t="s">
        <v>171</v>
      </c>
      <c r="X1685" t="s">
        <v>126</v>
      </c>
      <c r="Y1685">
        <v>90</v>
      </c>
      <c r="Z1685" t="s">
        <v>93</v>
      </c>
      <c r="AA1685" t="s">
        <v>94</v>
      </c>
      <c r="AB1685" s="1">
        <v>46049</v>
      </c>
      <c r="AC1685" t="s">
        <v>40</v>
      </c>
      <c r="AD1685" t="s">
        <v>40</v>
      </c>
      <c r="AE1685" t="s">
        <v>86</v>
      </c>
      <c r="AF1685" t="s">
        <v>40</v>
      </c>
      <c r="AG1685">
        <v>0</v>
      </c>
      <c r="AH1685" t="s">
        <v>100</v>
      </c>
    </row>
    <row r="1686" spans="1:34" x14ac:dyDescent="0.3">
      <c r="A1686" t="s">
        <v>2397</v>
      </c>
      <c r="B1686" t="s">
        <v>981</v>
      </c>
      <c r="C1686" t="s">
        <v>122</v>
      </c>
      <c r="D1686" t="s">
        <v>53</v>
      </c>
      <c r="E1686" s="1">
        <v>45943</v>
      </c>
      <c r="F1686" s="1">
        <v>46003</v>
      </c>
      <c r="G1686" t="s">
        <v>38</v>
      </c>
      <c r="H1686">
        <v>4614</v>
      </c>
      <c r="I1686" t="s">
        <v>65</v>
      </c>
      <c r="J1686" t="b">
        <v>0</v>
      </c>
      <c r="K1686">
        <v>60</v>
      </c>
      <c r="L1686">
        <v>12</v>
      </c>
      <c r="M1686">
        <v>2025</v>
      </c>
      <c r="N1686">
        <v>4</v>
      </c>
      <c r="O1686">
        <v>10</v>
      </c>
      <c r="P1686">
        <v>2025</v>
      </c>
      <c r="Q1686">
        <v>0</v>
      </c>
      <c r="R1686" t="s">
        <v>40</v>
      </c>
      <c r="S1686" t="s">
        <v>55</v>
      </c>
      <c r="T1686" t="s">
        <v>42</v>
      </c>
      <c r="U1686" t="s">
        <v>40</v>
      </c>
      <c r="V1686" t="s">
        <v>124</v>
      </c>
      <c r="W1686" t="s">
        <v>125</v>
      </c>
      <c r="X1686" t="s">
        <v>126</v>
      </c>
      <c r="Y1686">
        <v>85</v>
      </c>
      <c r="Z1686" t="s">
        <v>58</v>
      </c>
      <c r="AA1686" t="s">
        <v>59</v>
      </c>
      <c r="AB1686" s="1">
        <v>46003</v>
      </c>
      <c r="AC1686" t="s">
        <v>40</v>
      </c>
      <c r="AD1686" t="s">
        <v>40</v>
      </c>
      <c r="AE1686" t="s">
        <v>69</v>
      </c>
      <c r="AF1686" t="s">
        <v>40</v>
      </c>
      <c r="AG1686">
        <v>0</v>
      </c>
      <c r="AH1686" t="s">
        <v>61</v>
      </c>
    </row>
    <row r="1687" spans="1:34" x14ac:dyDescent="0.3">
      <c r="A1687" t="s">
        <v>2398</v>
      </c>
      <c r="B1687" t="s">
        <v>2239</v>
      </c>
      <c r="C1687" t="s">
        <v>122</v>
      </c>
      <c r="D1687" t="s">
        <v>90</v>
      </c>
      <c r="E1687" s="1">
        <v>46188</v>
      </c>
      <c r="F1687" s="1">
        <v>46202</v>
      </c>
      <c r="G1687" t="s">
        <v>41</v>
      </c>
      <c r="H1687">
        <v>5945</v>
      </c>
      <c r="I1687" t="s">
        <v>65</v>
      </c>
      <c r="J1687" t="b">
        <v>0</v>
      </c>
      <c r="K1687">
        <v>14</v>
      </c>
      <c r="L1687">
        <v>6</v>
      </c>
      <c r="M1687">
        <v>2026</v>
      </c>
      <c r="N1687">
        <v>0</v>
      </c>
      <c r="O1687">
        <v>6</v>
      </c>
      <c r="P1687">
        <v>2026</v>
      </c>
      <c r="Q1687">
        <v>0</v>
      </c>
      <c r="R1687" t="s">
        <v>40</v>
      </c>
      <c r="S1687" t="s">
        <v>41</v>
      </c>
      <c r="T1687" t="s">
        <v>113</v>
      </c>
      <c r="U1687" t="s">
        <v>66</v>
      </c>
      <c r="V1687" t="s">
        <v>124</v>
      </c>
      <c r="W1687" t="s">
        <v>125</v>
      </c>
      <c r="X1687" t="s">
        <v>126</v>
      </c>
      <c r="Y1687">
        <v>85</v>
      </c>
      <c r="Z1687" t="s">
        <v>93</v>
      </c>
      <c r="AA1687" t="s">
        <v>94</v>
      </c>
      <c r="AB1687" s="1">
        <v>46202</v>
      </c>
      <c r="AC1687" t="s">
        <v>40</v>
      </c>
      <c r="AD1687" t="s">
        <v>40</v>
      </c>
      <c r="AE1687" t="s">
        <v>60</v>
      </c>
      <c r="AF1687" t="s">
        <v>40</v>
      </c>
      <c r="AG1687">
        <v>0</v>
      </c>
      <c r="AH1687" t="s">
        <v>70</v>
      </c>
    </row>
    <row r="1688" spans="1:34" x14ac:dyDescent="0.3">
      <c r="A1688" t="s">
        <v>2399</v>
      </c>
      <c r="B1688" t="s">
        <v>1062</v>
      </c>
      <c r="C1688" t="s">
        <v>155</v>
      </c>
      <c r="D1688" t="s">
        <v>80</v>
      </c>
      <c r="E1688" s="1">
        <v>46075</v>
      </c>
      <c r="F1688" s="1">
        <v>46082</v>
      </c>
      <c r="G1688" t="s">
        <v>64</v>
      </c>
      <c r="H1688">
        <v>2963</v>
      </c>
      <c r="I1688" t="s">
        <v>65</v>
      </c>
      <c r="J1688" t="b">
        <v>0</v>
      </c>
      <c r="K1688">
        <v>7</v>
      </c>
      <c r="L1688">
        <v>3</v>
      </c>
      <c r="M1688">
        <v>2026</v>
      </c>
      <c r="N1688">
        <v>6</v>
      </c>
      <c r="O1688">
        <v>2</v>
      </c>
      <c r="P1688">
        <v>2026</v>
      </c>
      <c r="Q1688">
        <v>6</v>
      </c>
      <c r="R1688" t="s">
        <v>66</v>
      </c>
      <c r="S1688" t="s">
        <v>41</v>
      </c>
      <c r="T1688" t="s">
        <v>42</v>
      </c>
      <c r="U1688" t="s">
        <v>40</v>
      </c>
      <c r="V1688" t="s">
        <v>156</v>
      </c>
      <c r="W1688" t="s">
        <v>157</v>
      </c>
      <c r="X1688" t="s">
        <v>158</v>
      </c>
      <c r="Y1688">
        <v>70</v>
      </c>
      <c r="Z1688" t="s">
        <v>84</v>
      </c>
      <c r="AA1688" t="s">
        <v>85</v>
      </c>
      <c r="AB1688" s="1">
        <v>46082</v>
      </c>
      <c r="AC1688" t="s">
        <v>66</v>
      </c>
      <c r="AD1688" t="s">
        <v>40</v>
      </c>
      <c r="AE1688" t="s">
        <v>60</v>
      </c>
      <c r="AF1688" t="s">
        <v>40</v>
      </c>
      <c r="AG1688">
        <v>0</v>
      </c>
      <c r="AH1688" t="s">
        <v>100</v>
      </c>
    </row>
    <row r="1689" spans="1:34" x14ac:dyDescent="0.3">
      <c r="A1689" t="s">
        <v>2400</v>
      </c>
      <c r="B1689" t="s">
        <v>649</v>
      </c>
      <c r="C1689" t="s">
        <v>103</v>
      </c>
      <c r="D1689" t="s">
        <v>104</v>
      </c>
      <c r="E1689" s="1">
        <v>45732</v>
      </c>
      <c r="F1689" s="1">
        <v>45882</v>
      </c>
      <c r="G1689" t="s">
        <v>41</v>
      </c>
      <c r="H1689">
        <v>7499</v>
      </c>
      <c r="I1689" t="s">
        <v>212</v>
      </c>
      <c r="J1689" t="b">
        <v>0</v>
      </c>
      <c r="K1689">
        <v>150</v>
      </c>
      <c r="L1689">
        <v>8</v>
      </c>
      <c r="M1689">
        <v>2025</v>
      </c>
      <c r="N1689">
        <v>2</v>
      </c>
      <c r="O1689">
        <v>3</v>
      </c>
      <c r="P1689">
        <v>2025</v>
      </c>
      <c r="Q1689">
        <v>6</v>
      </c>
      <c r="R1689" t="s">
        <v>40</v>
      </c>
      <c r="S1689" t="s">
        <v>45</v>
      </c>
      <c r="T1689" t="s">
        <v>286</v>
      </c>
      <c r="U1689" t="s">
        <v>40</v>
      </c>
      <c r="V1689" t="s">
        <v>105</v>
      </c>
      <c r="W1689" t="s">
        <v>106</v>
      </c>
      <c r="X1689" t="s">
        <v>45</v>
      </c>
      <c r="Y1689">
        <v>140</v>
      </c>
      <c r="Z1689" t="s">
        <v>107</v>
      </c>
      <c r="AA1689" t="s">
        <v>108</v>
      </c>
      <c r="AB1689" s="1">
        <v>45882</v>
      </c>
      <c r="AC1689" t="s">
        <v>40</v>
      </c>
      <c r="AD1689" t="s">
        <v>40</v>
      </c>
      <c r="AE1689" t="s">
        <v>86</v>
      </c>
      <c r="AF1689" t="s">
        <v>40</v>
      </c>
      <c r="AG1689">
        <v>0</v>
      </c>
      <c r="AH1689" t="s">
        <v>49</v>
      </c>
    </row>
    <row r="1690" spans="1:34" x14ac:dyDescent="0.3">
      <c r="A1690" t="s">
        <v>2401</v>
      </c>
      <c r="B1690" t="s">
        <v>2402</v>
      </c>
      <c r="C1690" t="s">
        <v>155</v>
      </c>
      <c r="D1690" t="s">
        <v>37</v>
      </c>
      <c r="E1690" s="1">
        <v>46275</v>
      </c>
      <c r="F1690" s="1">
        <v>46335</v>
      </c>
      <c r="G1690" t="s">
        <v>38</v>
      </c>
      <c r="H1690">
        <v>5764</v>
      </c>
      <c r="I1690" t="s">
        <v>39</v>
      </c>
      <c r="J1690" t="b">
        <v>0</v>
      </c>
      <c r="K1690">
        <v>60</v>
      </c>
      <c r="L1690">
        <v>11</v>
      </c>
      <c r="M1690">
        <v>2026</v>
      </c>
      <c r="N1690">
        <v>0</v>
      </c>
      <c r="O1690">
        <v>9</v>
      </c>
      <c r="P1690">
        <v>2026</v>
      </c>
      <c r="Q1690">
        <v>3</v>
      </c>
      <c r="R1690" t="s">
        <v>40</v>
      </c>
      <c r="S1690" t="s">
        <v>45</v>
      </c>
      <c r="T1690" t="s">
        <v>139</v>
      </c>
      <c r="U1690" t="s">
        <v>40</v>
      </c>
      <c r="V1690" t="s">
        <v>156</v>
      </c>
      <c r="W1690" t="s">
        <v>157</v>
      </c>
      <c r="X1690" t="s">
        <v>158</v>
      </c>
      <c r="Y1690">
        <v>70</v>
      </c>
      <c r="Z1690" t="s">
        <v>46</v>
      </c>
      <c r="AA1690" t="s">
        <v>47</v>
      </c>
      <c r="AB1690" s="1">
        <v>46335</v>
      </c>
      <c r="AC1690" t="s">
        <v>40</v>
      </c>
      <c r="AD1690" t="s">
        <v>40</v>
      </c>
      <c r="AE1690" t="s">
        <v>86</v>
      </c>
      <c r="AF1690" t="s">
        <v>40</v>
      </c>
      <c r="AG1690">
        <v>0</v>
      </c>
      <c r="AH1690" t="s">
        <v>61</v>
      </c>
    </row>
    <row r="1691" spans="1:34" x14ac:dyDescent="0.3">
      <c r="A1691" t="s">
        <v>2403</v>
      </c>
      <c r="B1691" t="s">
        <v>209</v>
      </c>
      <c r="C1691" t="s">
        <v>122</v>
      </c>
      <c r="D1691" t="s">
        <v>80</v>
      </c>
      <c r="E1691" s="1">
        <v>45849</v>
      </c>
      <c r="F1691" s="1">
        <v>45863</v>
      </c>
      <c r="G1691" t="s">
        <v>41</v>
      </c>
      <c r="H1691">
        <v>6043</v>
      </c>
      <c r="I1691" t="s">
        <v>54</v>
      </c>
      <c r="J1691" t="b">
        <v>0</v>
      </c>
      <c r="K1691">
        <v>14</v>
      </c>
      <c r="L1691">
        <v>7</v>
      </c>
      <c r="M1691">
        <v>2025</v>
      </c>
      <c r="N1691">
        <v>4</v>
      </c>
      <c r="O1691">
        <v>7</v>
      </c>
      <c r="P1691">
        <v>2025</v>
      </c>
      <c r="Q1691">
        <v>4</v>
      </c>
      <c r="R1691" t="s">
        <v>40</v>
      </c>
      <c r="S1691" t="s">
        <v>55</v>
      </c>
      <c r="T1691" t="s">
        <v>113</v>
      </c>
      <c r="U1691" t="s">
        <v>40</v>
      </c>
      <c r="V1691" t="s">
        <v>124</v>
      </c>
      <c r="W1691" t="s">
        <v>125</v>
      </c>
      <c r="X1691" t="s">
        <v>126</v>
      </c>
      <c r="Y1691">
        <v>85</v>
      </c>
      <c r="Z1691" t="s">
        <v>84</v>
      </c>
      <c r="AA1691" t="s">
        <v>85</v>
      </c>
      <c r="AB1691" s="1">
        <v>45863</v>
      </c>
      <c r="AC1691" t="s">
        <v>40</v>
      </c>
      <c r="AD1691" t="s">
        <v>40</v>
      </c>
      <c r="AE1691" t="s">
        <v>86</v>
      </c>
      <c r="AF1691" t="s">
        <v>40</v>
      </c>
      <c r="AG1691">
        <v>1</v>
      </c>
      <c r="AH1691" t="s">
        <v>70</v>
      </c>
    </row>
    <row r="1692" spans="1:34" x14ac:dyDescent="0.3">
      <c r="A1692" t="s">
        <v>2404</v>
      </c>
      <c r="B1692" t="s">
        <v>673</v>
      </c>
      <c r="C1692" t="s">
        <v>155</v>
      </c>
      <c r="D1692" t="s">
        <v>90</v>
      </c>
      <c r="E1692" s="1">
        <v>45755</v>
      </c>
      <c r="F1692" s="1">
        <v>45769</v>
      </c>
      <c r="G1692" t="s">
        <v>38</v>
      </c>
      <c r="H1692">
        <v>20665</v>
      </c>
      <c r="I1692" t="s">
        <v>39</v>
      </c>
      <c r="J1692" t="b">
        <v>0</v>
      </c>
      <c r="K1692">
        <v>14</v>
      </c>
      <c r="L1692">
        <v>4</v>
      </c>
      <c r="M1692">
        <v>2025</v>
      </c>
      <c r="N1692">
        <v>1</v>
      </c>
      <c r="O1692">
        <v>4</v>
      </c>
      <c r="P1692">
        <v>2025</v>
      </c>
      <c r="Q1692">
        <v>1</v>
      </c>
      <c r="R1692" t="s">
        <v>40</v>
      </c>
      <c r="S1692" t="s">
        <v>55</v>
      </c>
      <c r="T1692" t="s">
        <v>42</v>
      </c>
      <c r="U1692" t="s">
        <v>40</v>
      </c>
      <c r="V1692" t="s">
        <v>156</v>
      </c>
      <c r="W1692" t="s">
        <v>157</v>
      </c>
      <c r="X1692" t="s">
        <v>158</v>
      </c>
      <c r="Y1692">
        <v>70</v>
      </c>
      <c r="Z1692" t="s">
        <v>93</v>
      </c>
      <c r="AA1692" t="s">
        <v>94</v>
      </c>
      <c r="AB1692" s="1">
        <v>45769</v>
      </c>
      <c r="AC1692" t="s">
        <v>40</v>
      </c>
      <c r="AD1692" t="s">
        <v>40</v>
      </c>
      <c r="AE1692" t="s">
        <v>69</v>
      </c>
      <c r="AF1692" t="s">
        <v>40</v>
      </c>
      <c r="AG1692">
        <v>0</v>
      </c>
      <c r="AH1692" t="s">
        <v>70</v>
      </c>
    </row>
    <row r="1693" spans="1:34" x14ac:dyDescent="0.3">
      <c r="A1693" t="s">
        <v>2405</v>
      </c>
      <c r="B1693" t="s">
        <v>591</v>
      </c>
      <c r="C1693" t="s">
        <v>129</v>
      </c>
      <c r="D1693" t="s">
        <v>37</v>
      </c>
      <c r="E1693" s="1">
        <v>46135</v>
      </c>
      <c r="F1693" s="1">
        <v>46285</v>
      </c>
      <c r="G1693" t="s">
        <v>38</v>
      </c>
      <c r="H1693">
        <v>3775</v>
      </c>
      <c r="I1693" t="s">
        <v>54</v>
      </c>
      <c r="J1693" t="b">
        <v>0</v>
      </c>
      <c r="K1693">
        <v>150</v>
      </c>
      <c r="L1693">
        <v>9</v>
      </c>
      <c r="M1693">
        <v>2026</v>
      </c>
      <c r="N1693">
        <v>6</v>
      </c>
      <c r="O1693">
        <v>4</v>
      </c>
      <c r="P1693">
        <v>2026</v>
      </c>
      <c r="Q1693">
        <v>3</v>
      </c>
      <c r="R1693" t="s">
        <v>66</v>
      </c>
      <c r="S1693" t="s">
        <v>67</v>
      </c>
      <c r="T1693" t="s">
        <v>42</v>
      </c>
      <c r="U1693" t="s">
        <v>40</v>
      </c>
      <c r="V1693" t="s">
        <v>131</v>
      </c>
      <c r="W1693" t="s">
        <v>132</v>
      </c>
      <c r="X1693" t="s">
        <v>45</v>
      </c>
      <c r="Y1693">
        <v>110</v>
      </c>
      <c r="Z1693" t="s">
        <v>46</v>
      </c>
      <c r="AA1693" t="s">
        <v>47</v>
      </c>
      <c r="AB1693" s="1">
        <v>46285</v>
      </c>
      <c r="AC1693" t="s">
        <v>66</v>
      </c>
      <c r="AD1693" t="s">
        <v>40</v>
      </c>
      <c r="AE1693" t="s">
        <v>60</v>
      </c>
      <c r="AF1693" t="s">
        <v>40</v>
      </c>
      <c r="AG1693">
        <v>1</v>
      </c>
      <c r="AH1693" t="s">
        <v>49</v>
      </c>
    </row>
    <row r="1694" spans="1:34" x14ac:dyDescent="0.3">
      <c r="A1694" t="s">
        <v>2406</v>
      </c>
      <c r="B1694" t="s">
        <v>713</v>
      </c>
      <c r="C1694" t="s">
        <v>169</v>
      </c>
      <c r="D1694" t="s">
        <v>37</v>
      </c>
      <c r="E1694" s="1">
        <v>46235</v>
      </c>
      <c r="F1694" s="1">
        <v>46236</v>
      </c>
      <c r="G1694" t="s">
        <v>81</v>
      </c>
      <c r="H1694">
        <v>10731</v>
      </c>
      <c r="I1694" t="s">
        <v>65</v>
      </c>
      <c r="J1694" t="b">
        <v>0</v>
      </c>
      <c r="K1694">
        <v>1</v>
      </c>
      <c r="L1694">
        <v>8</v>
      </c>
      <c r="M1694">
        <v>2026</v>
      </c>
      <c r="N1694">
        <v>6</v>
      </c>
      <c r="O1694">
        <v>8</v>
      </c>
      <c r="P1694">
        <v>2026</v>
      </c>
      <c r="Q1694">
        <v>5</v>
      </c>
      <c r="R1694" t="s">
        <v>66</v>
      </c>
      <c r="S1694" t="s">
        <v>41</v>
      </c>
      <c r="T1694" t="s">
        <v>42</v>
      </c>
      <c r="U1694" t="s">
        <v>66</v>
      </c>
      <c r="V1694" t="s">
        <v>170</v>
      </c>
      <c r="W1694" t="s">
        <v>171</v>
      </c>
      <c r="X1694" t="s">
        <v>126</v>
      </c>
      <c r="Y1694">
        <v>90</v>
      </c>
      <c r="Z1694" t="s">
        <v>46</v>
      </c>
      <c r="AA1694" t="s">
        <v>47</v>
      </c>
      <c r="AB1694" s="1">
        <v>46236</v>
      </c>
      <c r="AC1694" t="s">
        <v>66</v>
      </c>
      <c r="AD1694" t="s">
        <v>40</v>
      </c>
      <c r="AE1694" t="s">
        <v>86</v>
      </c>
      <c r="AF1694" t="s">
        <v>40</v>
      </c>
      <c r="AG1694">
        <v>0</v>
      </c>
      <c r="AH1694" t="s">
        <v>100</v>
      </c>
    </row>
    <row r="1695" spans="1:34" x14ac:dyDescent="0.3">
      <c r="A1695" t="s">
        <v>2407</v>
      </c>
      <c r="B1695" t="s">
        <v>285</v>
      </c>
      <c r="C1695" t="s">
        <v>122</v>
      </c>
      <c r="D1695" t="s">
        <v>90</v>
      </c>
      <c r="E1695" s="1">
        <v>45691</v>
      </c>
      <c r="F1695" s="1">
        <v>45721</v>
      </c>
      <c r="G1695" t="s">
        <v>41</v>
      </c>
      <c r="H1695">
        <v>5654</v>
      </c>
      <c r="I1695" t="s">
        <v>65</v>
      </c>
      <c r="J1695" t="b">
        <v>0</v>
      </c>
      <c r="K1695">
        <v>30</v>
      </c>
      <c r="L1695">
        <v>3</v>
      </c>
      <c r="M1695">
        <v>2025</v>
      </c>
      <c r="N1695">
        <v>2</v>
      </c>
      <c r="O1695">
        <v>2</v>
      </c>
      <c r="P1695">
        <v>2025</v>
      </c>
      <c r="Q1695">
        <v>0</v>
      </c>
      <c r="R1695" t="s">
        <v>40</v>
      </c>
      <c r="S1695" t="s">
        <v>45</v>
      </c>
      <c r="T1695" t="s">
        <v>286</v>
      </c>
      <c r="U1695" t="s">
        <v>40</v>
      </c>
      <c r="V1695" t="s">
        <v>124</v>
      </c>
      <c r="W1695" t="s">
        <v>125</v>
      </c>
      <c r="X1695" t="s">
        <v>126</v>
      </c>
      <c r="Y1695">
        <v>85</v>
      </c>
      <c r="Z1695" t="s">
        <v>93</v>
      </c>
      <c r="AA1695" t="s">
        <v>94</v>
      </c>
      <c r="AB1695" s="1">
        <v>45721</v>
      </c>
      <c r="AC1695" t="s">
        <v>40</v>
      </c>
      <c r="AD1695" t="s">
        <v>40</v>
      </c>
      <c r="AE1695" t="s">
        <v>60</v>
      </c>
      <c r="AF1695" t="s">
        <v>40</v>
      </c>
      <c r="AG1695">
        <v>0</v>
      </c>
      <c r="AH1695" t="s">
        <v>70</v>
      </c>
    </row>
    <row r="1696" spans="1:34" x14ac:dyDescent="0.3">
      <c r="A1696" t="s">
        <v>2408</v>
      </c>
      <c r="B1696" t="s">
        <v>718</v>
      </c>
      <c r="C1696" t="s">
        <v>52</v>
      </c>
      <c r="D1696" t="s">
        <v>53</v>
      </c>
      <c r="E1696" s="1">
        <v>46293</v>
      </c>
      <c r="F1696" s="1">
        <v>46443</v>
      </c>
      <c r="G1696" t="s">
        <v>38</v>
      </c>
      <c r="H1696">
        <v>4248</v>
      </c>
      <c r="I1696" t="s">
        <v>54</v>
      </c>
      <c r="J1696" t="b">
        <v>0</v>
      </c>
      <c r="K1696">
        <v>150</v>
      </c>
      <c r="L1696">
        <v>2</v>
      </c>
      <c r="M1696">
        <v>2027</v>
      </c>
      <c r="N1696">
        <v>3</v>
      </c>
      <c r="O1696">
        <v>9</v>
      </c>
      <c r="P1696">
        <v>2026</v>
      </c>
      <c r="Q1696">
        <v>0</v>
      </c>
      <c r="R1696" t="s">
        <v>40</v>
      </c>
      <c r="S1696" t="s">
        <v>45</v>
      </c>
      <c r="T1696" t="s">
        <v>42</v>
      </c>
      <c r="U1696" t="s">
        <v>40</v>
      </c>
      <c r="V1696" t="s">
        <v>56</v>
      </c>
      <c r="W1696" t="s">
        <v>57</v>
      </c>
      <c r="X1696" t="s">
        <v>45</v>
      </c>
      <c r="Y1696">
        <v>120</v>
      </c>
      <c r="Z1696" t="s">
        <v>58</v>
      </c>
      <c r="AA1696" t="s">
        <v>59</v>
      </c>
      <c r="AB1696" s="1"/>
      <c r="AC1696" t="s">
        <v>48</v>
      </c>
      <c r="AD1696" t="s">
        <v>48</v>
      </c>
      <c r="AE1696" t="s">
        <v>48</v>
      </c>
      <c r="AF1696" t="s">
        <v>48</v>
      </c>
      <c r="AG1696">
        <v>1</v>
      </c>
      <c r="AH1696" t="s">
        <v>49</v>
      </c>
    </row>
    <row r="1697" spans="1:34" x14ac:dyDescent="0.3">
      <c r="A1697" t="s">
        <v>2409</v>
      </c>
      <c r="B1697" t="s">
        <v>612</v>
      </c>
      <c r="C1697" t="s">
        <v>146</v>
      </c>
      <c r="D1697" t="s">
        <v>130</v>
      </c>
      <c r="E1697" s="1">
        <v>46322</v>
      </c>
      <c r="F1697" s="1">
        <v>46542</v>
      </c>
      <c r="G1697" t="s">
        <v>81</v>
      </c>
      <c r="H1697">
        <v>6535</v>
      </c>
      <c r="I1697" t="s">
        <v>39</v>
      </c>
      <c r="J1697" t="b">
        <v>0</v>
      </c>
      <c r="K1697">
        <v>220</v>
      </c>
      <c r="L1697">
        <v>6</v>
      </c>
      <c r="M1697">
        <v>2027</v>
      </c>
      <c r="N1697">
        <v>4</v>
      </c>
      <c r="O1697">
        <v>10</v>
      </c>
      <c r="P1697">
        <v>2026</v>
      </c>
      <c r="Q1697">
        <v>1</v>
      </c>
      <c r="R1697" t="s">
        <v>40</v>
      </c>
      <c r="S1697" t="s">
        <v>41</v>
      </c>
      <c r="T1697" t="s">
        <v>42</v>
      </c>
      <c r="U1697" t="s">
        <v>66</v>
      </c>
      <c r="V1697" t="s">
        <v>147</v>
      </c>
      <c r="W1697" t="s">
        <v>148</v>
      </c>
      <c r="X1697" t="s">
        <v>45</v>
      </c>
      <c r="Y1697">
        <v>160</v>
      </c>
      <c r="Z1697" t="s">
        <v>133</v>
      </c>
      <c r="AA1697" t="s">
        <v>134</v>
      </c>
      <c r="AB1697" s="1"/>
      <c r="AC1697" t="s">
        <v>48</v>
      </c>
      <c r="AD1697" t="s">
        <v>48</v>
      </c>
      <c r="AE1697" t="s">
        <v>48</v>
      </c>
      <c r="AF1697" t="s">
        <v>48</v>
      </c>
      <c r="AG1697">
        <v>0</v>
      </c>
      <c r="AH1697" t="s">
        <v>142</v>
      </c>
    </row>
    <row r="1698" spans="1:34" x14ac:dyDescent="0.3">
      <c r="A1698" t="s">
        <v>2410</v>
      </c>
      <c r="B1698" t="s">
        <v>2155</v>
      </c>
      <c r="C1698" t="s">
        <v>122</v>
      </c>
      <c r="D1698" t="s">
        <v>80</v>
      </c>
      <c r="E1698" s="1">
        <v>46076</v>
      </c>
      <c r="F1698" s="1">
        <v>46090</v>
      </c>
      <c r="G1698" t="s">
        <v>41</v>
      </c>
      <c r="H1698">
        <v>8103</v>
      </c>
      <c r="I1698" t="s">
        <v>39</v>
      </c>
      <c r="J1698" t="b">
        <v>0</v>
      </c>
      <c r="K1698">
        <v>14</v>
      </c>
      <c r="L1698">
        <v>3</v>
      </c>
      <c r="M1698">
        <v>2026</v>
      </c>
      <c r="N1698">
        <v>0</v>
      </c>
      <c r="O1698">
        <v>2</v>
      </c>
      <c r="P1698">
        <v>2026</v>
      </c>
      <c r="Q1698">
        <v>0</v>
      </c>
      <c r="R1698" t="s">
        <v>40</v>
      </c>
      <c r="S1698" t="s">
        <v>67</v>
      </c>
      <c r="T1698" t="s">
        <v>42</v>
      </c>
      <c r="U1698" t="s">
        <v>40</v>
      </c>
      <c r="V1698" t="s">
        <v>124</v>
      </c>
      <c r="W1698" t="s">
        <v>125</v>
      </c>
      <c r="X1698" t="s">
        <v>126</v>
      </c>
      <c r="Y1698">
        <v>85</v>
      </c>
      <c r="Z1698" t="s">
        <v>84</v>
      </c>
      <c r="AA1698" t="s">
        <v>85</v>
      </c>
      <c r="AB1698" s="1">
        <v>46090</v>
      </c>
      <c r="AC1698" t="s">
        <v>40</v>
      </c>
      <c r="AD1698" t="s">
        <v>40</v>
      </c>
      <c r="AE1698" t="s">
        <v>60</v>
      </c>
      <c r="AF1698" t="s">
        <v>40</v>
      </c>
      <c r="AG1698">
        <v>0</v>
      </c>
      <c r="AH1698" t="s">
        <v>70</v>
      </c>
    </row>
    <row r="1699" spans="1:34" x14ac:dyDescent="0.3">
      <c r="A1699" t="s">
        <v>2411</v>
      </c>
      <c r="B1699" t="s">
        <v>822</v>
      </c>
      <c r="C1699" t="s">
        <v>52</v>
      </c>
      <c r="D1699" t="s">
        <v>53</v>
      </c>
      <c r="E1699" s="1">
        <v>45911</v>
      </c>
      <c r="F1699" s="1">
        <v>45971</v>
      </c>
      <c r="G1699" t="s">
        <v>81</v>
      </c>
      <c r="H1699">
        <v>7838</v>
      </c>
      <c r="I1699" t="s">
        <v>54</v>
      </c>
      <c r="J1699" t="b">
        <v>0</v>
      </c>
      <c r="K1699">
        <v>60</v>
      </c>
      <c r="L1699">
        <v>11</v>
      </c>
      <c r="M1699">
        <v>2025</v>
      </c>
      <c r="N1699">
        <v>0</v>
      </c>
      <c r="O1699">
        <v>9</v>
      </c>
      <c r="P1699">
        <v>2025</v>
      </c>
      <c r="Q1699">
        <v>3</v>
      </c>
      <c r="R1699" t="s">
        <v>40</v>
      </c>
      <c r="S1699" t="s">
        <v>45</v>
      </c>
      <c r="T1699" t="s">
        <v>42</v>
      </c>
      <c r="U1699" t="s">
        <v>40</v>
      </c>
      <c r="V1699" t="s">
        <v>56</v>
      </c>
      <c r="W1699" t="s">
        <v>57</v>
      </c>
      <c r="X1699" t="s">
        <v>45</v>
      </c>
      <c r="Y1699">
        <v>120</v>
      </c>
      <c r="Z1699" t="s">
        <v>58</v>
      </c>
      <c r="AA1699" t="s">
        <v>59</v>
      </c>
      <c r="AB1699" s="1">
        <v>45971</v>
      </c>
      <c r="AC1699" t="s">
        <v>40</v>
      </c>
      <c r="AD1699" t="s">
        <v>40</v>
      </c>
      <c r="AE1699" t="s">
        <v>86</v>
      </c>
      <c r="AF1699" t="s">
        <v>40</v>
      </c>
      <c r="AG1699">
        <v>1</v>
      </c>
      <c r="AH1699" t="s">
        <v>61</v>
      </c>
    </row>
    <row r="1700" spans="1:34" x14ac:dyDescent="0.3">
      <c r="A1700" t="s">
        <v>2412</v>
      </c>
      <c r="B1700" t="s">
        <v>940</v>
      </c>
      <c r="C1700" t="s">
        <v>122</v>
      </c>
      <c r="D1700" t="s">
        <v>37</v>
      </c>
      <c r="E1700" s="1">
        <v>46291</v>
      </c>
      <c r="F1700" s="1">
        <v>46298</v>
      </c>
      <c r="G1700" t="s">
        <v>41</v>
      </c>
      <c r="H1700">
        <v>7007</v>
      </c>
      <c r="I1700" t="s">
        <v>39</v>
      </c>
      <c r="J1700" t="b">
        <v>0</v>
      </c>
      <c r="K1700">
        <v>7</v>
      </c>
      <c r="L1700">
        <v>10</v>
      </c>
      <c r="M1700">
        <v>2026</v>
      </c>
      <c r="N1700">
        <v>5</v>
      </c>
      <c r="O1700">
        <v>9</v>
      </c>
      <c r="P1700">
        <v>2026</v>
      </c>
      <c r="Q1700">
        <v>5</v>
      </c>
      <c r="R1700" t="s">
        <v>66</v>
      </c>
      <c r="S1700" t="s">
        <v>55</v>
      </c>
      <c r="T1700" t="s">
        <v>139</v>
      </c>
      <c r="U1700" t="s">
        <v>40</v>
      </c>
      <c r="V1700" t="s">
        <v>124</v>
      </c>
      <c r="W1700" t="s">
        <v>125</v>
      </c>
      <c r="X1700" t="s">
        <v>126</v>
      </c>
      <c r="Y1700">
        <v>85</v>
      </c>
      <c r="Z1700" t="s">
        <v>46</v>
      </c>
      <c r="AA1700" t="s">
        <v>47</v>
      </c>
      <c r="AB1700" s="1">
        <v>46298</v>
      </c>
      <c r="AC1700" t="s">
        <v>66</v>
      </c>
      <c r="AD1700" t="s">
        <v>40</v>
      </c>
      <c r="AE1700" t="s">
        <v>60</v>
      </c>
      <c r="AF1700" t="s">
        <v>40</v>
      </c>
      <c r="AG1700">
        <v>0</v>
      </c>
      <c r="AH1700" t="s">
        <v>100</v>
      </c>
    </row>
    <row r="1701" spans="1:34" x14ac:dyDescent="0.3">
      <c r="A1701" t="s">
        <v>2413</v>
      </c>
      <c r="B1701" t="s">
        <v>340</v>
      </c>
      <c r="C1701" t="s">
        <v>52</v>
      </c>
      <c r="D1701" t="s">
        <v>90</v>
      </c>
      <c r="E1701" s="1">
        <v>46087</v>
      </c>
      <c r="F1701" s="1">
        <v>46090</v>
      </c>
      <c r="G1701" t="s">
        <v>38</v>
      </c>
      <c r="H1701">
        <v>4866</v>
      </c>
      <c r="I1701" t="s">
        <v>39</v>
      </c>
      <c r="J1701" t="b">
        <v>0</v>
      </c>
      <c r="K1701">
        <v>3</v>
      </c>
      <c r="L1701">
        <v>3</v>
      </c>
      <c r="M1701">
        <v>2026</v>
      </c>
      <c r="N1701">
        <v>0</v>
      </c>
      <c r="O1701">
        <v>3</v>
      </c>
      <c r="P1701">
        <v>2026</v>
      </c>
      <c r="Q1701">
        <v>4</v>
      </c>
      <c r="R1701" t="s">
        <v>40</v>
      </c>
      <c r="S1701" t="s">
        <v>41</v>
      </c>
      <c r="T1701" t="s">
        <v>286</v>
      </c>
      <c r="U1701" t="s">
        <v>40</v>
      </c>
      <c r="V1701" t="s">
        <v>56</v>
      </c>
      <c r="W1701" t="s">
        <v>57</v>
      </c>
      <c r="X1701" t="s">
        <v>45</v>
      </c>
      <c r="Y1701">
        <v>120</v>
      </c>
      <c r="Z1701" t="s">
        <v>93</v>
      </c>
      <c r="AA1701" t="s">
        <v>94</v>
      </c>
      <c r="AB1701" s="1">
        <v>46090</v>
      </c>
      <c r="AC1701" t="s">
        <v>40</v>
      </c>
      <c r="AD1701" t="s">
        <v>40</v>
      </c>
      <c r="AE1701" t="s">
        <v>60</v>
      </c>
      <c r="AF1701" t="s">
        <v>40</v>
      </c>
      <c r="AG1701">
        <v>0</v>
      </c>
      <c r="AH1701" t="s">
        <v>100</v>
      </c>
    </row>
    <row r="1702" spans="1:34" x14ac:dyDescent="0.3">
      <c r="A1702" t="s">
        <v>2414</v>
      </c>
      <c r="B1702" t="s">
        <v>815</v>
      </c>
      <c r="C1702" t="s">
        <v>146</v>
      </c>
      <c r="D1702" t="s">
        <v>104</v>
      </c>
      <c r="E1702" s="1">
        <v>45856</v>
      </c>
      <c r="F1702" s="1">
        <v>45863</v>
      </c>
      <c r="G1702" t="s">
        <v>64</v>
      </c>
      <c r="H1702">
        <v>2810</v>
      </c>
      <c r="I1702" t="s">
        <v>39</v>
      </c>
      <c r="J1702" t="b">
        <v>0</v>
      </c>
      <c r="K1702">
        <v>7</v>
      </c>
      <c r="L1702">
        <v>7</v>
      </c>
      <c r="M1702">
        <v>2025</v>
      </c>
      <c r="N1702">
        <v>4</v>
      </c>
      <c r="O1702">
        <v>7</v>
      </c>
      <c r="P1702">
        <v>2025</v>
      </c>
      <c r="Q1702">
        <v>4</v>
      </c>
      <c r="R1702" t="s">
        <v>40</v>
      </c>
      <c r="S1702" t="s">
        <v>55</v>
      </c>
      <c r="T1702" t="s">
        <v>113</v>
      </c>
      <c r="U1702" t="s">
        <v>40</v>
      </c>
      <c r="V1702" t="s">
        <v>147</v>
      </c>
      <c r="W1702" t="s">
        <v>148</v>
      </c>
      <c r="X1702" t="s">
        <v>45</v>
      </c>
      <c r="Y1702">
        <v>160</v>
      </c>
      <c r="Z1702" t="s">
        <v>107</v>
      </c>
      <c r="AA1702" t="s">
        <v>108</v>
      </c>
      <c r="AB1702" s="1">
        <v>45863</v>
      </c>
      <c r="AC1702" t="s">
        <v>40</v>
      </c>
      <c r="AD1702" t="s">
        <v>40</v>
      </c>
      <c r="AE1702" t="s">
        <v>86</v>
      </c>
      <c r="AF1702" t="s">
        <v>40</v>
      </c>
      <c r="AG1702">
        <v>0</v>
      </c>
      <c r="AH1702" t="s">
        <v>100</v>
      </c>
    </row>
    <row r="1703" spans="1:34" x14ac:dyDescent="0.3">
      <c r="A1703" t="s">
        <v>2415</v>
      </c>
      <c r="B1703" t="s">
        <v>179</v>
      </c>
      <c r="C1703" t="s">
        <v>155</v>
      </c>
      <c r="D1703" t="s">
        <v>130</v>
      </c>
      <c r="E1703" s="1">
        <v>45935</v>
      </c>
      <c r="F1703" s="1">
        <v>45965</v>
      </c>
      <c r="G1703" t="s">
        <v>64</v>
      </c>
      <c r="H1703">
        <v>3735</v>
      </c>
      <c r="I1703" t="s">
        <v>212</v>
      </c>
      <c r="J1703" t="b">
        <v>0</v>
      </c>
      <c r="K1703">
        <v>30</v>
      </c>
      <c r="L1703">
        <v>11</v>
      </c>
      <c r="M1703">
        <v>2025</v>
      </c>
      <c r="N1703">
        <v>1</v>
      </c>
      <c r="O1703">
        <v>10</v>
      </c>
      <c r="P1703">
        <v>2025</v>
      </c>
      <c r="Q1703">
        <v>6</v>
      </c>
      <c r="R1703" t="s">
        <v>40</v>
      </c>
      <c r="S1703" t="s">
        <v>55</v>
      </c>
      <c r="T1703" t="s">
        <v>68</v>
      </c>
      <c r="U1703" t="s">
        <v>40</v>
      </c>
      <c r="V1703" t="s">
        <v>156</v>
      </c>
      <c r="W1703" t="s">
        <v>157</v>
      </c>
      <c r="X1703" t="s">
        <v>158</v>
      </c>
      <c r="Y1703">
        <v>70</v>
      </c>
      <c r="Z1703" t="s">
        <v>133</v>
      </c>
      <c r="AA1703" t="s">
        <v>134</v>
      </c>
      <c r="AB1703" s="1">
        <v>45965</v>
      </c>
      <c r="AC1703" t="s">
        <v>40</v>
      </c>
      <c r="AD1703" t="s">
        <v>40</v>
      </c>
      <c r="AE1703" t="s">
        <v>86</v>
      </c>
      <c r="AF1703" t="s">
        <v>40</v>
      </c>
      <c r="AG1703">
        <v>0</v>
      </c>
      <c r="AH1703" t="s">
        <v>70</v>
      </c>
    </row>
    <row r="1704" spans="1:34" x14ac:dyDescent="0.3">
      <c r="A1704" t="s">
        <v>2416</v>
      </c>
      <c r="B1704" t="s">
        <v>2417</v>
      </c>
      <c r="C1704" t="s">
        <v>89</v>
      </c>
      <c r="D1704" t="s">
        <v>104</v>
      </c>
      <c r="E1704" s="1">
        <v>46081</v>
      </c>
      <c r="F1704" s="1">
        <v>46095</v>
      </c>
      <c r="G1704" t="s">
        <v>64</v>
      </c>
      <c r="H1704">
        <v>3489</v>
      </c>
      <c r="I1704" t="s">
        <v>39</v>
      </c>
      <c r="J1704" t="b">
        <v>0</v>
      </c>
      <c r="K1704">
        <v>14</v>
      </c>
      <c r="L1704">
        <v>3</v>
      </c>
      <c r="M1704">
        <v>2026</v>
      </c>
      <c r="N1704">
        <v>5</v>
      </c>
      <c r="O1704">
        <v>2</v>
      </c>
      <c r="P1704">
        <v>2026</v>
      </c>
      <c r="Q1704">
        <v>5</v>
      </c>
      <c r="R1704" t="s">
        <v>66</v>
      </c>
      <c r="S1704" t="s">
        <v>45</v>
      </c>
      <c r="T1704" t="s">
        <v>42</v>
      </c>
      <c r="U1704" t="s">
        <v>40</v>
      </c>
      <c r="V1704" t="s">
        <v>91</v>
      </c>
      <c r="W1704" t="s">
        <v>92</v>
      </c>
      <c r="X1704" t="s">
        <v>76</v>
      </c>
      <c r="Y1704">
        <v>65</v>
      </c>
      <c r="Z1704" t="s">
        <v>107</v>
      </c>
      <c r="AA1704" t="s">
        <v>108</v>
      </c>
      <c r="AB1704" s="1">
        <v>46095</v>
      </c>
      <c r="AC1704" t="s">
        <v>66</v>
      </c>
      <c r="AD1704" t="s">
        <v>40</v>
      </c>
      <c r="AE1704" t="s">
        <v>60</v>
      </c>
      <c r="AF1704" t="s">
        <v>40</v>
      </c>
      <c r="AG1704">
        <v>0</v>
      </c>
      <c r="AH1704" t="s">
        <v>70</v>
      </c>
    </row>
    <row r="1705" spans="1:34" x14ac:dyDescent="0.3">
      <c r="A1705" t="s">
        <v>2418</v>
      </c>
      <c r="B1705" t="s">
        <v>2419</v>
      </c>
      <c r="C1705" t="s">
        <v>129</v>
      </c>
      <c r="D1705" t="s">
        <v>90</v>
      </c>
      <c r="E1705" s="1">
        <v>46209</v>
      </c>
      <c r="F1705" s="1">
        <v>46239</v>
      </c>
      <c r="G1705" t="s">
        <v>64</v>
      </c>
      <c r="H1705">
        <v>2920</v>
      </c>
      <c r="I1705" t="s">
        <v>39</v>
      </c>
      <c r="J1705" t="b">
        <v>0</v>
      </c>
      <c r="K1705">
        <v>30</v>
      </c>
      <c r="L1705">
        <v>8</v>
      </c>
      <c r="M1705">
        <v>2026</v>
      </c>
      <c r="N1705">
        <v>2</v>
      </c>
      <c r="O1705">
        <v>7</v>
      </c>
      <c r="P1705">
        <v>2026</v>
      </c>
      <c r="Q1705">
        <v>0</v>
      </c>
      <c r="R1705" t="s">
        <v>40</v>
      </c>
      <c r="S1705" t="s">
        <v>67</v>
      </c>
      <c r="T1705" t="s">
        <v>42</v>
      </c>
      <c r="U1705" t="s">
        <v>40</v>
      </c>
      <c r="V1705" t="s">
        <v>131</v>
      </c>
      <c r="W1705" t="s">
        <v>132</v>
      </c>
      <c r="X1705" t="s">
        <v>45</v>
      </c>
      <c r="Y1705">
        <v>110</v>
      </c>
      <c r="Z1705" t="s">
        <v>93</v>
      </c>
      <c r="AA1705" t="s">
        <v>94</v>
      </c>
      <c r="AB1705" s="1">
        <v>46239</v>
      </c>
      <c r="AC1705" t="s">
        <v>40</v>
      </c>
      <c r="AD1705" t="s">
        <v>40</v>
      </c>
      <c r="AE1705" t="s">
        <v>86</v>
      </c>
      <c r="AF1705" t="s">
        <v>40</v>
      </c>
      <c r="AG1705">
        <v>0</v>
      </c>
      <c r="AH1705" t="s">
        <v>70</v>
      </c>
    </row>
    <row r="1706" spans="1:34" x14ac:dyDescent="0.3">
      <c r="A1706" t="s">
        <v>2420</v>
      </c>
      <c r="B1706" t="s">
        <v>1677</v>
      </c>
      <c r="C1706" t="s">
        <v>146</v>
      </c>
      <c r="D1706" t="s">
        <v>130</v>
      </c>
      <c r="E1706" s="1">
        <v>46010</v>
      </c>
      <c r="F1706" s="1">
        <v>46024</v>
      </c>
      <c r="G1706" t="s">
        <v>64</v>
      </c>
      <c r="H1706">
        <v>2857</v>
      </c>
      <c r="I1706" t="s">
        <v>65</v>
      </c>
      <c r="J1706" t="b">
        <v>0</v>
      </c>
      <c r="K1706">
        <v>14</v>
      </c>
      <c r="L1706">
        <v>1</v>
      </c>
      <c r="M1706">
        <v>2026</v>
      </c>
      <c r="N1706">
        <v>4</v>
      </c>
      <c r="O1706">
        <v>12</v>
      </c>
      <c r="P1706">
        <v>2025</v>
      </c>
      <c r="Q1706">
        <v>4</v>
      </c>
      <c r="R1706" t="s">
        <v>40</v>
      </c>
      <c r="S1706" t="s">
        <v>45</v>
      </c>
      <c r="T1706" t="s">
        <v>42</v>
      </c>
      <c r="U1706" t="s">
        <v>40</v>
      </c>
      <c r="V1706" t="s">
        <v>147</v>
      </c>
      <c r="W1706" t="s">
        <v>148</v>
      </c>
      <c r="X1706" t="s">
        <v>45</v>
      </c>
      <c r="Y1706">
        <v>160</v>
      </c>
      <c r="Z1706" t="s">
        <v>133</v>
      </c>
      <c r="AA1706" t="s">
        <v>134</v>
      </c>
      <c r="AB1706" s="1">
        <v>46024</v>
      </c>
      <c r="AC1706" t="s">
        <v>40</v>
      </c>
      <c r="AD1706" t="s">
        <v>40</v>
      </c>
      <c r="AE1706" t="s">
        <v>86</v>
      </c>
      <c r="AF1706" t="s">
        <v>40</v>
      </c>
      <c r="AG1706">
        <v>0</v>
      </c>
      <c r="AH1706" t="s">
        <v>70</v>
      </c>
    </row>
    <row r="1707" spans="1:34" x14ac:dyDescent="0.3">
      <c r="A1707" t="s">
        <v>2421</v>
      </c>
      <c r="B1707" t="s">
        <v>1019</v>
      </c>
      <c r="C1707" t="s">
        <v>155</v>
      </c>
      <c r="D1707" t="s">
        <v>37</v>
      </c>
      <c r="E1707" s="1">
        <v>45777</v>
      </c>
      <c r="F1707" s="1">
        <v>45927</v>
      </c>
      <c r="G1707" t="s">
        <v>64</v>
      </c>
      <c r="H1707">
        <v>3881</v>
      </c>
      <c r="I1707" t="s">
        <v>65</v>
      </c>
      <c r="J1707" t="b">
        <v>0</v>
      </c>
      <c r="K1707">
        <v>150</v>
      </c>
      <c r="L1707">
        <v>9</v>
      </c>
      <c r="M1707">
        <v>2025</v>
      </c>
      <c r="N1707">
        <v>5</v>
      </c>
      <c r="O1707">
        <v>4</v>
      </c>
      <c r="P1707">
        <v>2025</v>
      </c>
      <c r="Q1707">
        <v>2</v>
      </c>
      <c r="R1707" t="s">
        <v>66</v>
      </c>
      <c r="S1707" t="s">
        <v>41</v>
      </c>
      <c r="T1707" t="s">
        <v>42</v>
      </c>
      <c r="U1707" t="s">
        <v>40</v>
      </c>
      <c r="V1707" t="s">
        <v>156</v>
      </c>
      <c r="W1707" t="s">
        <v>157</v>
      </c>
      <c r="X1707" t="s">
        <v>158</v>
      </c>
      <c r="Y1707">
        <v>70</v>
      </c>
      <c r="Z1707" t="s">
        <v>46</v>
      </c>
      <c r="AA1707" t="s">
        <v>47</v>
      </c>
      <c r="AB1707" s="1">
        <v>45927</v>
      </c>
      <c r="AC1707" t="s">
        <v>66</v>
      </c>
      <c r="AD1707" t="s">
        <v>40</v>
      </c>
      <c r="AE1707" t="s">
        <v>60</v>
      </c>
      <c r="AF1707" t="s">
        <v>40</v>
      </c>
      <c r="AG1707">
        <v>0</v>
      </c>
      <c r="AH1707" t="s">
        <v>49</v>
      </c>
    </row>
    <row r="1708" spans="1:34" x14ac:dyDescent="0.3">
      <c r="A1708" t="s">
        <v>2422</v>
      </c>
      <c r="B1708" t="s">
        <v>239</v>
      </c>
      <c r="C1708" t="s">
        <v>89</v>
      </c>
      <c r="D1708" t="s">
        <v>53</v>
      </c>
      <c r="E1708" s="1">
        <v>45984</v>
      </c>
      <c r="F1708" s="1">
        <v>46084</v>
      </c>
      <c r="G1708" t="s">
        <v>64</v>
      </c>
      <c r="H1708">
        <v>2765</v>
      </c>
      <c r="I1708" t="s">
        <v>39</v>
      </c>
      <c r="J1708" t="b">
        <v>0</v>
      </c>
      <c r="K1708">
        <v>100</v>
      </c>
      <c r="L1708">
        <v>3</v>
      </c>
      <c r="M1708">
        <v>2026</v>
      </c>
      <c r="N1708">
        <v>1</v>
      </c>
      <c r="O1708">
        <v>11</v>
      </c>
      <c r="P1708">
        <v>2025</v>
      </c>
      <c r="Q1708">
        <v>6</v>
      </c>
      <c r="R1708" t="s">
        <v>40</v>
      </c>
      <c r="S1708" t="s">
        <v>41</v>
      </c>
      <c r="T1708" t="s">
        <v>42</v>
      </c>
      <c r="U1708" t="s">
        <v>40</v>
      </c>
      <c r="V1708" t="s">
        <v>91</v>
      </c>
      <c r="W1708" t="s">
        <v>92</v>
      </c>
      <c r="X1708" t="s">
        <v>76</v>
      </c>
      <c r="Y1708">
        <v>65</v>
      </c>
      <c r="Z1708" t="s">
        <v>58</v>
      </c>
      <c r="AA1708" t="s">
        <v>59</v>
      </c>
      <c r="AB1708" s="1">
        <v>46084</v>
      </c>
      <c r="AC1708" t="s">
        <v>40</v>
      </c>
      <c r="AD1708" t="s">
        <v>40</v>
      </c>
      <c r="AE1708" t="s">
        <v>60</v>
      </c>
      <c r="AF1708" t="s">
        <v>40</v>
      </c>
      <c r="AG1708">
        <v>0</v>
      </c>
      <c r="AH1708" t="s">
        <v>49</v>
      </c>
    </row>
    <row r="1709" spans="1:34" x14ac:dyDescent="0.3">
      <c r="A1709" t="s">
        <v>2423</v>
      </c>
      <c r="B1709" t="s">
        <v>1337</v>
      </c>
      <c r="C1709" t="s">
        <v>146</v>
      </c>
      <c r="D1709" t="s">
        <v>130</v>
      </c>
      <c r="E1709" s="1">
        <v>46355</v>
      </c>
      <c r="F1709" s="1">
        <v>46362</v>
      </c>
      <c r="G1709" t="s">
        <v>41</v>
      </c>
      <c r="H1709">
        <v>5977</v>
      </c>
      <c r="I1709" t="s">
        <v>39</v>
      </c>
      <c r="J1709" t="b">
        <v>0</v>
      </c>
      <c r="K1709">
        <v>7</v>
      </c>
      <c r="L1709">
        <v>12</v>
      </c>
      <c r="M1709">
        <v>2026</v>
      </c>
      <c r="N1709">
        <v>6</v>
      </c>
      <c r="O1709">
        <v>11</v>
      </c>
      <c r="P1709">
        <v>2026</v>
      </c>
      <c r="Q1709">
        <v>6</v>
      </c>
      <c r="R1709" t="s">
        <v>66</v>
      </c>
      <c r="S1709" t="s">
        <v>55</v>
      </c>
      <c r="T1709" t="s">
        <v>42</v>
      </c>
      <c r="U1709" t="s">
        <v>40</v>
      </c>
      <c r="V1709" t="s">
        <v>147</v>
      </c>
      <c r="W1709" t="s">
        <v>148</v>
      </c>
      <c r="X1709" t="s">
        <v>45</v>
      </c>
      <c r="Y1709">
        <v>160</v>
      </c>
      <c r="Z1709" t="s">
        <v>133</v>
      </c>
      <c r="AA1709" t="s">
        <v>134</v>
      </c>
      <c r="AB1709" s="1">
        <v>46362</v>
      </c>
      <c r="AC1709" t="s">
        <v>66</v>
      </c>
      <c r="AD1709" t="s">
        <v>40</v>
      </c>
      <c r="AE1709" t="s">
        <v>69</v>
      </c>
      <c r="AF1709" t="s">
        <v>40</v>
      </c>
      <c r="AG1709">
        <v>0</v>
      </c>
      <c r="AH1709" t="s">
        <v>100</v>
      </c>
    </row>
    <row r="1710" spans="1:34" x14ac:dyDescent="0.3">
      <c r="A1710" t="s">
        <v>2424</v>
      </c>
      <c r="B1710" t="s">
        <v>2166</v>
      </c>
      <c r="C1710" t="s">
        <v>129</v>
      </c>
      <c r="D1710" t="s">
        <v>53</v>
      </c>
      <c r="E1710" s="1">
        <v>46301</v>
      </c>
      <c r="F1710" s="1">
        <v>46521</v>
      </c>
      <c r="G1710" t="s">
        <v>64</v>
      </c>
      <c r="H1710">
        <v>3293</v>
      </c>
      <c r="I1710" t="s">
        <v>54</v>
      </c>
      <c r="J1710" t="b">
        <v>0</v>
      </c>
      <c r="K1710">
        <v>220</v>
      </c>
      <c r="L1710">
        <v>5</v>
      </c>
      <c r="M1710">
        <v>2027</v>
      </c>
      <c r="N1710">
        <v>4</v>
      </c>
      <c r="O1710">
        <v>10</v>
      </c>
      <c r="P1710">
        <v>2026</v>
      </c>
      <c r="Q1710">
        <v>1</v>
      </c>
      <c r="R1710" t="s">
        <v>40</v>
      </c>
      <c r="S1710" t="s">
        <v>41</v>
      </c>
      <c r="T1710" t="s">
        <v>42</v>
      </c>
      <c r="U1710" t="s">
        <v>40</v>
      </c>
      <c r="V1710" t="s">
        <v>131</v>
      </c>
      <c r="W1710" t="s">
        <v>132</v>
      </c>
      <c r="X1710" t="s">
        <v>45</v>
      </c>
      <c r="Y1710">
        <v>110</v>
      </c>
      <c r="Z1710" t="s">
        <v>58</v>
      </c>
      <c r="AA1710" t="s">
        <v>59</v>
      </c>
      <c r="AB1710" s="1"/>
      <c r="AC1710" t="s">
        <v>48</v>
      </c>
      <c r="AD1710" t="s">
        <v>48</v>
      </c>
      <c r="AE1710" t="s">
        <v>48</v>
      </c>
      <c r="AF1710" t="s">
        <v>48</v>
      </c>
      <c r="AG1710">
        <v>1</v>
      </c>
      <c r="AH1710" t="s">
        <v>142</v>
      </c>
    </row>
    <row r="1711" spans="1:34" x14ac:dyDescent="0.3">
      <c r="A1711" t="s">
        <v>2425</v>
      </c>
      <c r="B1711" t="s">
        <v>2426</v>
      </c>
      <c r="C1711" t="s">
        <v>36</v>
      </c>
      <c r="D1711" t="s">
        <v>104</v>
      </c>
      <c r="E1711" s="1">
        <v>45947</v>
      </c>
      <c r="F1711" s="1">
        <v>46007</v>
      </c>
      <c r="G1711" t="s">
        <v>38</v>
      </c>
      <c r="H1711">
        <v>4469</v>
      </c>
      <c r="I1711" t="s">
        <v>65</v>
      </c>
      <c r="J1711" t="b">
        <v>0</v>
      </c>
      <c r="K1711">
        <v>60</v>
      </c>
      <c r="L1711">
        <v>12</v>
      </c>
      <c r="M1711">
        <v>2025</v>
      </c>
      <c r="N1711">
        <v>1</v>
      </c>
      <c r="O1711">
        <v>10</v>
      </c>
      <c r="P1711">
        <v>2025</v>
      </c>
      <c r="Q1711">
        <v>4</v>
      </c>
      <c r="R1711" t="s">
        <v>40</v>
      </c>
      <c r="S1711" t="s">
        <v>55</v>
      </c>
      <c r="T1711" t="s">
        <v>48</v>
      </c>
      <c r="U1711" t="s">
        <v>40</v>
      </c>
      <c r="V1711" t="s">
        <v>43</v>
      </c>
      <c r="W1711" t="s">
        <v>44</v>
      </c>
      <c r="X1711" t="s">
        <v>45</v>
      </c>
      <c r="Y1711">
        <v>150</v>
      </c>
      <c r="Z1711" t="s">
        <v>107</v>
      </c>
      <c r="AA1711" t="s">
        <v>108</v>
      </c>
      <c r="AB1711" s="1">
        <v>46007</v>
      </c>
      <c r="AC1711" t="s">
        <v>40</v>
      </c>
      <c r="AD1711" t="s">
        <v>40</v>
      </c>
      <c r="AE1711" t="s">
        <v>69</v>
      </c>
      <c r="AF1711" t="s">
        <v>40</v>
      </c>
      <c r="AG1711">
        <v>0</v>
      </c>
      <c r="AH1711" t="s">
        <v>61</v>
      </c>
    </row>
    <row r="1712" spans="1:34" x14ac:dyDescent="0.3">
      <c r="A1712" t="s">
        <v>2427</v>
      </c>
      <c r="B1712" t="s">
        <v>583</v>
      </c>
      <c r="C1712" t="s">
        <v>122</v>
      </c>
      <c r="D1712" t="s">
        <v>53</v>
      </c>
      <c r="E1712" s="1">
        <v>45927</v>
      </c>
      <c r="F1712" s="1">
        <v>46027</v>
      </c>
      <c r="G1712" t="s">
        <v>64</v>
      </c>
      <c r="H1712">
        <v>3198</v>
      </c>
      <c r="I1712" t="s">
        <v>212</v>
      </c>
      <c r="J1712" t="b">
        <v>0</v>
      </c>
      <c r="K1712">
        <v>100</v>
      </c>
      <c r="L1712">
        <v>1</v>
      </c>
      <c r="M1712">
        <v>2026</v>
      </c>
      <c r="N1712">
        <v>0</v>
      </c>
      <c r="O1712">
        <v>9</v>
      </c>
      <c r="P1712">
        <v>2025</v>
      </c>
      <c r="Q1712">
        <v>5</v>
      </c>
      <c r="R1712" t="s">
        <v>40</v>
      </c>
      <c r="S1712" t="s">
        <v>55</v>
      </c>
      <c r="T1712" t="s">
        <v>286</v>
      </c>
      <c r="U1712" t="s">
        <v>40</v>
      </c>
      <c r="V1712" t="s">
        <v>124</v>
      </c>
      <c r="W1712" t="s">
        <v>125</v>
      </c>
      <c r="X1712" t="s">
        <v>126</v>
      </c>
      <c r="Y1712">
        <v>85</v>
      </c>
      <c r="Z1712" t="s">
        <v>58</v>
      </c>
      <c r="AA1712" t="s">
        <v>59</v>
      </c>
      <c r="AB1712" s="1">
        <v>46027</v>
      </c>
      <c r="AC1712" t="s">
        <v>40</v>
      </c>
      <c r="AD1712" t="s">
        <v>40</v>
      </c>
      <c r="AE1712" t="s">
        <v>86</v>
      </c>
      <c r="AF1712" t="s">
        <v>40</v>
      </c>
      <c r="AG1712">
        <v>0</v>
      </c>
      <c r="AH1712" t="s">
        <v>49</v>
      </c>
    </row>
    <row r="1713" spans="1:34" x14ac:dyDescent="0.3">
      <c r="A1713" t="s">
        <v>2428</v>
      </c>
      <c r="B1713" t="s">
        <v>1618</v>
      </c>
      <c r="C1713" t="s">
        <v>155</v>
      </c>
      <c r="D1713" t="s">
        <v>90</v>
      </c>
      <c r="E1713" s="1">
        <v>45700</v>
      </c>
      <c r="F1713" s="1">
        <v>45920</v>
      </c>
      <c r="G1713" t="s">
        <v>64</v>
      </c>
      <c r="H1713">
        <v>3632</v>
      </c>
      <c r="I1713" t="s">
        <v>65</v>
      </c>
      <c r="J1713" t="b">
        <v>0</v>
      </c>
      <c r="K1713">
        <v>220</v>
      </c>
      <c r="L1713">
        <v>9</v>
      </c>
      <c r="M1713">
        <v>2025</v>
      </c>
      <c r="N1713">
        <v>5</v>
      </c>
      <c r="O1713">
        <v>2</v>
      </c>
      <c r="P1713">
        <v>2025</v>
      </c>
      <c r="Q1713">
        <v>2</v>
      </c>
      <c r="R1713" t="s">
        <v>66</v>
      </c>
      <c r="S1713" t="s">
        <v>41</v>
      </c>
      <c r="T1713" t="s">
        <v>42</v>
      </c>
      <c r="U1713" t="s">
        <v>66</v>
      </c>
      <c r="V1713" t="s">
        <v>156</v>
      </c>
      <c r="W1713" t="s">
        <v>157</v>
      </c>
      <c r="X1713" t="s">
        <v>158</v>
      </c>
      <c r="Y1713">
        <v>70</v>
      </c>
      <c r="Z1713" t="s">
        <v>93</v>
      </c>
      <c r="AA1713" t="s">
        <v>94</v>
      </c>
      <c r="AB1713" s="1">
        <v>45920</v>
      </c>
      <c r="AC1713" t="s">
        <v>66</v>
      </c>
      <c r="AD1713" t="s">
        <v>40</v>
      </c>
      <c r="AE1713" t="s">
        <v>60</v>
      </c>
      <c r="AF1713" t="s">
        <v>40</v>
      </c>
      <c r="AG1713">
        <v>0</v>
      </c>
      <c r="AH1713" t="s">
        <v>142</v>
      </c>
    </row>
    <row r="1714" spans="1:34" x14ac:dyDescent="0.3">
      <c r="A1714" t="s">
        <v>2429</v>
      </c>
      <c r="B1714" t="s">
        <v>2057</v>
      </c>
      <c r="C1714" t="s">
        <v>73</v>
      </c>
      <c r="D1714" t="s">
        <v>130</v>
      </c>
      <c r="E1714" s="1">
        <v>45752</v>
      </c>
      <c r="F1714" s="1">
        <v>45759</v>
      </c>
      <c r="G1714" t="s">
        <v>38</v>
      </c>
      <c r="H1714">
        <v>3910</v>
      </c>
      <c r="I1714" t="s">
        <v>39</v>
      </c>
      <c r="J1714" t="b">
        <v>0</v>
      </c>
      <c r="K1714">
        <v>7</v>
      </c>
      <c r="L1714">
        <v>4</v>
      </c>
      <c r="M1714">
        <v>2025</v>
      </c>
      <c r="N1714">
        <v>5</v>
      </c>
      <c r="O1714">
        <v>4</v>
      </c>
      <c r="P1714">
        <v>2025</v>
      </c>
      <c r="Q1714">
        <v>5</v>
      </c>
      <c r="R1714" t="s">
        <v>66</v>
      </c>
      <c r="S1714" t="s">
        <v>55</v>
      </c>
      <c r="T1714" t="s">
        <v>123</v>
      </c>
      <c r="U1714" t="s">
        <v>40</v>
      </c>
      <c r="V1714" t="s">
        <v>74</v>
      </c>
      <c r="W1714" t="s">
        <v>75</v>
      </c>
      <c r="X1714" t="s">
        <v>76</v>
      </c>
      <c r="Y1714">
        <v>75</v>
      </c>
      <c r="Z1714" t="s">
        <v>133</v>
      </c>
      <c r="AA1714" t="s">
        <v>134</v>
      </c>
      <c r="AB1714" s="1">
        <v>45759</v>
      </c>
      <c r="AC1714" t="s">
        <v>66</v>
      </c>
      <c r="AD1714" t="s">
        <v>40</v>
      </c>
      <c r="AE1714" t="s">
        <v>69</v>
      </c>
      <c r="AF1714" t="s">
        <v>40</v>
      </c>
      <c r="AG1714">
        <v>0</v>
      </c>
      <c r="AH1714" t="s">
        <v>100</v>
      </c>
    </row>
    <row r="1715" spans="1:34" x14ac:dyDescent="0.3">
      <c r="A1715" t="s">
        <v>2430</v>
      </c>
      <c r="B1715" t="s">
        <v>230</v>
      </c>
      <c r="C1715" t="s">
        <v>97</v>
      </c>
      <c r="D1715" t="s">
        <v>104</v>
      </c>
      <c r="E1715" s="1">
        <v>45904</v>
      </c>
      <c r="F1715" s="1">
        <v>45911</v>
      </c>
      <c r="G1715" t="s">
        <v>64</v>
      </c>
      <c r="H1715">
        <v>3416</v>
      </c>
      <c r="I1715" t="s">
        <v>65</v>
      </c>
      <c r="J1715" t="b">
        <v>0</v>
      </c>
      <c r="K1715">
        <v>7</v>
      </c>
      <c r="L1715">
        <v>9</v>
      </c>
      <c r="M1715">
        <v>2025</v>
      </c>
      <c r="N1715">
        <v>3</v>
      </c>
      <c r="O1715">
        <v>9</v>
      </c>
      <c r="P1715">
        <v>2025</v>
      </c>
      <c r="Q1715">
        <v>3</v>
      </c>
      <c r="R1715" t="s">
        <v>40</v>
      </c>
      <c r="S1715" t="s">
        <v>45</v>
      </c>
      <c r="T1715" t="s">
        <v>68</v>
      </c>
      <c r="U1715" t="s">
        <v>66</v>
      </c>
      <c r="V1715" t="s">
        <v>98</v>
      </c>
      <c r="W1715" t="s">
        <v>99</v>
      </c>
      <c r="X1715" t="s">
        <v>76</v>
      </c>
      <c r="Y1715">
        <v>80</v>
      </c>
      <c r="Z1715" t="s">
        <v>107</v>
      </c>
      <c r="AA1715" t="s">
        <v>108</v>
      </c>
      <c r="AB1715" s="1">
        <v>45911</v>
      </c>
      <c r="AC1715" t="s">
        <v>40</v>
      </c>
      <c r="AD1715" t="s">
        <v>40</v>
      </c>
      <c r="AE1715" t="s">
        <v>60</v>
      </c>
      <c r="AF1715" t="s">
        <v>40</v>
      </c>
      <c r="AG1715">
        <v>0</v>
      </c>
      <c r="AH1715" t="s">
        <v>100</v>
      </c>
    </row>
    <row r="1716" spans="1:34" x14ac:dyDescent="0.3">
      <c r="A1716" t="s">
        <v>2431</v>
      </c>
      <c r="B1716" t="s">
        <v>1244</v>
      </c>
      <c r="C1716" t="s">
        <v>97</v>
      </c>
      <c r="D1716" t="s">
        <v>130</v>
      </c>
      <c r="E1716" s="1">
        <v>45979</v>
      </c>
      <c r="F1716" s="1">
        <v>45986</v>
      </c>
      <c r="G1716" t="s">
        <v>41</v>
      </c>
      <c r="H1716">
        <v>6488</v>
      </c>
      <c r="I1716" t="s">
        <v>65</v>
      </c>
      <c r="J1716" t="b">
        <v>0</v>
      </c>
      <c r="K1716">
        <v>7</v>
      </c>
      <c r="L1716">
        <v>11</v>
      </c>
      <c r="M1716">
        <v>2025</v>
      </c>
      <c r="N1716">
        <v>1</v>
      </c>
      <c r="O1716">
        <v>11</v>
      </c>
      <c r="P1716">
        <v>2025</v>
      </c>
      <c r="Q1716">
        <v>1</v>
      </c>
      <c r="R1716" t="s">
        <v>40</v>
      </c>
      <c r="S1716" t="s">
        <v>45</v>
      </c>
      <c r="T1716" t="s">
        <v>113</v>
      </c>
      <c r="U1716" t="s">
        <v>40</v>
      </c>
      <c r="V1716" t="s">
        <v>98</v>
      </c>
      <c r="W1716" t="s">
        <v>99</v>
      </c>
      <c r="X1716" t="s">
        <v>76</v>
      </c>
      <c r="Y1716">
        <v>80</v>
      </c>
      <c r="Z1716" t="s">
        <v>133</v>
      </c>
      <c r="AA1716" t="s">
        <v>134</v>
      </c>
      <c r="AB1716" s="1">
        <v>45986</v>
      </c>
      <c r="AC1716" t="s">
        <v>40</v>
      </c>
      <c r="AD1716" t="s">
        <v>40</v>
      </c>
      <c r="AE1716" t="s">
        <v>86</v>
      </c>
      <c r="AF1716" t="s">
        <v>40</v>
      </c>
      <c r="AG1716">
        <v>0</v>
      </c>
      <c r="AH1716" t="s">
        <v>100</v>
      </c>
    </row>
    <row r="1717" spans="1:34" x14ac:dyDescent="0.3">
      <c r="A1717" t="s">
        <v>2432</v>
      </c>
      <c r="B1717" t="s">
        <v>1354</v>
      </c>
      <c r="C1717" t="s">
        <v>146</v>
      </c>
      <c r="D1717" t="s">
        <v>37</v>
      </c>
      <c r="E1717" s="1">
        <v>46353</v>
      </c>
      <c r="F1717" s="1">
        <v>46413</v>
      </c>
      <c r="G1717" t="s">
        <v>38</v>
      </c>
      <c r="H1717">
        <v>3760</v>
      </c>
      <c r="I1717" t="s">
        <v>39</v>
      </c>
      <c r="J1717" t="b">
        <v>0</v>
      </c>
      <c r="K1717">
        <v>60</v>
      </c>
      <c r="L1717">
        <v>1</v>
      </c>
      <c r="M1717">
        <v>2027</v>
      </c>
      <c r="N1717">
        <v>1</v>
      </c>
      <c r="O1717">
        <v>11</v>
      </c>
      <c r="P1717">
        <v>2026</v>
      </c>
      <c r="Q1717">
        <v>4</v>
      </c>
      <c r="R1717" t="s">
        <v>40</v>
      </c>
      <c r="S1717" t="s">
        <v>41</v>
      </c>
      <c r="T1717" t="s">
        <v>42</v>
      </c>
      <c r="U1717" t="s">
        <v>66</v>
      </c>
      <c r="V1717" t="s">
        <v>147</v>
      </c>
      <c r="W1717" t="s">
        <v>148</v>
      </c>
      <c r="X1717" t="s">
        <v>45</v>
      </c>
      <c r="Y1717">
        <v>160</v>
      </c>
      <c r="Z1717" t="s">
        <v>46</v>
      </c>
      <c r="AA1717" t="s">
        <v>47</v>
      </c>
      <c r="AB1717" s="1"/>
      <c r="AC1717" t="s">
        <v>48</v>
      </c>
      <c r="AD1717" t="s">
        <v>48</v>
      </c>
      <c r="AE1717" t="s">
        <v>48</v>
      </c>
      <c r="AF1717" t="s">
        <v>48</v>
      </c>
      <c r="AG1717">
        <v>0</v>
      </c>
      <c r="AH1717" t="s">
        <v>61</v>
      </c>
    </row>
    <row r="1718" spans="1:34" x14ac:dyDescent="0.3">
      <c r="A1718" t="s">
        <v>2433</v>
      </c>
      <c r="B1718" t="s">
        <v>1394</v>
      </c>
      <c r="C1718" t="s">
        <v>155</v>
      </c>
      <c r="D1718" t="s">
        <v>53</v>
      </c>
      <c r="E1718" s="1">
        <v>46089</v>
      </c>
      <c r="F1718" s="1">
        <v>46189</v>
      </c>
      <c r="G1718" t="s">
        <v>41</v>
      </c>
      <c r="H1718">
        <v>5736</v>
      </c>
      <c r="I1718" t="s">
        <v>39</v>
      </c>
      <c r="J1718" t="b">
        <v>0</v>
      </c>
      <c r="K1718">
        <v>100</v>
      </c>
      <c r="L1718">
        <v>6</v>
      </c>
      <c r="M1718">
        <v>2026</v>
      </c>
      <c r="N1718">
        <v>1</v>
      </c>
      <c r="O1718">
        <v>3</v>
      </c>
      <c r="P1718">
        <v>2026</v>
      </c>
      <c r="Q1718">
        <v>6</v>
      </c>
      <c r="R1718" t="s">
        <v>40</v>
      </c>
      <c r="S1718" t="s">
        <v>45</v>
      </c>
      <c r="T1718" t="s">
        <v>42</v>
      </c>
      <c r="U1718" t="s">
        <v>40</v>
      </c>
      <c r="V1718" t="s">
        <v>156</v>
      </c>
      <c r="W1718" t="s">
        <v>157</v>
      </c>
      <c r="X1718" t="s">
        <v>158</v>
      </c>
      <c r="Y1718">
        <v>70</v>
      </c>
      <c r="Z1718" t="s">
        <v>58</v>
      </c>
      <c r="AA1718" t="s">
        <v>59</v>
      </c>
      <c r="AB1718" s="1">
        <v>46189</v>
      </c>
      <c r="AC1718" t="s">
        <v>40</v>
      </c>
      <c r="AD1718" t="s">
        <v>40</v>
      </c>
      <c r="AE1718" t="s">
        <v>60</v>
      </c>
      <c r="AF1718" t="s">
        <v>40</v>
      </c>
      <c r="AG1718">
        <v>0</v>
      </c>
      <c r="AH1718" t="s">
        <v>49</v>
      </c>
    </row>
    <row r="1719" spans="1:34" x14ac:dyDescent="0.3">
      <c r="A1719" t="s">
        <v>2434</v>
      </c>
      <c r="B1719" t="s">
        <v>2155</v>
      </c>
      <c r="C1719" t="s">
        <v>79</v>
      </c>
      <c r="D1719" t="s">
        <v>90</v>
      </c>
      <c r="E1719" s="1">
        <v>45671</v>
      </c>
      <c r="F1719" s="1">
        <v>45674</v>
      </c>
      <c r="G1719" t="s">
        <v>41</v>
      </c>
      <c r="H1719">
        <v>5067</v>
      </c>
      <c r="I1719" t="s">
        <v>39</v>
      </c>
      <c r="J1719" t="b">
        <v>0</v>
      </c>
      <c r="K1719">
        <v>3</v>
      </c>
      <c r="L1719">
        <v>1</v>
      </c>
      <c r="M1719">
        <v>2025</v>
      </c>
      <c r="N1719">
        <v>4</v>
      </c>
      <c r="O1719">
        <v>1</v>
      </c>
      <c r="P1719">
        <v>2025</v>
      </c>
      <c r="Q1719">
        <v>1</v>
      </c>
      <c r="R1719" t="s">
        <v>40</v>
      </c>
      <c r="S1719" t="s">
        <v>67</v>
      </c>
      <c r="T1719" t="s">
        <v>42</v>
      </c>
      <c r="U1719" t="s">
        <v>40</v>
      </c>
      <c r="V1719" t="s">
        <v>82</v>
      </c>
      <c r="W1719" t="s">
        <v>83</v>
      </c>
      <c r="X1719" t="s">
        <v>76</v>
      </c>
      <c r="Y1719">
        <v>100</v>
      </c>
      <c r="Z1719" t="s">
        <v>93</v>
      </c>
      <c r="AA1719" t="s">
        <v>94</v>
      </c>
      <c r="AB1719" s="1">
        <v>45674</v>
      </c>
      <c r="AC1719" t="s">
        <v>40</v>
      </c>
      <c r="AD1719" t="s">
        <v>40</v>
      </c>
      <c r="AE1719" t="s">
        <v>86</v>
      </c>
      <c r="AF1719" t="s">
        <v>40</v>
      </c>
      <c r="AG1719">
        <v>0</v>
      </c>
      <c r="AH1719" t="s">
        <v>100</v>
      </c>
    </row>
    <row r="1720" spans="1:34" x14ac:dyDescent="0.3">
      <c r="A1720" t="s">
        <v>2435</v>
      </c>
      <c r="B1720" t="s">
        <v>668</v>
      </c>
      <c r="C1720" t="s">
        <v>52</v>
      </c>
      <c r="D1720" t="s">
        <v>90</v>
      </c>
      <c r="E1720" s="1">
        <v>46055</v>
      </c>
      <c r="F1720" s="1">
        <v>46085</v>
      </c>
      <c r="G1720" t="s">
        <v>64</v>
      </c>
      <c r="H1720">
        <v>4100</v>
      </c>
      <c r="I1720" t="s">
        <v>39</v>
      </c>
      <c r="J1720" t="b">
        <v>0</v>
      </c>
      <c r="K1720">
        <v>30</v>
      </c>
      <c r="L1720">
        <v>3</v>
      </c>
      <c r="M1720">
        <v>2026</v>
      </c>
      <c r="N1720">
        <v>2</v>
      </c>
      <c r="O1720">
        <v>2</v>
      </c>
      <c r="P1720">
        <v>2026</v>
      </c>
      <c r="Q1720">
        <v>0</v>
      </c>
      <c r="R1720" t="s">
        <v>40</v>
      </c>
      <c r="S1720" t="s">
        <v>67</v>
      </c>
      <c r="T1720" t="s">
        <v>42</v>
      </c>
      <c r="U1720" t="s">
        <v>66</v>
      </c>
      <c r="V1720" t="s">
        <v>56</v>
      </c>
      <c r="W1720" t="s">
        <v>57</v>
      </c>
      <c r="X1720" t="s">
        <v>45</v>
      </c>
      <c r="Y1720">
        <v>120</v>
      </c>
      <c r="Z1720" t="s">
        <v>93</v>
      </c>
      <c r="AA1720" t="s">
        <v>94</v>
      </c>
      <c r="AB1720" s="1">
        <v>46085</v>
      </c>
      <c r="AC1720" t="s">
        <v>40</v>
      </c>
      <c r="AD1720" t="s">
        <v>40</v>
      </c>
      <c r="AE1720" t="s">
        <v>60</v>
      </c>
      <c r="AF1720" t="s">
        <v>40</v>
      </c>
      <c r="AG1720">
        <v>0</v>
      </c>
      <c r="AH1720" t="s">
        <v>70</v>
      </c>
    </row>
    <row r="1721" spans="1:34" x14ac:dyDescent="0.3">
      <c r="A1721" t="s">
        <v>2436</v>
      </c>
      <c r="B1721" t="s">
        <v>259</v>
      </c>
      <c r="C1721" t="s">
        <v>79</v>
      </c>
      <c r="D1721" t="s">
        <v>130</v>
      </c>
      <c r="E1721" s="1">
        <v>45790</v>
      </c>
      <c r="F1721" s="1">
        <v>45850</v>
      </c>
      <c r="G1721" t="s">
        <v>64</v>
      </c>
      <c r="H1721">
        <v>2744</v>
      </c>
      <c r="I1721" t="s">
        <v>54</v>
      </c>
      <c r="J1721" t="b">
        <v>0</v>
      </c>
      <c r="K1721">
        <v>60</v>
      </c>
      <c r="L1721">
        <v>7</v>
      </c>
      <c r="M1721">
        <v>2025</v>
      </c>
      <c r="N1721">
        <v>5</v>
      </c>
      <c r="O1721">
        <v>5</v>
      </c>
      <c r="P1721">
        <v>2025</v>
      </c>
      <c r="Q1721">
        <v>1</v>
      </c>
      <c r="R1721" t="s">
        <v>66</v>
      </c>
      <c r="S1721" t="s">
        <v>67</v>
      </c>
      <c r="T1721" t="s">
        <v>42</v>
      </c>
      <c r="U1721" t="s">
        <v>66</v>
      </c>
      <c r="V1721" t="s">
        <v>82</v>
      </c>
      <c r="W1721" t="s">
        <v>83</v>
      </c>
      <c r="X1721" t="s">
        <v>76</v>
      </c>
      <c r="Y1721">
        <v>100</v>
      </c>
      <c r="Z1721" t="s">
        <v>133</v>
      </c>
      <c r="AA1721" t="s">
        <v>134</v>
      </c>
      <c r="AB1721" s="1">
        <v>45850</v>
      </c>
      <c r="AC1721" t="s">
        <v>66</v>
      </c>
      <c r="AD1721" t="s">
        <v>40</v>
      </c>
      <c r="AE1721" t="s">
        <v>86</v>
      </c>
      <c r="AF1721" t="s">
        <v>40</v>
      </c>
      <c r="AG1721">
        <v>1</v>
      </c>
      <c r="AH1721" t="s">
        <v>61</v>
      </c>
    </row>
    <row r="1722" spans="1:34" x14ac:dyDescent="0.3">
      <c r="A1722" t="s">
        <v>2437</v>
      </c>
      <c r="B1722" t="s">
        <v>1581</v>
      </c>
      <c r="C1722" t="s">
        <v>155</v>
      </c>
      <c r="D1722" t="s">
        <v>130</v>
      </c>
      <c r="E1722" s="1">
        <v>46264</v>
      </c>
      <c r="F1722" s="1">
        <v>46267</v>
      </c>
      <c r="G1722" t="s">
        <v>38</v>
      </c>
      <c r="H1722">
        <v>4471</v>
      </c>
      <c r="I1722" t="s">
        <v>39</v>
      </c>
      <c r="J1722" t="b">
        <v>0</v>
      </c>
      <c r="K1722">
        <v>3</v>
      </c>
      <c r="L1722">
        <v>9</v>
      </c>
      <c r="M1722">
        <v>2026</v>
      </c>
      <c r="N1722">
        <v>2</v>
      </c>
      <c r="O1722">
        <v>8</v>
      </c>
      <c r="P1722">
        <v>2026</v>
      </c>
      <c r="Q1722">
        <v>6</v>
      </c>
      <c r="R1722" t="s">
        <v>40</v>
      </c>
      <c r="S1722" t="s">
        <v>55</v>
      </c>
      <c r="T1722" t="s">
        <v>123</v>
      </c>
      <c r="U1722" t="s">
        <v>40</v>
      </c>
      <c r="V1722" t="s">
        <v>156</v>
      </c>
      <c r="W1722" t="s">
        <v>157</v>
      </c>
      <c r="X1722" t="s">
        <v>158</v>
      </c>
      <c r="Y1722">
        <v>70</v>
      </c>
      <c r="Z1722" t="s">
        <v>133</v>
      </c>
      <c r="AA1722" t="s">
        <v>134</v>
      </c>
      <c r="AB1722" s="1">
        <v>46267</v>
      </c>
      <c r="AC1722" t="s">
        <v>40</v>
      </c>
      <c r="AD1722" t="s">
        <v>40</v>
      </c>
      <c r="AE1722" t="s">
        <v>60</v>
      </c>
      <c r="AF1722" t="s">
        <v>40</v>
      </c>
      <c r="AG1722">
        <v>0</v>
      </c>
      <c r="AH1722" t="s">
        <v>100</v>
      </c>
    </row>
    <row r="1723" spans="1:34" x14ac:dyDescent="0.3">
      <c r="A1723" t="s">
        <v>2438</v>
      </c>
      <c r="B1723" t="s">
        <v>864</v>
      </c>
      <c r="C1723" t="s">
        <v>97</v>
      </c>
      <c r="D1723" t="s">
        <v>37</v>
      </c>
      <c r="E1723" s="1">
        <v>45862</v>
      </c>
      <c r="F1723" s="1">
        <v>45922</v>
      </c>
      <c r="G1723" t="s">
        <v>41</v>
      </c>
      <c r="H1723">
        <v>6501</v>
      </c>
      <c r="I1723" t="s">
        <v>54</v>
      </c>
      <c r="J1723" t="b">
        <v>0</v>
      </c>
      <c r="K1723">
        <v>60</v>
      </c>
      <c r="L1723">
        <v>9</v>
      </c>
      <c r="M1723">
        <v>2025</v>
      </c>
      <c r="N1723">
        <v>0</v>
      </c>
      <c r="O1723">
        <v>7</v>
      </c>
      <c r="P1723">
        <v>2025</v>
      </c>
      <c r="Q1723">
        <v>3</v>
      </c>
      <c r="R1723" t="s">
        <v>40</v>
      </c>
      <c r="S1723" t="s">
        <v>45</v>
      </c>
      <c r="T1723" t="s">
        <v>113</v>
      </c>
      <c r="U1723" t="s">
        <v>40</v>
      </c>
      <c r="V1723" t="s">
        <v>98</v>
      </c>
      <c r="W1723" t="s">
        <v>99</v>
      </c>
      <c r="X1723" t="s">
        <v>76</v>
      </c>
      <c r="Y1723">
        <v>80</v>
      </c>
      <c r="Z1723" t="s">
        <v>46</v>
      </c>
      <c r="AA1723" t="s">
        <v>47</v>
      </c>
      <c r="AB1723" s="1">
        <v>45922</v>
      </c>
      <c r="AC1723" t="s">
        <v>40</v>
      </c>
      <c r="AD1723" t="s">
        <v>40</v>
      </c>
      <c r="AE1723" t="s">
        <v>60</v>
      </c>
      <c r="AF1723" t="s">
        <v>40</v>
      </c>
      <c r="AG1723">
        <v>1</v>
      </c>
      <c r="AH1723" t="s">
        <v>61</v>
      </c>
    </row>
    <row r="1724" spans="1:34" x14ac:dyDescent="0.3">
      <c r="A1724" t="s">
        <v>2439</v>
      </c>
      <c r="B1724" t="s">
        <v>850</v>
      </c>
      <c r="C1724" t="s">
        <v>103</v>
      </c>
      <c r="D1724" t="s">
        <v>130</v>
      </c>
      <c r="E1724" s="1">
        <v>45708</v>
      </c>
      <c r="F1724" s="1">
        <v>45738</v>
      </c>
      <c r="G1724" t="s">
        <v>41</v>
      </c>
      <c r="H1724">
        <v>8756</v>
      </c>
      <c r="I1724" t="s">
        <v>39</v>
      </c>
      <c r="J1724" t="b">
        <v>0</v>
      </c>
      <c r="K1724">
        <v>30</v>
      </c>
      <c r="L1724">
        <v>3</v>
      </c>
      <c r="M1724">
        <v>2025</v>
      </c>
      <c r="N1724">
        <v>5</v>
      </c>
      <c r="O1724">
        <v>2</v>
      </c>
      <c r="P1724">
        <v>2025</v>
      </c>
      <c r="Q1724">
        <v>3</v>
      </c>
      <c r="R1724" t="s">
        <v>66</v>
      </c>
      <c r="S1724" t="s">
        <v>67</v>
      </c>
      <c r="T1724" t="s">
        <v>42</v>
      </c>
      <c r="U1724" t="s">
        <v>40</v>
      </c>
      <c r="V1724" t="s">
        <v>105</v>
      </c>
      <c r="W1724" t="s">
        <v>106</v>
      </c>
      <c r="X1724" t="s">
        <v>45</v>
      </c>
      <c r="Y1724">
        <v>140</v>
      </c>
      <c r="Z1724" t="s">
        <v>133</v>
      </c>
      <c r="AA1724" t="s">
        <v>134</v>
      </c>
      <c r="AB1724" s="1">
        <v>45738</v>
      </c>
      <c r="AC1724" t="s">
        <v>66</v>
      </c>
      <c r="AD1724" t="s">
        <v>40</v>
      </c>
      <c r="AE1724" t="s">
        <v>60</v>
      </c>
      <c r="AF1724" t="s">
        <v>40</v>
      </c>
      <c r="AG1724">
        <v>0</v>
      </c>
      <c r="AH1724" t="s">
        <v>70</v>
      </c>
    </row>
    <row r="1725" spans="1:34" x14ac:dyDescent="0.3">
      <c r="A1725" t="s">
        <v>2440</v>
      </c>
      <c r="B1725" t="s">
        <v>1525</v>
      </c>
      <c r="C1725" t="s">
        <v>169</v>
      </c>
      <c r="D1725" t="s">
        <v>53</v>
      </c>
      <c r="E1725" s="1">
        <v>46303</v>
      </c>
      <c r="F1725" s="1">
        <v>46333</v>
      </c>
      <c r="G1725" t="s">
        <v>38</v>
      </c>
      <c r="H1725">
        <v>4670</v>
      </c>
      <c r="I1725" t="s">
        <v>65</v>
      </c>
      <c r="J1725" t="b">
        <v>0</v>
      </c>
      <c r="K1725">
        <v>30</v>
      </c>
      <c r="L1725">
        <v>11</v>
      </c>
      <c r="M1725">
        <v>2026</v>
      </c>
      <c r="N1725">
        <v>5</v>
      </c>
      <c r="O1725">
        <v>10</v>
      </c>
      <c r="P1725">
        <v>2026</v>
      </c>
      <c r="Q1725">
        <v>3</v>
      </c>
      <c r="R1725" t="s">
        <v>66</v>
      </c>
      <c r="S1725" t="s">
        <v>45</v>
      </c>
      <c r="T1725" t="s">
        <v>113</v>
      </c>
      <c r="U1725" t="s">
        <v>66</v>
      </c>
      <c r="V1725" t="s">
        <v>170</v>
      </c>
      <c r="W1725" t="s">
        <v>171</v>
      </c>
      <c r="X1725" t="s">
        <v>126</v>
      </c>
      <c r="Y1725">
        <v>90</v>
      </c>
      <c r="Z1725" t="s">
        <v>58</v>
      </c>
      <c r="AA1725" t="s">
        <v>59</v>
      </c>
      <c r="AB1725" s="1">
        <v>46333</v>
      </c>
      <c r="AC1725" t="s">
        <v>66</v>
      </c>
      <c r="AD1725" t="s">
        <v>40</v>
      </c>
      <c r="AE1725" t="s">
        <v>86</v>
      </c>
      <c r="AF1725" t="s">
        <v>40</v>
      </c>
      <c r="AG1725">
        <v>0</v>
      </c>
      <c r="AH1725" t="s">
        <v>70</v>
      </c>
    </row>
    <row r="1726" spans="1:34" x14ac:dyDescent="0.3">
      <c r="A1726" t="s">
        <v>2441</v>
      </c>
      <c r="B1726" t="s">
        <v>1047</v>
      </c>
      <c r="C1726" t="s">
        <v>146</v>
      </c>
      <c r="D1726" t="s">
        <v>130</v>
      </c>
      <c r="E1726" s="1">
        <v>45785</v>
      </c>
      <c r="F1726" s="1">
        <v>45815</v>
      </c>
      <c r="G1726" t="s">
        <v>64</v>
      </c>
      <c r="H1726">
        <v>3419</v>
      </c>
      <c r="I1726" t="s">
        <v>65</v>
      </c>
      <c r="J1726" t="b">
        <v>0</v>
      </c>
      <c r="K1726">
        <v>30</v>
      </c>
      <c r="L1726">
        <v>6</v>
      </c>
      <c r="M1726">
        <v>2025</v>
      </c>
      <c r="N1726">
        <v>5</v>
      </c>
      <c r="O1726">
        <v>5</v>
      </c>
      <c r="P1726">
        <v>2025</v>
      </c>
      <c r="Q1726">
        <v>3</v>
      </c>
      <c r="R1726" t="s">
        <v>66</v>
      </c>
      <c r="S1726" t="s">
        <v>41</v>
      </c>
      <c r="T1726" t="s">
        <v>42</v>
      </c>
      <c r="U1726" t="s">
        <v>40</v>
      </c>
      <c r="V1726" t="s">
        <v>147</v>
      </c>
      <c r="W1726" t="s">
        <v>148</v>
      </c>
      <c r="X1726" t="s">
        <v>45</v>
      </c>
      <c r="Y1726">
        <v>160</v>
      </c>
      <c r="Z1726" t="s">
        <v>133</v>
      </c>
      <c r="AA1726" t="s">
        <v>134</v>
      </c>
      <c r="AB1726" s="1">
        <v>45815</v>
      </c>
      <c r="AC1726" t="s">
        <v>66</v>
      </c>
      <c r="AD1726" t="s">
        <v>40</v>
      </c>
      <c r="AE1726" t="s">
        <v>60</v>
      </c>
      <c r="AF1726" t="s">
        <v>40</v>
      </c>
      <c r="AG1726">
        <v>0</v>
      </c>
      <c r="AH1726" t="s">
        <v>70</v>
      </c>
    </row>
    <row r="1727" spans="1:34" x14ac:dyDescent="0.3">
      <c r="A1727" t="s">
        <v>2442</v>
      </c>
      <c r="B1727" t="s">
        <v>115</v>
      </c>
      <c r="C1727" t="s">
        <v>79</v>
      </c>
      <c r="D1727" t="s">
        <v>104</v>
      </c>
      <c r="E1727" s="1">
        <v>46073</v>
      </c>
      <c r="F1727" s="1">
        <v>46076</v>
      </c>
      <c r="G1727" t="s">
        <v>38</v>
      </c>
      <c r="H1727">
        <v>5019</v>
      </c>
      <c r="I1727" t="s">
        <v>39</v>
      </c>
      <c r="J1727" t="b">
        <v>0</v>
      </c>
      <c r="K1727">
        <v>3</v>
      </c>
      <c r="L1727">
        <v>2</v>
      </c>
      <c r="M1727">
        <v>2026</v>
      </c>
      <c r="N1727">
        <v>0</v>
      </c>
      <c r="O1727">
        <v>2</v>
      </c>
      <c r="P1727">
        <v>2026</v>
      </c>
      <c r="Q1727">
        <v>4</v>
      </c>
      <c r="R1727" t="s">
        <v>40</v>
      </c>
      <c r="S1727" t="s">
        <v>55</v>
      </c>
      <c r="T1727" t="s">
        <v>42</v>
      </c>
      <c r="U1727" t="s">
        <v>40</v>
      </c>
      <c r="V1727" t="s">
        <v>82</v>
      </c>
      <c r="W1727" t="s">
        <v>83</v>
      </c>
      <c r="X1727" t="s">
        <v>76</v>
      </c>
      <c r="Y1727">
        <v>100</v>
      </c>
      <c r="Z1727" t="s">
        <v>107</v>
      </c>
      <c r="AA1727" t="s">
        <v>108</v>
      </c>
      <c r="AB1727" s="1">
        <v>46076</v>
      </c>
      <c r="AC1727" t="s">
        <v>40</v>
      </c>
      <c r="AD1727" t="s">
        <v>40</v>
      </c>
      <c r="AE1727" t="s">
        <v>60</v>
      </c>
      <c r="AF1727" t="s">
        <v>40</v>
      </c>
      <c r="AG1727">
        <v>0</v>
      </c>
      <c r="AH1727" t="s">
        <v>100</v>
      </c>
    </row>
    <row r="1728" spans="1:34" x14ac:dyDescent="0.3">
      <c r="A1728" t="s">
        <v>2443</v>
      </c>
      <c r="B1728" t="s">
        <v>1291</v>
      </c>
      <c r="C1728" t="s">
        <v>103</v>
      </c>
      <c r="D1728" t="s">
        <v>130</v>
      </c>
      <c r="E1728" s="1">
        <v>45898</v>
      </c>
      <c r="F1728" s="1">
        <v>46048</v>
      </c>
      <c r="G1728" t="s">
        <v>41</v>
      </c>
      <c r="H1728">
        <v>6268</v>
      </c>
      <c r="I1728" t="s">
        <v>54</v>
      </c>
      <c r="J1728" t="b">
        <v>0</v>
      </c>
      <c r="K1728">
        <v>150</v>
      </c>
      <c r="L1728">
        <v>1</v>
      </c>
      <c r="M1728">
        <v>2026</v>
      </c>
      <c r="N1728">
        <v>0</v>
      </c>
      <c r="O1728">
        <v>8</v>
      </c>
      <c r="P1728">
        <v>2025</v>
      </c>
      <c r="Q1728">
        <v>4</v>
      </c>
      <c r="R1728" t="s">
        <v>40</v>
      </c>
      <c r="S1728" t="s">
        <v>45</v>
      </c>
      <c r="T1728" t="s">
        <v>42</v>
      </c>
      <c r="U1728" t="s">
        <v>40</v>
      </c>
      <c r="V1728" t="s">
        <v>105</v>
      </c>
      <c r="W1728" t="s">
        <v>106</v>
      </c>
      <c r="X1728" t="s">
        <v>45</v>
      </c>
      <c r="Y1728">
        <v>140</v>
      </c>
      <c r="Z1728" t="s">
        <v>133</v>
      </c>
      <c r="AA1728" t="s">
        <v>134</v>
      </c>
      <c r="AB1728" s="1">
        <v>46048</v>
      </c>
      <c r="AC1728" t="s">
        <v>40</v>
      </c>
      <c r="AD1728" t="s">
        <v>66</v>
      </c>
      <c r="AE1728" t="s">
        <v>86</v>
      </c>
      <c r="AF1728" t="s">
        <v>40</v>
      </c>
      <c r="AG1728">
        <v>1</v>
      </c>
      <c r="AH1728" t="s">
        <v>49</v>
      </c>
    </row>
    <row r="1729" spans="1:34" x14ac:dyDescent="0.3">
      <c r="A1729" t="s">
        <v>2444</v>
      </c>
      <c r="B1729" t="s">
        <v>878</v>
      </c>
      <c r="C1729" t="s">
        <v>169</v>
      </c>
      <c r="D1729" t="s">
        <v>104</v>
      </c>
      <c r="E1729" s="1">
        <v>46313</v>
      </c>
      <c r="F1729" s="1">
        <v>46316</v>
      </c>
      <c r="G1729" t="s">
        <v>41</v>
      </c>
      <c r="H1729">
        <v>6447</v>
      </c>
      <c r="I1729" t="s">
        <v>54</v>
      </c>
      <c r="J1729" t="b">
        <v>0</v>
      </c>
      <c r="K1729">
        <v>3</v>
      </c>
      <c r="L1729">
        <v>10</v>
      </c>
      <c r="M1729">
        <v>2026</v>
      </c>
      <c r="N1729">
        <v>2</v>
      </c>
      <c r="O1729">
        <v>10</v>
      </c>
      <c r="P1729">
        <v>2026</v>
      </c>
      <c r="Q1729">
        <v>6</v>
      </c>
      <c r="R1729" t="s">
        <v>40</v>
      </c>
      <c r="S1729" t="s">
        <v>41</v>
      </c>
      <c r="T1729" t="s">
        <v>113</v>
      </c>
      <c r="U1729" t="s">
        <v>40</v>
      </c>
      <c r="V1729" t="s">
        <v>170</v>
      </c>
      <c r="W1729" t="s">
        <v>171</v>
      </c>
      <c r="X1729" t="s">
        <v>126</v>
      </c>
      <c r="Y1729">
        <v>90</v>
      </c>
      <c r="Z1729" t="s">
        <v>107</v>
      </c>
      <c r="AA1729" t="s">
        <v>108</v>
      </c>
      <c r="AB1729" s="1">
        <v>46316</v>
      </c>
      <c r="AC1729" t="s">
        <v>40</v>
      </c>
      <c r="AD1729" t="s">
        <v>40</v>
      </c>
      <c r="AE1729" t="s">
        <v>60</v>
      </c>
      <c r="AF1729" t="s">
        <v>40</v>
      </c>
      <c r="AG1729">
        <v>1</v>
      </c>
      <c r="AH1729" t="s">
        <v>100</v>
      </c>
    </row>
    <row r="1730" spans="1:34" x14ac:dyDescent="0.3">
      <c r="A1730" t="s">
        <v>2445</v>
      </c>
      <c r="B1730" t="s">
        <v>399</v>
      </c>
      <c r="C1730" t="s">
        <v>79</v>
      </c>
      <c r="D1730" t="s">
        <v>130</v>
      </c>
      <c r="E1730" s="1">
        <v>45730</v>
      </c>
      <c r="F1730" s="1">
        <v>45744</v>
      </c>
      <c r="G1730" t="s">
        <v>38</v>
      </c>
      <c r="H1730">
        <v>5307</v>
      </c>
      <c r="I1730" t="s">
        <v>39</v>
      </c>
      <c r="J1730" t="b">
        <v>0</v>
      </c>
      <c r="K1730">
        <v>14</v>
      </c>
      <c r="L1730">
        <v>3</v>
      </c>
      <c r="M1730">
        <v>2025</v>
      </c>
      <c r="N1730">
        <v>4</v>
      </c>
      <c r="O1730">
        <v>3</v>
      </c>
      <c r="P1730">
        <v>2025</v>
      </c>
      <c r="Q1730">
        <v>4</v>
      </c>
      <c r="R1730" t="s">
        <v>40</v>
      </c>
      <c r="S1730" t="s">
        <v>67</v>
      </c>
      <c r="T1730" t="s">
        <v>42</v>
      </c>
      <c r="U1730" t="s">
        <v>40</v>
      </c>
      <c r="V1730" t="s">
        <v>82</v>
      </c>
      <c r="W1730" t="s">
        <v>83</v>
      </c>
      <c r="X1730" t="s">
        <v>76</v>
      </c>
      <c r="Y1730">
        <v>100</v>
      </c>
      <c r="Z1730" t="s">
        <v>133</v>
      </c>
      <c r="AA1730" t="s">
        <v>134</v>
      </c>
      <c r="AB1730" s="1">
        <v>45744</v>
      </c>
      <c r="AC1730" t="s">
        <v>40</v>
      </c>
      <c r="AD1730" t="s">
        <v>40</v>
      </c>
      <c r="AE1730" t="s">
        <v>60</v>
      </c>
      <c r="AF1730" t="s">
        <v>40</v>
      </c>
      <c r="AG1730">
        <v>0</v>
      </c>
      <c r="AH1730" t="s">
        <v>70</v>
      </c>
    </row>
    <row r="1731" spans="1:34" x14ac:dyDescent="0.3">
      <c r="A1731" t="s">
        <v>2446</v>
      </c>
      <c r="B1731" t="s">
        <v>1629</v>
      </c>
      <c r="C1731" t="s">
        <v>79</v>
      </c>
      <c r="D1731" t="s">
        <v>104</v>
      </c>
      <c r="E1731" s="1">
        <v>45713</v>
      </c>
      <c r="F1731" s="1">
        <v>45727</v>
      </c>
      <c r="G1731" t="s">
        <v>41</v>
      </c>
      <c r="H1731">
        <v>5734</v>
      </c>
      <c r="I1731" t="s">
        <v>39</v>
      </c>
      <c r="J1731" t="b">
        <v>0</v>
      </c>
      <c r="K1731">
        <v>14</v>
      </c>
      <c r="L1731">
        <v>3</v>
      </c>
      <c r="M1731">
        <v>2025</v>
      </c>
      <c r="N1731">
        <v>1</v>
      </c>
      <c r="O1731">
        <v>2</v>
      </c>
      <c r="P1731">
        <v>2025</v>
      </c>
      <c r="Q1731">
        <v>1</v>
      </c>
      <c r="R1731" t="s">
        <v>40</v>
      </c>
      <c r="S1731" t="s">
        <v>45</v>
      </c>
      <c r="T1731" t="s">
        <v>42</v>
      </c>
      <c r="U1731" t="s">
        <v>66</v>
      </c>
      <c r="V1731" t="s">
        <v>82</v>
      </c>
      <c r="W1731" t="s">
        <v>83</v>
      </c>
      <c r="X1731" t="s">
        <v>76</v>
      </c>
      <c r="Y1731">
        <v>100</v>
      </c>
      <c r="Z1731" t="s">
        <v>107</v>
      </c>
      <c r="AA1731" t="s">
        <v>108</v>
      </c>
      <c r="AB1731" s="1">
        <v>45727</v>
      </c>
      <c r="AC1731" t="s">
        <v>40</v>
      </c>
      <c r="AD1731" t="s">
        <v>40</v>
      </c>
      <c r="AE1731" t="s">
        <v>60</v>
      </c>
      <c r="AF1731" t="s">
        <v>40</v>
      </c>
      <c r="AG1731">
        <v>0</v>
      </c>
      <c r="AH1731" t="s">
        <v>70</v>
      </c>
    </row>
    <row r="1732" spans="1:34" x14ac:dyDescent="0.3">
      <c r="A1732" t="s">
        <v>2447</v>
      </c>
      <c r="B1732" t="s">
        <v>1311</v>
      </c>
      <c r="C1732" t="s">
        <v>169</v>
      </c>
      <c r="D1732" t="s">
        <v>104</v>
      </c>
      <c r="E1732" s="1">
        <v>46238</v>
      </c>
      <c r="F1732" s="1">
        <v>46245</v>
      </c>
      <c r="G1732" t="s">
        <v>41</v>
      </c>
      <c r="H1732">
        <v>5397</v>
      </c>
      <c r="I1732" t="s">
        <v>65</v>
      </c>
      <c r="J1732" t="b">
        <v>0</v>
      </c>
      <c r="K1732">
        <v>7</v>
      </c>
      <c r="L1732">
        <v>8</v>
      </c>
      <c r="M1732">
        <v>2026</v>
      </c>
      <c r="N1732">
        <v>1</v>
      </c>
      <c r="O1732">
        <v>8</v>
      </c>
      <c r="P1732">
        <v>2026</v>
      </c>
      <c r="Q1732">
        <v>1</v>
      </c>
      <c r="R1732" t="s">
        <v>40</v>
      </c>
      <c r="S1732" t="s">
        <v>45</v>
      </c>
      <c r="T1732" t="s">
        <v>48</v>
      </c>
      <c r="U1732" t="s">
        <v>40</v>
      </c>
      <c r="V1732" t="s">
        <v>170</v>
      </c>
      <c r="W1732" t="s">
        <v>171</v>
      </c>
      <c r="X1732" t="s">
        <v>126</v>
      </c>
      <c r="Y1732">
        <v>90</v>
      </c>
      <c r="Z1732" t="s">
        <v>107</v>
      </c>
      <c r="AA1732" t="s">
        <v>108</v>
      </c>
      <c r="AB1732" s="1">
        <v>46245</v>
      </c>
      <c r="AC1732" t="s">
        <v>40</v>
      </c>
      <c r="AD1732" t="s">
        <v>40</v>
      </c>
      <c r="AE1732" t="s">
        <v>86</v>
      </c>
      <c r="AF1732" t="s">
        <v>40</v>
      </c>
      <c r="AG1732">
        <v>0</v>
      </c>
      <c r="AH1732" t="s">
        <v>100</v>
      </c>
    </row>
    <row r="1733" spans="1:34" x14ac:dyDescent="0.3">
      <c r="A1733" t="s">
        <v>2448</v>
      </c>
      <c r="B1733" t="s">
        <v>831</v>
      </c>
      <c r="C1733" t="s">
        <v>155</v>
      </c>
      <c r="D1733" t="s">
        <v>130</v>
      </c>
      <c r="E1733" s="1">
        <v>45984</v>
      </c>
      <c r="F1733" s="1">
        <v>46044</v>
      </c>
      <c r="G1733" t="s">
        <v>64</v>
      </c>
      <c r="H1733">
        <v>4111</v>
      </c>
      <c r="I1733" t="s">
        <v>39</v>
      </c>
      <c r="J1733" t="b">
        <v>0</v>
      </c>
      <c r="K1733">
        <v>60</v>
      </c>
      <c r="L1733">
        <v>1</v>
      </c>
      <c r="M1733">
        <v>2026</v>
      </c>
      <c r="N1733">
        <v>3</v>
      </c>
      <c r="O1733">
        <v>11</v>
      </c>
      <c r="P1733">
        <v>2025</v>
      </c>
      <c r="Q1733">
        <v>6</v>
      </c>
      <c r="R1733" t="s">
        <v>40</v>
      </c>
      <c r="S1733" t="s">
        <v>41</v>
      </c>
      <c r="T1733" t="s">
        <v>48</v>
      </c>
      <c r="U1733" t="s">
        <v>40</v>
      </c>
      <c r="V1733" t="s">
        <v>156</v>
      </c>
      <c r="W1733" t="s">
        <v>157</v>
      </c>
      <c r="X1733" t="s">
        <v>158</v>
      </c>
      <c r="Y1733">
        <v>70</v>
      </c>
      <c r="Z1733" t="s">
        <v>133</v>
      </c>
      <c r="AA1733" t="s">
        <v>134</v>
      </c>
      <c r="AB1733" s="1">
        <v>46044</v>
      </c>
      <c r="AC1733" t="s">
        <v>40</v>
      </c>
      <c r="AD1733" t="s">
        <v>40</v>
      </c>
      <c r="AE1733" t="s">
        <v>86</v>
      </c>
      <c r="AF1733" t="s">
        <v>40</v>
      </c>
      <c r="AG1733">
        <v>0</v>
      </c>
      <c r="AH1733" t="s">
        <v>61</v>
      </c>
    </row>
    <row r="1734" spans="1:34" x14ac:dyDescent="0.3">
      <c r="A1734" t="s">
        <v>2449</v>
      </c>
      <c r="B1734" t="s">
        <v>175</v>
      </c>
      <c r="C1734" t="s">
        <v>89</v>
      </c>
      <c r="D1734" t="s">
        <v>104</v>
      </c>
      <c r="E1734" s="1">
        <v>46252</v>
      </c>
      <c r="F1734" s="1">
        <v>46259</v>
      </c>
      <c r="G1734" t="s">
        <v>81</v>
      </c>
      <c r="H1734">
        <v>11036</v>
      </c>
      <c r="I1734" t="s">
        <v>39</v>
      </c>
      <c r="J1734" t="b">
        <v>0</v>
      </c>
      <c r="K1734">
        <v>7</v>
      </c>
      <c r="L1734">
        <v>8</v>
      </c>
      <c r="M1734">
        <v>2026</v>
      </c>
      <c r="N1734">
        <v>1</v>
      </c>
      <c r="O1734">
        <v>8</v>
      </c>
      <c r="P1734">
        <v>2026</v>
      </c>
      <c r="Q1734">
        <v>1</v>
      </c>
      <c r="R1734" t="s">
        <v>40</v>
      </c>
      <c r="S1734" t="s">
        <v>41</v>
      </c>
      <c r="T1734" t="s">
        <v>42</v>
      </c>
      <c r="U1734" t="s">
        <v>40</v>
      </c>
      <c r="V1734" t="s">
        <v>91</v>
      </c>
      <c r="W1734" t="s">
        <v>92</v>
      </c>
      <c r="X1734" t="s">
        <v>76</v>
      </c>
      <c r="Y1734">
        <v>65</v>
      </c>
      <c r="Z1734" t="s">
        <v>107</v>
      </c>
      <c r="AA1734" t="s">
        <v>108</v>
      </c>
      <c r="AB1734" s="1">
        <v>46259</v>
      </c>
      <c r="AC1734" t="s">
        <v>40</v>
      </c>
      <c r="AD1734" t="s">
        <v>40</v>
      </c>
      <c r="AE1734" t="s">
        <v>86</v>
      </c>
      <c r="AF1734" t="s">
        <v>40</v>
      </c>
      <c r="AG1734">
        <v>0</v>
      </c>
      <c r="AH1734" t="s">
        <v>100</v>
      </c>
    </row>
    <row r="1735" spans="1:34" x14ac:dyDescent="0.3">
      <c r="A1735" t="s">
        <v>2450</v>
      </c>
      <c r="B1735" t="s">
        <v>1923</v>
      </c>
      <c r="C1735" t="s">
        <v>129</v>
      </c>
      <c r="D1735" t="s">
        <v>37</v>
      </c>
      <c r="E1735" s="1">
        <v>46230</v>
      </c>
      <c r="F1735" s="1">
        <v>46244</v>
      </c>
      <c r="G1735" t="s">
        <v>64</v>
      </c>
      <c r="H1735">
        <v>3606</v>
      </c>
      <c r="I1735" t="s">
        <v>65</v>
      </c>
      <c r="J1735" t="b">
        <v>0</v>
      </c>
      <c r="K1735">
        <v>14</v>
      </c>
      <c r="L1735">
        <v>8</v>
      </c>
      <c r="M1735">
        <v>2026</v>
      </c>
      <c r="N1735">
        <v>0</v>
      </c>
      <c r="O1735">
        <v>7</v>
      </c>
      <c r="P1735">
        <v>2026</v>
      </c>
      <c r="Q1735">
        <v>0</v>
      </c>
      <c r="R1735" t="s">
        <v>40</v>
      </c>
      <c r="S1735" t="s">
        <v>45</v>
      </c>
      <c r="T1735" t="s">
        <v>42</v>
      </c>
      <c r="U1735" t="s">
        <v>66</v>
      </c>
      <c r="V1735" t="s">
        <v>131</v>
      </c>
      <c r="W1735" t="s">
        <v>132</v>
      </c>
      <c r="X1735" t="s">
        <v>45</v>
      </c>
      <c r="Y1735">
        <v>110</v>
      </c>
      <c r="Z1735" t="s">
        <v>46</v>
      </c>
      <c r="AA1735" t="s">
        <v>47</v>
      </c>
      <c r="AB1735" s="1">
        <v>46244</v>
      </c>
      <c r="AC1735" t="s">
        <v>40</v>
      </c>
      <c r="AD1735" t="s">
        <v>40</v>
      </c>
      <c r="AE1735" t="s">
        <v>86</v>
      </c>
      <c r="AF1735" t="s">
        <v>40</v>
      </c>
      <c r="AG1735">
        <v>0</v>
      </c>
      <c r="AH1735" t="s">
        <v>70</v>
      </c>
    </row>
    <row r="1736" spans="1:34" x14ac:dyDescent="0.3">
      <c r="A1736" t="s">
        <v>2451</v>
      </c>
      <c r="B1736" t="s">
        <v>1122</v>
      </c>
      <c r="C1736" t="s">
        <v>122</v>
      </c>
      <c r="D1736" t="s">
        <v>37</v>
      </c>
      <c r="E1736" s="1">
        <v>45748</v>
      </c>
      <c r="F1736" s="1">
        <v>45778</v>
      </c>
      <c r="G1736" t="s">
        <v>38</v>
      </c>
      <c r="H1736">
        <v>3910</v>
      </c>
      <c r="I1736" t="s">
        <v>39</v>
      </c>
      <c r="J1736" t="b">
        <v>0</v>
      </c>
      <c r="K1736">
        <v>30</v>
      </c>
      <c r="L1736">
        <v>5</v>
      </c>
      <c r="M1736">
        <v>2025</v>
      </c>
      <c r="N1736">
        <v>3</v>
      </c>
      <c r="O1736">
        <v>4</v>
      </c>
      <c r="P1736">
        <v>2025</v>
      </c>
      <c r="Q1736">
        <v>1</v>
      </c>
      <c r="R1736" t="s">
        <v>40</v>
      </c>
      <c r="S1736" t="s">
        <v>41</v>
      </c>
      <c r="T1736" t="s">
        <v>139</v>
      </c>
      <c r="U1736" t="s">
        <v>40</v>
      </c>
      <c r="V1736" t="s">
        <v>124</v>
      </c>
      <c r="W1736" t="s">
        <v>125</v>
      </c>
      <c r="X1736" t="s">
        <v>126</v>
      </c>
      <c r="Y1736">
        <v>85</v>
      </c>
      <c r="Z1736" t="s">
        <v>46</v>
      </c>
      <c r="AA1736" t="s">
        <v>47</v>
      </c>
      <c r="AB1736" s="1">
        <v>45778</v>
      </c>
      <c r="AC1736" t="s">
        <v>40</v>
      </c>
      <c r="AD1736" t="s">
        <v>40</v>
      </c>
      <c r="AE1736" t="s">
        <v>69</v>
      </c>
      <c r="AF1736" t="s">
        <v>40</v>
      </c>
      <c r="AG1736">
        <v>0</v>
      </c>
      <c r="AH1736" t="s">
        <v>70</v>
      </c>
    </row>
    <row r="1737" spans="1:34" x14ac:dyDescent="0.3">
      <c r="A1737" t="s">
        <v>2452</v>
      </c>
      <c r="B1737" t="s">
        <v>2453</v>
      </c>
      <c r="C1737" t="s">
        <v>73</v>
      </c>
      <c r="D1737" t="s">
        <v>90</v>
      </c>
      <c r="E1737" s="1">
        <v>45805</v>
      </c>
      <c r="F1737" s="1">
        <v>45865</v>
      </c>
      <c r="G1737" t="s">
        <v>41</v>
      </c>
      <c r="H1737">
        <v>7316</v>
      </c>
      <c r="I1737" t="s">
        <v>39</v>
      </c>
      <c r="J1737" t="b">
        <v>0</v>
      </c>
      <c r="K1737">
        <v>60</v>
      </c>
      <c r="L1737">
        <v>7</v>
      </c>
      <c r="M1737">
        <v>2025</v>
      </c>
      <c r="N1737">
        <v>6</v>
      </c>
      <c r="O1737">
        <v>5</v>
      </c>
      <c r="P1737">
        <v>2025</v>
      </c>
      <c r="Q1737">
        <v>2</v>
      </c>
      <c r="R1737" t="s">
        <v>66</v>
      </c>
      <c r="S1737" t="s">
        <v>67</v>
      </c>
      <c r="T1737" t="s">
        <v>42</v>
      </c>
      <c r="U1737" t="s">
        <v>40</v>
      </c>
      <c r="V1737" t="s">
        <v>74</v>
      </c>
      <c r="W1737" t="s">
        <v>75</v>
      </c>
      <c r="X1737" t="s">
        <v>76</v>
      </c>
      <c r="Y1737">
        <v>75</v>
      </c>
      <c r="Z1737" t="s">
        <v>93</v>
      </c>
      <c r="AA1737" t="s">
        <v>94</v>
      </c>
      <c r="AB1737" s="1">
        <v>45865</v>
      </c>
      <c r="AC1737" t="s">
        <v>66</v>
      </c>
      <c r="AD1737" t="s">
        <v>40</v>
      </c>
      <c r="AE1737" t="s">
        <v>86</v>
      </c>
      <c r="AF1737" t="s">
        <v>40</v>
      </c>
      <c r="AG1737">
        <v>0</v>
      </c>
      <c r="AH1737" t="s">
        <v>61</v>
      </c>
    </row>
    <row r="1738" spans="1:34" x14ac:dyDescent="0.3">
      <c r="A1738" t="s">
        <v>2454</v>
      </c>
      <c r="B1738" t="s">
        <v>570</v>
      </c>
      <c r="C1738" t="s">
        <v>146</v>
      </c>
      <c r="D1738" t="s">
        <v>90</v>
      </c>
      <c r="E1738" s="1">
        <v>45987</v>
      </c>
      <c r="F1738" s="1">
        <v>45994</v>
      </c>
      <c r="G1738" t="s">
        <v>38</v>
      </c>
      <c r="H1738">
        <v>5384</v>
      </c>
      <c r="I1738" t="s">
        <v>39</v>
      </c>
      <c r="J1738" t="b">
        <v>0</v>
      </c>
      <c r="K1738">
        <v>7</v>
      </c>
      <c r="L1738">
        <v>12</v>
      </c>
      <c r="M1738">
        <v>2025</v>
      </c>
      <c r="N1738">
        <v>2</v>
      </c>
      <c r="O1738">
        <v>11</v>
      </c>
      <c r="P1738">
        <v>2025</v>
      </c>
      <c r="Q1738">
        <v>2</v>
      </c>
      <c r="R1738" t="s">
        <v>40</v>
      </c>
      <c r="S1738" t="s">
        <v>41</v>
      </c>
      <c r="T1738" t="s">
        <v>42</v>
      </c>
      <c r="U1738" t="s">
        <v>40</v>
      </c>
      <c r="V1738" t="s">
        <v>147</v>
      </c>
      <c r="W1738" t="s">
        <v>148</v>
      </c>
      <c r="X1738" t="s">
        <v>45</v>
      </c>
      <c r="Y1738">
        <v>160</v>
      </c>
      <c r="Z1738" t="s">
        <v>93</v>
      </c>
      <c r="AA1738" t="s">
        <v>94</v>
      </c>
      <c r="AB1738" s="1">
        <v>45994</v>
      </c>
      <c r="AC1738" t="s">
        <v>40</v>
      </c>
      <c r="AD1738" t="s">
        <v>40</v>
      </c>
      <c r="AE1738" t="s">
        <v>69</v>
      </c>
      <c r="AF1738" t="s">
        <v>40</v>
      </c>
      <c r="AG1738">
        <v>0</v>
      </c>
      <c r="AH1738" t="s">
        <v>100</v>
      </c>
    </row>
    <row r="1739" spans="1:34" x14ac:dyDescent="0.3">
      <c r="A1739" t="s">
        <v>2455</v>
      </c>
      <c r="B1739" t="s">
        <v>1304</v>
      </c>
      <c r="C1739" t="s">
        <v>122</v>
      </c>
      <c r="D1739" t="s">
        <v>90</v>
      </c>
      <c r="E1739" s="1">
        <v>46294</v>
      </c>
      <c r="F1739" s="1">
        <v>46444</v>
      </c>
      <c r="G1739" t="s">
        <v>38</v>
      </c>
      <c r="H1739">
        <v>5691</v>
      </c>
      <c r="I1739" t="s">
        <v>54</v>
      </c>
      <c r="J1739" t="b">
        <v>0</v>
      </c>
      <c r="K1739">
        <v>150</v>
      </c>
      <c r="L1739">
        <v>2</v>
      </c>
      <c r="M1739">
        <v>2027</v>
      </c>
      <c r="N1739">
        <v>4</v>
      </c>
      <c r="O1739">
        <v>9</v>
      </c>
      <c r="P1739">
        <v>2026</v>
      </c>
      <c r="Q1739">
        <v>1</v>
      </c>
      <c r="R1739" t="s">
        <v>40</v>
      </c>
      <c r="S1739" t="s">
        <v>67</v>
      </c>
      <c r="T1739" t="s">
        <v>42</v>
      </c>
      <c r="U1739" t="s">
        <v>40</v>
      </c>
      <c r="V1739" t="s">
        <v>124</v>
      </c>
      <c r="W1739" t="s">
        <v>125</v>
      </c>
      <c r="X1739" t="s">
        <v>126</v>
      </c>
      <c r="Y1739">
        <v>85</v>
      </c>
      <c r="Z1739" t="s">
        <v>93</v>
      </c>
      <c r="AA1739" t="s">
        <v>94</v>
      </c>
      <c r="AB1739" s="1"/>
      <c r="AC1739" t="s">
        <v>48</v>
      </c>
      <c r="AD1739" t="s">
        <v>48</v>
      </c>
      <c r="AE1739" t="s">
        <v>48</v>
      </c>
      <c r="AF1739" t="s">
        <v>48</v>
      </c>
      <c r="AG1739">
        <v>1</v>
      </c>
      <c r="AH1739" t="s">
        <v>49</v>
      </c>
    </row>
    <row r="1740" spans="1:34" x14ac:dyDescent="0.3">
      <c r="A1740" t="s">
        <v>2456</v>
      </c>
      <c r="B1740" t="s">
        <v>1435</v>
      </c>
      <c r="C1740" t="s">
        <v>52</v>
      </c>
      <c r="D1740" t="s">
        <v>80</v>
      </c>
      <c r="E1740" s="1">
        <v>45754</v>
      </c>
      <c r="F1740" s="1">
        <v>45761</v>
      </c>
      <c r="G1740" t="s">
        <v>64</v>
      </c>
      <c r="H1740">
        <v>3066</v>
      </c>
      <c r="I1740" t="s">
        <v>39</v>
      </c>
      <c r="J1740" t="b">
        <v>0</v>
      </c>
      <c r="K1740">
        <v>7</v>
      </c>
      <c r="L1740">
        <v>4</v>
      </c>
      <c r="M1740">
        <v>2025</v>
      </c>
      <c r="N1740">
        <v>0</v>
      </c>
      <c r="O1740">
        <v>4</v>
      </c>
      <c r="P1740">
        <v>2025</v>
      </c>
      <c r="Q1740">
        <v>0</v>
      </c>
      <c r="R1740" t="s">
        <v>40</v>
      </c>
      <c r="S1740" t="s">
        <v>41</v>
      </c>
      <c r="T1740" t="s">
        <v>42</v>
      </c>
      <c r="U1740" t="s">
        <v>40</v>
      </c>
      <c r="V1740" t="s">
        <v>56</v>
      </c>
      <c r="W1740" t="s">
        <v>57</v>
      </c>
      <c r="X1740" t="s">
        <v>45</v>
      </c>
      <c r="Y1740">
        <v>120</v>
      </c>
      <c r="Z1740" t="s">
        <v>84</v>
      </c>
      <c r="AA1740" t="s">
        <v>85</v>
      </c>
      <c r="AB1740" s="1">
        <v>45761</v>
      </c>
      <c r="AC1740" t="s">
        <v>40</v>
      </c>
      <c r="AD1740" t="s">
        <v>40</v>
      </c>
      <c r="AE1740" t="s">
        <v>69</v>
      </c>
      <c r="AF1740" t="s">
        <v>66</v>
      </c>
      <c r="AG1740">
        <v>0</v>
      </c>
      <c r="AH1740" t="s">
        <v>100</v>
      </c>
    </row>
    <row r="1741" spans="1:34" x14ac:dyDescent="0.3">
      <c r="A1741" t="s">
        <v>2457</v>
      </c>
      <c r="B1741" t="s">
        <v>1012</v>
      </c>
      <c r="C1741" t="s">
        <v>169</v>
      </c>
      <c r="D1741" t="s">
        <v>104</v>
      </c>
      <c r="E1741" s="1">
        <v>46333</v>
      </c>
      <c r="F1741" s="1">
        <v>46334</v>
      </c>
      <c r="G1741" t="s">
        <v>38</v>
      </c>
      <c r="H1741">
        <v>5479</v>
      </c>
      <c r="I1741" t="s">
        <v>54</v>
      </c>
      <c r="J1741" t="b">
        <v>0</v>
      </c>
      <c r="K1741">
        <v>1</v>
      </c>
      <c r="L1741">
        <v>11</v>
      </c>
      <c r="M1741">
        <v>2026</v>
      </c>
      <c r="N1741">
        <v>6</v>
      </c>
      <c r="O1741">
        <v>11</v>
      </c>
      <c r="P1741">
        <v>2026</v>
      </c>
      <c r="Q1741">
        <v>5</v>
      </c>
      <c r="R1741" t="s">
        <v>66</v>
      </c>
      <c r="S1741" t="s">
        <v>55</v>
      </c>
      <c r="T1741" t="s">
        <v>68</v>
      </c>
      <c r="U1741" t="s">
        <v>40</v>
      </c>
      <c r="V1741" t="s">
        <v>170</v>
      </c>
      <c r="W1741" t="s">
        <v>171</v>
      </c>
      <c r="X1741" t="s">
        <v>126</v>
      </c>
      <c r="Y1741">
        <v>90</v>
      </c>
      <c r="Z1741" t="s">
        <v>107</v>
      </c>
      <c r="AA1741" t="s">
        <v>108</v>
      </c>
      <c r="AB1741" s="1">
        <v>46334</v>
      </c>
      <c r="AC1741" t="s">
        <v>66</v>
      </c>
      <c r="AD1741" t="s">
        <v>40</v>
      </c>
      <c r="AE1741" t="s">
        <v>86</v>
      </c>
      <c r="AF1741" t="s">
        <v>40</v>
      </c>
      <c r="AG1741">
        <v>1</v>
      </c>
      <c r="AH1741" t="s">
        <v>100</v>
      </c>
    </row>
    <row r="1742" spans="1:34" x14ac:dyDescent="0.3">
      <c r="A1742" t="s">
        <v>2458</v>
      </c>
      <c r="B1742" t="s">
        <v>1366</v>
      </c>
      <c r="C1742" t="s">
        <v>89</v>
      </c>
      <c r="D1742" t="s">
        <v>53</v>
      </c>
      <c r="E1742" s="1">
        <v>45787</v>
      </c>
      <c r="F1742" s="1">
        <v>45887</v>
      </c>
      <c r="G1742" t="s">
        <v>64</v>
      </c>
      <c r="H1742">
        <v>2862</v>
      </c>
      <c r="I1742" t="s">
        <v>54</v>
      </c>
      <c r="J1742" t="b">
        <v>0</v>
      </c>
      <c r="K1742">
        <v>100</v>
      </c>
      <c r="L1742">
        <v>8</v>
      </c>
      <c r="M1742">
        <v>2025</v>
      </c>
      <c r="N1742">
        <v>0</v>
      </c>
      <c r="O1742">
        <v>5</v>
      </c>
      <c r="P1742">
        <v>2025</v>
      </c>
      <c r="Q1742">
        <v>5</v>
      </c>
      <c r="R1742" t="s">
        <v>40</v>
      </c>
      <c r="S1742" t="s">
        <v>45</v>
      </c>
      <c r="T1742" t="s">
        <v>42</v>
      </c>
      <c r="U1742" t="s">
        <v>40</v>
      </c>
      <c r="V1742" t="s">
        <v>91</v>
      </c>
      <c r="W1742" t="s">
        <v>92</v>
      </c>
      <c r="X1742" t="s">
        <v>76</v>
      </c>
      <c r="Y1742">
        <v>65</v>
      </c>
      <c r="Z1742" t="s">
        <v>58</v>
      </c>
      <c r="AA1742" t="s">
        <v>59</v>
      </c>
      <c r="AB1742" s="1">
        <v>45887</v>
      </c>
      <c r="AC1742" t="s">
        <v>40</v>
      </c>
      <c r="AD1742" t="s">
        <v>40</v>
      </c>
      <c r="AE1742" t="s">
        <v>86</v>
      </c>
      <c r="AF1742" t="s">
        <v>40</v>
      </c>
      <c r="AG1742">
        <v>1</v>
      </c>
      <c r="AH1742" t="s">
        <v>49</v>
      </c>
    </row>
    <row r="1743" spans="1:34" x14ac:dyDescent="0.3">
      <c r="A1743" t="s">
        <v>2459</v>
      </c>
      <c r="B1743" t="s">
        <v>1265</v>
      </c>
      <c r="C1743" t="s">
        <v>73</v>
      </c>
      <c r="D1743" t="s">
        <v>130</v>
      </c>
      <c r="E1743" s="1">
        <v>45688</v>
      </c>
      <c r="F1743" s="1">
        <v>45689</v>
      </c>
      <c r="G1743" t="s">
        <v>41</v>
      </c>
      <c r="H1743">
        <v>5754</v>
      </c>
      <c r="I1743" t="s">
        <v>39</v>
      </c>
      <c r="J1743" t="b">
        <v>0</v>
      </c>
      <c r="K1743">
        <v>1</v>
      </c>
      <c r="L1743">
        <v>2</v>
      </c>
      <c r="M1743">
        <v>2025</v>
      </c>
      <c r="N1743">
        <v>5</v>
      </c>
      <c r="O1743">
        <v>1</v>
      </c>
      <c r="P1743">
        <v>2025</v>
      </c>
      <c r="Q1743">
        <v>4</v>
      </c>
      <c r="R1743" t="s">
        <v>66</v>
      </c>
      <c r="S1743" t="s">
        <v>55</v>
      </c>
      <c r="T1743" t="s">
        <v>42</v>
      </c>
      <c r="U1743" t="s">
        <v>40</v>
      </c>
      <c r="V1743" t="s">
        <v>74</v>
      </c>
      <c r="W1743" t="s">
        <v>75</v>
      </c>
      <c r="X1743" t="s">
        <v>76</v>
      </c>
      <c r="Y1743">
        <v>75</v>
      </c>
      <c r="Z1743" t="s">
        <v>133</v>
      </c>
      <c r="AA1743" t="s">
        <v>134</v>
      </c>
      <c r="AB1743" s="1">
        <v>45689</v>
      </c>
      <c r="AC1743" t="s">
        <v>66</v>
      </c>
      <c r="AD1743" t="s">
        <v>40</v>
      </c>
      <c r="AE1743" t="s">
        <v>60</v>
      </c>
      <c r="AF1743" t="s">
        <v>40</v>
      </c>
      <c r="AG1743">
        <v>0</v>
      </c>
      <c r="AH1743" t="s">
        <v>100</v>
      </c>
    </row>
    <row r="1744" spans="1:34" x14ac:dyDescent="0.3">
      <c r="A1744" t="s">
        <v>2460</v>
      </c>
      <c r="B1744" t="s">
        <v>880</v>
      </c>
      <c r="C1744" t="s">
        <v>97</v>
      </c>
      <c r="D1744" t="s">
        <v>104</v>
      </c>
      <c r="E1744" s="1">
        <v>46118</v>
      </c>
      <c r="F1744" s="1">
        <v>46132</v>
      </c>
      <c r="G1744" t="s">
        <v>38</v>
      </c>
      <c r="H1744">
        <v>3808</v>
      </c>
      <c r="I1744" t="s">
        <v>39</v>
      </c>
      <c r="J1744" t="b">
        <v>0</v>
      </c>
      <c r="K1744">
        <v>14</v>
      </c>
      <c r="L1744">
        <v>4</v>
      </c>
      <c r="M1744">
        <v>2026</v>
      </c>
      <c r="N1744">
        <v>0</v>
      </c>
      <c r="O1744">
        <v>4</v>
      </c>
      <c r="P1744">
        <v>2026</v>
      </c>
      <c r="Q1744">
        <v>0</v>
      </c>
      <c r="R1744" t="s">
        <v>40</v>
      </c>
      <c r="S1744" t="s">
        <v>55</v>
      </c>
      <c r="T1744" t="s">
        <v>42</v>
      </c>
      <c r="U1744" t="s">
        <v>40</v>
      </c>
      <c r="V1744" t="s">
        <v>98</v>
      </c>
      <c r="W1744" t="s">
        <v>99</v>
      </c>
      <c r="X1744" t="s">
        <v>76</v>
      </c>
      <c r="Y1744">
        <v>80</v>
      </c>
      <c r="Z1744" t="s">
        <v>107</v>
      </c>
      <c r="AA1744" t="s">
        <v>108</v>
      </c>
      <c r="AB1744" s="1">
        <v>46132</v>
      </c>
      <c r="AC1744" t="s">
        <v>40</v>
      </c>
      <c r="AD1744" t="s">
        <v>40</v>
      </c>
      <c r="AE1744" t="s">
        <v>69</v>
      </c>
      <c r="AF1744" t="s">
        <v>40</v>
      </c>
      <c r="AG1744">
        <v>0</v>
      </c>
      <c r="AH1744" t="s">
        <v>70</v>
      </c>
    </row>
    <row r="1745" spans="1:34" x14ac:dyDescent="0.3">
      <c r="A1745" t="s">
        <v>2461</v>
      </c>
      <c r="B1745" t="s">
        <v>824</v>
      </c>
      <c r="C1745" t="s">
        <v>103</v>
      </c>
      <c r="D1745" t="s">
        <v>53</v>
      </c>
      <c r="E1745" s="1">
        <v>46147</v>
      </c>
      <c r="F1745" s="1">
        <v>46148</v>
      </c>
      <c r="G1745" t="s">
        <v>41</v>
      </c>
      <c r="H1745">
        <v>5214</v>
      </c>
      <c r="I1745" t="s">
        <v>39</v>
      </c>
      <c r="J1745" t="b">
        <v>0</v>
      </c>
      <c r="K1745">
        <v>1</v>
      </c>
      <c r="L1745">
        <v>5</v>
      </c>
      <c r="M1745">
        <v>2026</v>
      </c>
      <c r="N1745">
        <v>2</v>
      </c>
      <c r="O1745">
        <v>5</v>
      </c>
      <c r="P1745">
        <v>2026</v>
      </c>
      <c r="Q1745">
        <v>1</v>
      </c>
      <c r="R1745" t="s">
        <v>40</v>
      </c>
      <c r="S1745" t="s">
        <v>41</v>
      </c>
      <c r="T1745" t="s">
        <v>42</v>
      </c>
      <c r="U1745" t="s">
        <v>66</v>
      </c>
      <c r="V1745" t="s">
        <v>105</v>
      </c>
      <c r="W1745" t="s">
        <v>106</v>
      </c>
      <c r="X1745" t="s">
        <v>45</v>
      </c>
      <c r="Y1745">
        <v>140</v>
      </c>
      <c r="Z1745" t="s">
        <v>58</v>
      </c>
      <c r="AA1745" t="s">
        <v>59</v>
      </c>
      <c r="AB1745" s="1">
        <v>46148</v>
      </c>
      <c r="AC1745" t="s">
        <v>40</v>
      </c>
      <c r="AD1745" t="s">
        <v>40</v>
      </c>
      <c r="AE1745" t="s">
        <v>69</v>
      </c>
      <c r="AF1745" t="s">
        <v>40</v>
      </c>
      <c r="AG1745">
        <v>0</v>
      </c>
      <c r="AH1745" t="s">
        <v>100</v>
      </c>
    </row>
    <row r="1746" spans="1:34" x14ac:dyDescent="0.3">
      <c r="A1746" t="s">
        <v>2462</v>
      </c>
      <c r="B1746" t="s">
        <v>411</v>
      </c>
      <c r="C1746" t="s">
        <v>97</v>
      </c>
      <c r="D1746" t="s">
        <v>80</v>
      </c>
      <c r="E1746" s="1">
        <v>46173</v>
      </c>
      <c r="F1746" s="1">
        <v>46233</v>
      </c>
      <c r="G1746" t="s">
        <v>38</v>
      </c>
      <c r="H1746">
        <v>3653</v>
      </c>
      <c r="I1746" t="s">
        <v>39</v>
      </c>
      <c r="J1746" t="b">
        <v>0</v>
      </c>
      <c r="K1746">
        <v>60</v>
      </c>
      <c r="L1746">
        <v>7</v>
      </c>
      <c r="M1746">
        <v>2026</v>
      </c>
      <c r="N1746">
        <v>3</v>
      </c>
      <c r="O1746">
        <v>5</v>
      </c>
      <c r="P1746">
        <v>2026</v>
      </c>
      <c r="Q1746">
        <v>6</v>
      </c>
      <c r="R1746" t="s">
        <v>40</v>
      </c>
      <c r="S1746" t="s">
        <v>41</v>
      </c>
      <c r="T1746" t="s">
        <v>42</v>
      </c>
      <c r="U1746" t="s">
        <v>40</v>
      </c>
      <c r="V1746" t="s">
        <v>98</v>
      </c>
      <c r="W1746" t="s">
        <v>99</v>
      </c>
      <c r="X1746" t="s">
        <v>76</v>
      </c>
      <c r="Y1746">
        <v>80</v>
      </c>
      <c r="Z1746" t="s">
        <v>84</v>
      </c>
      <c r="AA1746" t="s">
        <v>85</v>
      </c>
      <c r="AB1746" s="1">
        <v>46233</v>
      </c>
      <c r="AC1746" t="s">
        <v>40</v>
      </c>
      <c r="AD1746" t="s">
        <v>40</v>
      </c>
      <c r="AE1746" t="s">
        <v>86</v>
      </c>
      <c r="AF1746" t="s">
        <v>40</v>
      </c>
      <c r="AG1746">
        <v>0</v>
      </c>
      <c r="AH1746" t="s">
        <v>61</v>
      </c>
    </row>
    <row r="1747" spans="1:34" x14ac:dyDescent="0.3">
      <c r="A1747" t="s">
        <v>2463</v>
      </c>
      <c r="B1747" t="s">
        <v>209</v>
      </c>
      <c r="C1747" t="s">
        <v>169</v>
      </c>
      <c r="D1747" t="s">
        <v>130</v>
      </c>
      <c r="E1747" s="1">
        <v>46349</v>
      </c>
      <c r="F1747" s="1">
        <v>46379</v>
      </c>
      <c r="G1747" t="s">
        <v>41</v>
      </c>
      <c r="H1747">
        <v>5684</v>
      </c>
      <c r="I1747" t="s">
        <v>39</v>
      </c>
      <c r="J1747" t="b">
        <v>0</v>
      </c>
      <c r="K1747">
        <v>30</v>
      </c>
      <c r="L1747">
        <v>12</v>
      </c>
      <c r="M1747">
        <v>2026</v>
      </c>
      <c r="N1747">
        <v>2</v>
      </c>
      <c r="O1747">
        <v>11</v>
      </c>
      <c r="P1747">
        <v>2026</v>
      </c>
      <c r="Q1747">
        <v>0</v>
      </c>
      <c r="R1747" t="s">
        <v>40</v>
      </c>
      <c r="S1747" t="s">
        <v>55</v>
      </c>
      <c r="T1747" t="s">
        <v>113</v>
      </c>
      <c r="U1747" t="s">
        <v>40</v>
      </c>
      <c r="V1747" t="s">
        <v>170</v>
      </c>
      <c r="W1747" t="s">
        <v>171</v>
      </c>
      <c r="X1747" t="s">
        <v>126</v>
      </c>
      <c r="Y1747">
        <v>90</v>
      </c>
      <c r="Z1747" t="s">
        <v>133</v>
      </c>
      <c r="AA1747" t="s">
        <v>134</v>
      </c>
      <c r="AB1747" s="1">
        <v>46379</v>
      </c>
      <c r="AC1747" t="s">
        <v>40</v>
      </c>
      <c r="AD1747" t="s">
        <v>40</v>
      </c>
      <c r="AE1747" t="s">
        <v>69</v>
      </c>
      <c r="AF1747" t="s">
        <v>40</v>
      </c>
      <c r="AG1747">
        <v>0</v>
      </c>
      <c r="AH1747" t="s">
        <v>70</v>
      </c>
    </row>
    <row r="1748" spans="1:34" x14ac:dyDescent="0.3">
      <c r="A1748" t="s">
        <v>2464</v>
      </c>
      <c r="B1748" t="s">
        <v>2155</v>
      </c>
      <c r="C1748" t="s">
        <v>103</v>
      </c>
      <c r="D1748" t="s">
        <v>90</v>
      </c>
      <c r="E1748" s="1">
        <v>45672</v>
      </c>
      <c r="F1748" s="1">
        <v>45772</v>
      </c>
      <c r="G1748" t="s">
        <v>38</v>
      </c>
      <c r="H1748">
        <v>5582</v>
      </c>
      <c r="I1748" t="s">
        <v>212</v>
      </c>
      <c r="J1748" t="b">
        <v>0</v>
      </c>
      <c r="K1748">
        <v>100</v>
      </c>
      <c r="L1748">
        <v>4</v>
      </c>
      <c r="M1748">
        <v>2025</v>
      </c>
      <c r="N1748">
        <v>4</v>
      </c>
      <c r="O1748">
        <v>1</v>
      </c>
      <c r="P1748">
        <v>2025</v>
      </c>
      <c r="Q1748">
        <v>2</v>
      </c>
      <c r="R1748" t="s">
        <v>40</v>
      </c>
      <c r="S1748" t="s">
        <v>67</v>
      </c>
      <c r="T1748" t="s">
        <v>42</v>
      </c>
      <c r="U1748" t="s">
        <v>40</v>
      </c>
      <c r="V1748" t="s">
        <v>105</v>
      </c>
      <c r="W1748" t="s">
        <v>106</v>
      </c>
      <c r="X1748" t="s">
        <v>45</v>
      </c>
      <c r="Y1748">
        <v>140</v>
      </c>
      <c r="Z1748" t="s">
        <v>93</v>
      </c>
      <c r="AA1748" t="s">
        <v>94</v>
      </c>
      <c r="AB1748" s="1">
        <v>45772</v>
      </c>
      <c r="AC1748" t="s">
        <v>40</v>
      </c>
      <c r="AD1748" t="s">
        <v>40</v>
      </c>
      <c r="AE1748" t="s">
        <v>69</v>
      </c>
      <c r="AF1748" t="s">
        <v>40</v>
      </c>
      <c r="AG1748">
        <v>0</v>
      </c>
      <c r="AH1748" t="s">
        <v>49</v>
      </c>
    </row>
    <row r="1749" spans="1:34" x14ac:dyDescent="0.3">
      <c r="A1749" t="s">
        <v>2465</v>
      </c>
      <c r="B1749" t="s">
        <v>507</v>
      </c>
      <c r="C1749" t="s">
        <v>103</v>
      </c>
      <c r="D1749" t="s">
        <v>37</v>
      </c>
      <c r="E1749" s="1">
        <v>45730</v>
      </c>
      <c r="F1749" s="1">
        <v>45737</v>
      </c>
      <c r="G1749" t="s">
        <v>41</v>
      </c>
      <c r="H1749">
        <v>7644</v>
      </c>
      <c r="I1749" t="s">
        <v>54</v>
      </c>
      <c r="J1749" t="b">
        <v>0</v>
      </c>
      <c r="K1749">
        <v>7</v>
      </c>
      <c r="L1749">
        <v>3</v>
      </c>
      <c r="M1749">
        <v>2025</v>
      </c>
      <c r="N1749">
        <v>4</v>
      </c>
      <c r="O1749">
        <v>3</v>
      </c>
      <c r="P1749">
        <v>2025</v>
      </c>
      <c r="Q1749">
        <v>4</v>
      </c>
      <c r="R1749" t="s">
        <v>40</v>
      </c>
      <c r="S1749" t="s">
        <v>45</v>
      </c>
      <c r="T1749" t="s">
        <v>42</v>
      </c>
      <c r="U1749" t="s">
        <v>40</v>
      </c>
      <c r="V1749" t="s">
        <v>105</v>
      </c>
      <c r="W1749" t="s">
        <v>106</v>
      </c>
      <c r="X1749" t="s">
        <v>45</v>
      </c>
      <c r="Y1749">
        <v>140</v>
      </c>
      <c r="Z1749" t="s">
        <v>46</v>
      </c>
      <c r="AA1749" t="s">
        <v>47</v>
      </c>
      <c r="AB1749" s="1">
        <v>45737</v>
      </c>
      <c r="AC1749" t="s">
        <v>40</v>
      </c>
      <c r="AD1749" t="s">
        <v>40</v>
      </c>
      <c r="AE1749" t="s">
        <v>60</v>
      </c>
      <c r="AF1749" t="s">
        <v>40</v>
      </c>
      <c r="AG1749">
        <v>1</v>
      </c>
      <c r="AH1749" t="s">
        <v>100</v>
      </c>
    </row>
    <row r="1750" spans="1:34" x14ac:dyDescent="0.3">
      <c r="A1750" t="s">
        <v>2466</v>
      </c>
      <c r="B1750" t="s">
        <v>642</v>
      </c>
      <c r="C1750" t="s">
        <v>155</v>
      </c>
      <c r="D1750" t="s">
        <v>37</v>
      </c>
      <c r="E1750" s="1">
        <v>46242</v>
      </c>
      <c r="F1750" s="1">
        <v>46302</v>
      </c>
      <c r="G1750" t="s">
        <v>81</v>
      </c>
      <c r="H1750">
        <v>8610</v>
      </c>
      <c r="I1750" t="s">
        <v>39</v>
      </c>
      <c r="J1750" t="b">
        <v>0</v>
      </c>
      <c r="K1750">
        <v>60</v>
      </c>
      <c r="L1750">
        <v>10</v>
      </c>
      <c r="M1750">
        <v>2026</v>
      </c>
      <c r="N1750">
        <v>2</v>
      </c>
      <c r="O1750">
        <v>8</v>
      </c>
      <c r="P1750">
        <v>2026</v>
      </c>
      <c r="Q1750">
        <v>5</v>
      </c>
      <c r="R1750" t="s">
        <v>40</v>
      </c>
      <c r="S1750" t="s">
        <v>41</v>
      </c>
      <c r="T1750" t="s">
        <v>42</v>
      </c>
      <c r="U1750" t="s">
        <v>40</v>
      </c>
      <c r="V1750" t="s">
        <v>156</v>
      </c>
      <c r="W1750" t="s">
        <v>157</v>
      </c>
      <c r="X1750" t="s">
        <v>158</v>
      </c>
      <c r="Y1750">
        <v>70</v>
      </c>
      <c r="Z1750" t="s">
        <v>46</v>
      </c>
      <c r="AA1750" t="s">
        <v>47</v>
      </c>
      <c r="AB1750" s="1">
        <v>46302</v>
      </c>
      <c r="AC1750" t="s">
        <v>40</v>
      </c>
      <c r="AD1750" t="s">
        <v>40</v>
      </c>
      <c r="AE1750" t="s">
        <v>60</v>
      </c>
      <c r="AF1750" t="s">
        <v>40</v>
      </c>
      <c r="AG1750">
        <v>0</v>
      </c>
      <c r="AH1750" t="s">
        <v>61</v>
      </c>
    </row>
    <row r="1751" spans="1:34" x14ac:dyDescent="0.3">
      <c r="A1751" t="s">
        <v>2467</v>
      </c>
      <c r="B1751" t="s">
        <v>1150</v>
      </c>
      <c r="C1751" t="s">
        <v>79</v>
      </c>
      <c r="D1751" t="s">
        <v>53</v>
      </c>
      <c r="E1751" s="1">
        <v>45672</v>
      </c>
      <c r="F1751" s="1">
        <v>45772</v>
      </c>
      <c r="G1751" t="s">
        <v>38</v>
      </c>
      <c r="H1751">
        <v>5207</v>
      </c>
      <c r="I1751" t="s">
        <v>54</v>
      </c>
      <c r="J1751" t="b">
        <v>0</v>
      </c>
      <c r="K1751">
        <v>100</v>
      </c>
      <c r="L1751">
        <v>4</v>
      </c>
      <c r="M1751">
        <v>2025</v>
      </c>
      <c r="N1751">
        <v>4</v>
      </c>
      <c r="O1751">
        <v>1</v>
      </c>
      <c r="P1751">
        <v>2025</v>
      </c>
      <c r="Q1751">
        <v>2</v>
      </c>
      <c r="R1751" t="s">
        <v>40</v>
      </c>
      <c r="S1751" t="s">
        <v>41</v>
      </c>
      <c r="T1751" t="s">
        <v>42</v>
      </c>
      <c r="U1751" t="s">
        <v>40</v>
      </c>
      <c r="V1751" t="s">
        <v>82</v>
      </c>
      <c r="W1751" t="s">
        <v>83</v>
      </c>
      <c r="X1751" t="s">
        <v>76</v>
      </c>
      <c r="Y1751">
        <v>100</v>
      </c>
      <c r="Z1751" t="s">
        <v>58</v>
      </c>
      <c r="AA1751" t="s">
        <v>59</v>
      </c>
      <c r="AB1751" s="1">
        <v>45772</v>
      </c>
      <c r="AC1751" t="s">
        <v>40</v>
      </c>
      <c r="AD1751" t="s">
        <v>40</v>
      </c>
      <c r="AE1751" t="s">
        <v>69</v>
      </c>
      <c r="AF1751" t="s">
        <v>40</v>
      </c>
      <c r="AG1751">
        <v>1</v>
      </c>
      <c r="AH1751" t="s">
        <v>49</v>
      </c>
    </row>
    <row r="1752" spans="1:34" x14ac:dyDescent="0.3">
      <c r="A1752" t="s">
        <v>2468</v>
      </c>
      <c r="B1752" t="s">
        <v>548</v>
      </c>
      <c r="C1752" t="s">
        <v>155</v>
      </c>
      <c r="D1752" t="s">
        <v>53</v>
      </c>
      <c r="E1752" s="1">
        <v>46048</v>
      </c>
      <c r="F1752" s="1">
        <v>46051</v>
      </c>
      <c r="G1752" t="s">
        <v>64</v>
      </c>
      <c r="H1752">
        <v>3671</v>
      </c>
      <c r="I1752" t="s">
        <v>65</v>
      </c>
      <c r="J1752" t="b">
        <v>0</v>
      </c>
      <c r="K1752">
        <v>3</v>
      </c>
      <c r="L1752">
        <v>1</v>
      </c>
      <c r="M1752">
        <v>2026</v>
      </c>
      <c r="N1752">
        <v>3</v>
      </c>
      <c r="O1752">
        <v>1</v>
      </c>
      <c r="P1752">
        <v>2026</v>
      </c>
      <c r="Q1752">
        <v>0</v>
      </c>
      <c r="R1752" t="s">
        <v>40</v>
      </c>
      <c r="S1752" t="s">
        <v>55</v>
      </c>
      <c r="T1752" t="s">
        <v>42</v>
      </c>
      <c r="U1752" t="s">
        <v>66</v>
      </c>
      <c r="V1752" t="s">
        <v>156</v>
      </c>
      <c r="W1752" t="s">
        <v>157</v>
      </c>
      <c r="X1752" t="s">
        <v>158</v>
      </c>
      <c r="Y1752">
        <v>70</v>
      </c>
      <c r="Z1752" t="s">
        <v>58</v>
      </c>
      <c r="AA1752" t="s">
        <v>59</v>
      </c>
      <c r="AB1752" s="1">
        <v>46051</v>
      </c>
      <c r="AC1752" t="s">
        <v>40</v>
      </c>
      <c r="AD1752" t="s">
        <v>40</v>
      </c>
      <c r="AE1752" t="s">
        <v>86</v>
      </c>
      <c r="AF1752" t="s">
        <v>40</v>
      </c>
      <c r="AG1752">
        <v>0</v>
      </c>
      <c r="AH1752" t="s">
        <v>100</v>
      </c>
    </row>
    <row r="1753" spans="1:34" x14ac:dyDescent="0.3">
      <c r="A1753" t="s">
        <v>2469</v>
      </c>
      <c r="B1753" t="s">
        <v>2066</v>
      </c>
      <c r="C1753" t="s">
        <v>79</v>
      </c>
      <c r="D1753" t="s">
        <v>80</v>
      </c>
      <c r="E1753" s="1">
        <v>45953</v>
      </c>
      <c r="F1753" s="1">
        <v>45983</v>
      </c>
      <c r="G1753" t="s">
        <v>81</v>
      </c>
      <c r="H1753">
        <v>6533</v>
      </c>
      <c r="I1753" t="s">
        <v>39</v>
      </c>
      <c r="J1753" t="b">
        <v>0</v>
      </c>
      <c r="K1753">
        <v>30</v>
      </c>
      <c r="L1753">
        <v>11</v>
      </c>
      <c r="M1753">
        <v>2025</v>
      </c>
      <c r="N1753">
        <v>5</v>
      </c>
      <c r="O1753">
        <v>10</v>
      </c>
      <c r="P1753">
        <v>2025</v>
      </c>
      <c r="Q1753">
        <v>3</v>
      </c>
      <c r="R1753" t="s">
        <v>66</v>
      </c>
      <c r="S1753" t="s">
        <v>55</v>
      </c>
      <c r="T1753" t="s">
        <v>139</v>
      </c>
      <c r="U1753" t="s">
        <v>40</v>
      </c>
      <c r="V1753" t="s">
        <v>82</v>
      </c>
      <c r="W1753" t="s">
        <v>83</v>
      </c>
      <c r="X1753" t="s">
        <v>76</v>
      </c>
      <c r="Y1753">
        <v>100</v>
      </c>
      <c r="Z1753" t="s">
        <v>84</v>
      </c>
      <c r="AA1753" t="s">
        <v>85</v>
      </c>
      <c r="AB1753" s="1">
        <v>45983</v>
      </c>
      <c r="AC1753" t="s">
        <v>66</v>
      </c>
      <c r="AD1753" t="s">
        <v>40</v>
      </c>
      <c r="AE1753" t="s">
        <v>86</v>
      </c>
      <c r="AF1753" t="s">
        <v>40</v>
      </c>
      <c r="AG1753">
        <v>0</v>
      </c>
      <c r="AH1753" t="s">
        <v>70</v>
      </c>
    </row>
    <row r="1754" spans="1:34" x14ac:dyDescent="0.3">
      <c r="A1754" t="s">
        <v>2470</v>
      </c>
      <c r="B1754" t="s">
        <v>2151</v>
      </c>
      <c r="C1754" t="s">
        <v>97</v>
      </c>
      <c r="D1754" t="s">
        <v>90</v>
      </c>
      <c r="E1754" s="1">
        <v>46263</v>
      </c>
      <c r="F1754" s="1">
        <v>46483</v>
      </c>
      <c r="G1754" t="s">
        <v>81</v>
      </c>
      <c r="H1754">
        <v>11718</v>
      </c>
      <c r="I1754" t="s">
        <v>65</v>
      </c>
      <c r="J1754" t="b">
        <v>0</v>
      </c>
      <c r="K1754">
        <v>220</v>
      </c>
      <c r="L1754">
        <v>4</v>
      </c>
      <c r="M1754">
        <v>2027</v>
      </c>
      <c r="N1754">
        <v>1</v>
      </c>
      <c r="O1754">
        <v>8</v>
      </c>
      <c r="P1754">
        <v>2026</v>
      </c>
      <c r="Q1754">
        <v>5</v>
      </c>
      <c r="R1754" t="s">
        <v>40</v>
      </c>
      <c r="S1754" t="s">
        <v>55</v>
      </c>
      <c r="T1754" t="s">
        <v>42</v>
      </c>
      <c r="U1754" t="s">
        <v>40</v>
      </c>
      <c r="V1754" t="s">
        <v>98</v>
      </c>
      <c r="W1754" t="s">
        <v>99</v>
      </c>
      <c r="X1754" t="s">
        <v>76</v>
      </c>
      <c r="Y1754">
        <v>80</v>
      </c>
      <c r="Z1754" t="s">
        <v>93</v>
      </c>
      <c r="AA1754" t="s">
        <v>94</v>
      </c>
      <c r="AB1754" s="1"/>
      <c r="AC1754" t="s">
        <v>48</v>
      </c>
      <c r="AD1754" t="s">
        <v>48</v>
      </c>
      <c r="AE1754" t="s">
        <v>48</v>
      </c>
      <c r="AF1754" t="s">
        <v>48</v>
      </c>
      <c r="AG1754">
        <v>0</v>
      </c>
      <c r="AH1754" t="s">
        <v>142</v>
      </c>
    </row>
    <row r="1755" spans="1:34" x14ac:dyDescent="0.3">
      <c r="A1755" t="s">
        <v>2471</v>
      </c>
      <c r="B1755" t="s">
        <v>515</v>
      </c>
      <c r="C1755" t="s">
        <v>36</v>
      </c>
      <c r="D1755" t="s">
        <v>80</v>
      </c>
      <c r="E1755" s="1">
        <v>46171</v>
      </c>
      <c r="F1755" s="1">
        <v>46201</v>
      </c>
      <c r="G1755" t="s">
        <v>38</v>
      </c>
      <c r="H1755">
        <v>5653</v>
      </c>
      <c r="I1755" t="s">
        <v>54</v>
      </c>
      <c r="J1755" t="b">
        <v>0</v>
      </c>
      <c r="K1755">
        <v>30</v>
      </c>
      <c r="L1755">
        <v>6</v>
      </c>
      <c r="M1755">
        <v>2026</v>
      </c>
      <c r="N1755">
        <v>6</v>
      </c>
      <c r="O1755">
        <v>5</v>
      </c>
      <c r="P1755">
        <v>2026</v>
      </c>
      <c r="Q1755">
        <v>4</v>
      </c>
      <c r="R1755" t="s">
        <v>66</v>
      </c>
      <c r="S1755" t="s">
        <v>45</v>
      </c>
      <c r="T1755" t="s">
        <v>42</v>
      </c>
      <c r="U1755" t="s">
        <v>40</v>
      </c>
      <c r="V1755" t="s">
        <v>43</v>
      </c>
      <c r="W1755" t="s">
        <v>44</v>
      </c>
      <c r="X1755" t="s">
        <v>45</v>
      </c>
      <c r="Y1755">
        <v>150</v>
      </c>
      <c r="Z1755" t="s">
        <v>84</v>
      </c>
      <c r="AA1755" t="s">
        <v>85</v>
      </c>
      <c r="AB1755" s="1">
        <v>46201</v>
      </c>
      <c r="AC1755" t="s">
        <v>66</v>
      </c>
      <c r="AD1755" t="s">
        <v>40</v>
      </c>
      <c r="AE1755" t="s">
        <v>60</v>
      </c>
      <c r="AF1755" t="s">
        <v>40</v>
      </c>
      <c r="AG1755">
        <v>1</v>
      </c>
      <c r="AH1755" t="s">
        <v>70</v>
      </c>
    </row>
    <row r="1756" spans="1:34" x14ac:dyDescent="0.3">
      <c r="A1756" t="s">
        <v>2472</v>
      </c>
      <c r="B1756" t="s">
        <v>261</v>
      </c>
      <c r="C1756" t="s">
        <v>169</v>
      </c>
      <c r="D1756" t="s">
        <v>130</v>
      </c>
      <c r="E1756" s="1">
        <v>46055</v>
      </c>
      <c r="F1756" s="1">
        <v>46085</v>
      </c>
      <c r="G1756" t="s">
        <v>41</v>
      </c>
      <c r="H1756">
        <v>7357</v>
      </c>
      <c r="I1756" t="s">
        <v>39</v>
      </c>
      <c r="J1756" t="b">
        <v>0</v>
      </c>
      <c r="K1756">
        <v>30</v>
      </c>
      <c r="L1756">
        <v>3</v>
      </c>
      <c r="M1756">
        <v>2026</v>
      </c>
      <c r="N1756">
        <v>2</v>
      </c>
      <c r="O1756">
        <v>2</v>
      </c>
      <c r="P1756">
        <v>2026</v>
      </c>
      <c r="Q1756">
        <v>0</v>
      </c>
      <c r="R1756" t="s">
        <v>40</v>
      </c>
      <c r="S1756" t="s">
        <v>55</v>
      </c>
      <c r="T1756" t="s">
        <v>42</v>
      </c>
      <c r="U1756" t="s">
        <v>66</v>
      </c>
      <c r="V1756" t="s">
        <v>170</v>
      </c>
      <c r="W1756" t="s">
        <v>171</v>
      </c>
      <c r="X1756" t="s">
        <v>126</v>
      </c>
      <c r="Y1756">
        <v>90</v>
      </c>
      <c r="Z1756" t="s">
        <v>133</v>
      </c>
      <c r="AA1756" t="s">
        <v>134</v>
      </c>
      <c r="AB1756" s="1">
        <v>46085</v>
      </c>
      <c r="AC1756" t="s">
        <v>40</v>
      </c>
      <c r="AD1756" t="s">
        <v>40</v>
      </c>
      <c r="AE1756" t="s">
        <v>60</v>
      </c>
      <c r="AF1756" t="s">
        <v>40</v>
      </c>
      <c r="AG1756">
        <v>0</v>
      </c>
      <c r="AH1756" t="s">
        <v>70</v>
      </c>
    </row>
    <row r="1757" spans="1:34" x14ac:dyDescent="0.3">
      <c r="A1757" t="s">
        <v>2473</v>
      </c>
      <c r="B1757" t="s">
        <v>479</v>
      </c>
      <c r="C1757" t="s">
        <v>155</v>
      </c>
      <c r="D1757" t="s">
        <v>80</v>
      </c>
      <c r="E1757" s="1">
        <v>45935</v>
      </c>
      <c r="F1757" s="1">
        <v>45949</v>
      </c>
      <c r="G1757" t="s">
        <v>81</v>
      </c>
      <c r="H1757">
        <v>11607</v>
      </c>
      <c r="I1757" t="s">
        <v>39</v>
      </c>
      <c r="J1757" t="b">
        <v>0</v>
      </c>
      <c r="K1757">
        <v>14</v>
      </c>
      <c r="L1757">
        <v>10</v>
      </c>
      <c r="M1757">
        <v>2025</v>
      </c>
      <c r="N1757">
        <v>6</v>
      </c>
      <c r="O1757">
        <v>10</v>
      </c>
      <c r="P1757">
        <v>2025</v>
      </c>
      <c r="Q1757">
        <v>6</v>
      </c>
      <c r="R1757" t="s">
        <v>66</v>
      </c>
      <c r="S1757" t="s">
        <v>55</v>
      </c>
      <c r="T1757" t="s">
        <v>42</v>
      </c>
      <c r="U1757" t="s">
        <v>66</v>
      </c>
      <c r="V1757" t="s">
        <v>156</v>
      </c>
      <c r="W1757" t="s">
        <v>157</v>
      </c>
      <c r="X1757" t="s">
        <v>158</v>
      </c>
      <c r="Y1757">
        <v>70</v>
      </c>
      <c r="Z1757" t="s">
        <v>84</v>
      </c>
      <c r="AA1757" t="s">
        <v>85</v>
      </c>
      <c r="AB1757" s="1">
        <v>45949</v>
      </c>
      <c r="AC1757" t="s">
        <v>66</v>
      </c>
      <c r="AD1757" t="s">
        <v>40</v>
      </c>
      <c r="AE1757" t="s">
        <v>60</v>
      </c>
      <c r="AF1757" t="s">
        <v>40</v>
      </c>
      <c r="AG1757">
        <v>0</v>
      </c>
      <c r="AH1757" t="s">
        <v>70</v>
      </c>
    </row>
    <row r="1758" spans="1:34" x14ac:dyDescent="0.3">
      <c r="A1758" t="s">
        <v>2474</v>
      </c>
      <c r="B1758" t="s">
        <v>1944</v>
      </c>
      <c r="C1758" t="s">
        <v>73</v>
      </c>
      <c r="D1758" t="s">
        <v>130</v>
      </c>
      <c r="E1758" s="1">
        <v>46293</v>
      </c>
      <c r="F1758" s="1">
        <v>46393</v>
      </c>
      <c r="G1758" t="s">
        <v>41</v>
      </c>
      <c r="H1758">
        <v>5207</v>
      </c>
      <c r="I1758" t="s">
        <v>54</v>
      </c>
      <c r="J1758" t="b">
        <v>0</v>
      </c>
      <c r="K1758">
        <v>100</v>
      </c>
      <c r="L1758">
        <v>1</v>
      </c>
      <c r="M1758">
        <v>2027</v>
      </c>
      <c r="N1758">
        <v>2</v>
      </c>
      <c r="O1758">
        <v>9</v>
      </c>
      <c r="P1758">
        <v>2026</v>
      </c>
      <c r="Q1758">
        <v>0</v>
      </c>
      <c r="R1758" t="s">
        <v>40</v>
      </c>
      <c r="S1758" t="s">
        <v>55</v>
      </c>
      <c r="T1758" t="s">
        <v>42</v>
      </c>
      <c r="U1758" t="s">
        <v>40</v>
      </c>
      <c r="V1758" t="s">
        <v>74</v>
      </c>
      <c r="W1758" t="s">
        <v>75</v>
      </c>
      <c r="X1758" t="s">
        <v>76</v>
      </c>
      <c r="Y1758">
        <v>75</v>
      </c>
      <c r="Z1758" t="s">
        <v>133</v>
      </c>
      <c r="AA1758" t="s">
        <v>134</v>
      </c>
      <c r="AB1758" s="1"/>
      <c r="AC1758" t="s">
        <v>48</v>
      </c>
      <c r="AD1758" t="s">
        <v>48</v>
      </c>
      <c r="AE1758" t="s">
        <v>48</v>
      </c>
      <c r="AF1758" t="s">
        <v>48</v>
      </c>
      <c r="AG1758">
        <v>1</v>
      </c>
      <c r="AH1758" t="s">
        <v>49</v>
      </c>
    </row>
    <row r="1759" spans="1:34" x14ac:dyDescent="0.3">
      <c r="A1759" t="s">
        <v>2475</v>
      </c>
      <c r="B1759" t="s">
        <v>2120</v>
      </c>
      <c r="C1759" t="s">
        <v>103</v>
      </c>
      <c r="D1759" t="s">
        <v>130</v>
      </c>
      <c r="E1759" s="1">
        <v>46051</v>
      </c>
      <c r="F1759" s="1">
        <v>46065</v>
      </c>
      <c r="G1759" t="s">
        <v>64</v>
      </c>
      <c r="H1759">
        <v>3057</v>
      </c>
      <c r="I1759" t="s">
        <v>39</v>
      </c>
      <c r="J1759" t="b">
        <v>0</v>
      </c>
      <c r="K1759">
        <v>14</v>
      </c>
      <c r="L1759">
        <v>2</v>
      </c>
      <c r="M1759">
        <v>2026</v>
      </c>
      <c r="N1759">
        <v>3</v>
      </c>
      <c r="O1759">
        <v>1</v>
      </c>
      <c r="P1759">
        <v>2026</v>
      </c>
      <c r="Q1759">
        <v>3</v>
      </c>
      <c r="R1759" t="s">
        <v>40</v>
      </c>
      <c r="S1759" t="s">
        <v>55</v>
      </c>
      <c r="T1759" t="s">
        <v>68</v>
      </c>
      <c r="U1759" t="s">
        <v>40</v>
      </c>
      <c r="V1759" t="s">
        <v>105</v>
      </c>
      <c r="W1759" t="s">
        <v>106</v>
      </c>
      <c r="X1759" t="s">
        <v>45</v>
      </c>
      <c r="Y1759">
        <v>140</v>
      </c>
      <c r="Z1759" t="s">
        <v>133</v>
      </c>
      <c r="AA1759" t="s">
        <v>134</v>
      </c>
      <c r="AB1759" s="1">
        <v>46065</v>
      </c>
      <c r="AC1759" t="s">
        <v>40</v>
      </c>
      <c r="AD1759" t="s">
        <v>40</v>
      </c>
      <c r="AE1759" t="s">
        <v>60</v>
      </c>
      <c r="AF1759" t="s">
        <v>40</v>
      </c>
      <c r="AG1759">
        <v>0</v>
      </c>
      <c r="AH1759" t="s">
        <v>70</v>
      </c>
    </row>
    <row r="1760" spans="1:34" x14ac:dyDescent="0.3">
      <c r="A1760" t="s">
        <v>2476</v>
      </c>
      <c r="B1760" t="s">
        <v>661</v>
      </c>
      <c r="C1760" t="s">
        <v>79</v>
      </c>
      <c r="D1760" t="s">
        <v>104</v>
      </c>
      <c r="E1760" s="1">
        <v>46339</v>
      </c>
      <c r="F1760" s="1">
        <v>46489</v>
      </c>
      <c r="G1760" t="s">
        <v>41</v>
      </c>
      <c r="H1760">
        <v>6442</v>
      </c>
      <c r="I1760" t="s">
        <v>39</v>
      </c>
      <c r="J1760" t="b">
        <v>0</v>
      </c>
      <c r="K1760">
        <v>150</v>
      </c>
      <c r="L1760">
        <v>4</v>
      </c>
      <c r="M1760">
        <v>2027</v>
      </c>
      <c r="N1760">
        <v>0</v>
      </c>
      <c r="O1760">
        <v>11</v>
      </c>
      <c r="P1760">
        <v>2026</v>
      </c>
      <c r="Q1760">
        <v>4</v>
      </c>
      <c r="R1760" t="s">
        <v>40</v>
      </c>
      <c r="S1760" t="s">
        <v>55</v>
      </c>
      <c r="T1760" t="s">
        <v>42</v>
      </c>
      <c r="U1760" t="s">
        <v>40</v>
      </c>
      <c r="V1760" t="s">
        <v>82</v>
      </c>
      <c r="W1760" t="s">
        <v>83</v>
      </c>
      <c r="X1760" t="s">
        <v>76</v>
      </c>
      <c r="Y1760">
        <v>100</v>
      </c>
      <c r="Z1760" t="s">
        <v>107</v>
      </c>
      <c r="AA1760" t="s">
        <v>108</v>
      </c>
      <c r="AB1760" s="1"/>
      <c r="AC1760" t="s">
        <v>48</v>
      </c>
      <c r="AD1760" t="s">
        <v>48</v>
      </c>
      <c r="AE1760" t="s">
        <v>48</v>
      </c>
      <c r="AF1760" t="s">
        <v>48</v>
      </c>
      <c r="AG1760">
        <v>0</v>
      </c>
      <c r="AH1760" t="s">
        <v>49</v>
      </c>
    </row>
    <row r="1761" spans="1:34" x14ac:dyDescent="0.3">
      <c r="A1761" t="s">
        <v>2477</v>
      </c>
      <c r="B1761" t="s">
        <v>462</v>
      </c>
      <c r="C1761" t="s">
        <v>169</v>
      </c>
      <c r="D1761" t="s">
        <v>130</v>
      </c>
      <c r="E1761" s="1">
        <v>45665</v>
      </c>
      <c r="F1761" s="1">
        <v>45666</v>
      </c>
      <c r="G1761" t="s">
        <v>41</v>
      </c>
      <c r="H1761">
        <v>8505</v>
      </c>
      <c r="I1761" t="s">
        <v>39</v>
      </c>
      <c r="J1761" t="b">
        <v>0</v>
      </c>
      <c r="K1761">
        <v>1</v>
      </c>
      <c r="L1761">
        <v>1</v>
      </c>
      <c r="M1761">
        <v>2025</v>
      </c>
      <c r="N1761">
        <v>3</v>
      </c>
      <c r="O1761">
        <v>1</v>
      </c>
      <c r="P1761">
        <v>2025</v>
      </c>
      <c r="Q1761">
        <v>2</v>
      </c>
      <c r="R1761" t="s">
        <v>40</v>
      </c>
      <c r="S1761" t="s">
        <v>55</v>
      </c>
      <c r="T1761" t="s">
        <v>123</v>
      </c>
      <c r="U1761" t="s">
        <v>66</v>
      </c>
      <c r="V1761" t="s">
        <v>170</v>
      </c>
      <c r="W1761" t="s">
        <v>171</v>
      </c>
      <c r="X1761" t="s">
        <v>126</v>
      </c>
      <c r="Y1761">
        <v>90</v>
      </c>
      <c r="Z1761" t="s">
        <v>133</v>
      </c>
      <c r="AA1761" t="s">
        <v>134</v>
      </c>
      <c r="AB1761" s="1">
        <v>45666</v>
      </c>
      <c r="AC1761" t="s">
        <v>40</v>
      </c>
      <c r="AD1761" t="s">
        <v>40</v>
      </c>
      <c r="AE1761" t="s">
        <v>86</v>
      </c>
      <c r="AF1761" t="s">
        <v>40</v>
      </c>
      <c r="AG1761">
        <v>0</v>
      </c>
      <c r="AH1761" t="s">
        <v>100</v>
      </c>
    </row>
    <row r="1762" spans="1:34" x14ac:dyDescent="0.3">
      <c r="A1762" t="s">
        <v>2478</v>
      </c>
      <c r="B1762" t="s">
        <v>742</v>
      </c>
      <c r="C1762" t="s">
        <v>103</v>
      </c>
      <c r="D1762" t="s">
        <v>53</v>
      </c>
      <c r="E1762" s="1">
        <v>45919</v>
      </c>
      <c r="F1762" s="1">
        <v>45933</v>
      </c>
      <c r="G1762" t="s">
        <v>38</v>
      </c>
      <c r="H1762">
        <v>4551</v>
      </c>
      <c r="I1762" t="s">
        <v>39</v>
      </c>
      <c r="J1762" t="b">
        <v>0</v>
      </c>
      <c r="K1762">
        <v>14</v>
      </c>
      <c r="L1762">
        <v>10</v>
      </c>
      <c r="M1762">
        <v>2025</v>
      </c>
      <c r="N1762">
        <v>4</v>
      </c>
      <c r="O1762">
        <v>9</v>
      </c>
      <c r="P1762">
        <v>2025</v>
      </c>
      <c r="Q1762">
        <v>4</v>
      </c>
      <c r="R1762" t="s">
        <v>40</v>
      </c>
      <c r="S1762" t="s">
        <v>55</v>
      </c>
      <c r="T1762" t="s">
        <v>42</v>
      </c>
      <c r="U1762" t="s">
        <v>40</v>
      </c>
      <c r="V1762" t="s">
        <v>105</v>
      </c>
      <c r="W1762" t="s">
        <v>106</v>
      </c>
      <c r="X1762" t="s">
        <v>45</v>
      </c>
      <c r="Y1762">
        <v>140</v>
      </c>
      <c r="Z1762" t="s">
        <v>58</v>
      </c>
      <c r="AA1762" t="s">
        <v>59</v>
      </c>
      <c r="AB1762" s="1">
        <v>45933</v>
      </c>
      <c r="AC1762" t="s">
        <v>40</v>
      </c>
      <c r="AD1762" t="s">
        <v>40</v>
      </c>
      <c r="AE1762" t="s">
        <v>60</v>
      </c>
      <c r="AF1762" t="s">
        <v>40</v>
      </c>
      <c r="AG1762">
        <v>0</v>
      </c>
      <c r="AH1762" t="s">
        <v>70</v>
      </c>
    </row>
    <row r="1763" spans="1:34" x14ac:dyDescent="0.3">
      <c r="A1763" t="s">
        <v>2479</v>
      </c>
      <c r="B1763" t="s">
        <v>718</v>
      </c>
      <c r="C1763" t="s">
        <v>52</v>
      </c>
      <c r="D1763" t="s">
        <v>90</v>
      </c>
      <c r="E1763" s="1">
        <v>45864</v>
      </c>
      <c r="F1763" s="1">
        <v>45871</v>
      </c>
      <c r="G1763" t="s">
        <v>41</v>
      </c>
      <c r="H1763">
        <v>8176</v>
      </c>
      <c r="I1763" t="s">
        <v>39</v>
      </c>
      <c r="J1763" t="b">
        <v>0</v>
      </c>
      <c r="K1763">
        <v>7</v>
      </c>
      <c r="L1763">
        <v>8</v>
      </c>
      <c r="M1763">
        <v>2025</v>
      </c>
      <c r="N1763">
        <v>5</v>
      </c>
      <c r="O1763">
        <v>7</v>
      </c>
      <c r="P1763">
        <v>2025</v>
      </c>
      <c r="Q1763">
        <v>5</v>
      </c>
      <c r="R1763" t="s">
        <v>66</v>
      </c>
      <c r="S1763" t="s">
        <v>45</v>
      </c>
      <c r="T1763" t="s">
        <v>42</v>
      </c>
      <c r="U1763" t="s">
        <v>40</v>
      </c>
      <c r="V1763" t="s">
        <v>56</v>
      </c>
      <c r="W1763" t="s">
        <v>57</v>
      </c>
      <c r="X1763" t="s">
        <v>45</v>
      </c>
      <c r="Y1763">
        <v>120</v>
      </c>
      <c r="Z1763" t="s">
        <v>93</v>
      </c>
      <c r="AA1763" t="s">
        <v>94</v>
      </c>
      <c r="AB1763" s="1">
        <v>45871</v>
      </c>
      <c r="AC1763" t="s">
        <v>66</v>
      </c>
      <c r="AD1763" t="s">
        <v>40</v>
      </c>
      <c r="AE1763" t="s">
        <v>86</v>
      </c>
      <c r="AF1763" t="s">
        <v>40</v>
      </c>
      <c r="AG1763">
        <v>0</v>
      </c>
      <c r="AH1763" t="s">
        <v>100</v>
      </c>
    </row>
    <row r="1764" spans="1:34" x14ac:dyDescent="0.3">
      <c r="A1764" t="s">
        <v>2480</v>
      </c>
      <c r="B1764" t="s">
        <v>556</v>
      </c>
      <c r="C1764" t="s">
        <v>89</v>
      </c>
      <c r="D1764" t="s">
        <v>130</v>
      </c>
      <c r="E1764" s="1">
        <v>46121</v>
      </c>
      <c r="F1764" s="1">
        <v>46122</v>
      </c>
      <c r="G1764" t="s">
        <v>38</v>
      </c>
      <c r="H1764">
        <v>3686</v>
      </c>
      <c r="I1764" t="s">
        <v>65</v>
      </c>
      <c r="J1764" t="b">
        <v>0</v>
      </c>
      <c r="K1764">
        <v>1</v>
      </c>
      <c r="L1764">
        <v>4</v>
      </c>
      <c r="M1764">
        <v>2026</v>
      </c>
      <c r="N1764">
        <v>4</v>
      </c>
      <c r="O1764">
        <v>4</v>
      </c>
      <c r="P1764">
        <v>2026</v>
      </c>
      <c r="Q1764">
        <v>3</v>
      </c>
      <c r="R1764" t="s">
        <v>40</v>
      </c>
      <c r="S1764" t="s">
        <v>55</v>
      </c>
      <c r="T1764" t="s">
        <v>139</v>
      </c>
      <c r="U1764" t="s">
        <v>40</v>
      </c>
      <c r="V1764" t="s">
        <v>91</v>
      </c>
      <c r="W1764" t="s">
        <v>92</v>
      </c>
      <c r="X1764" t="s">
        <v>76</v>
      </c>
      <c r="Y1764">
        <v>65</v>
      </c>
      <c r="Z1764" t="s">
        <v>133</v>
      </c>
      <c r="AA1764" t="s">
        <v>134</v>
      </c>
      <c r="AB1764" s="1">
        <v>46122</v>
      </c>
      <c r="AC1764" t="s">
        <v>40</v>
      </c>
      <c r="AD1764" t="s">
        <v>40</v>
      </c>
      <c r="AE1764" t="s">
        <v>69</v>
      </c>
      <c r="AF1764" t="s">
        <v>40</v>
      </c>
      <c r="AG1764">
        <v>0</v>
      </c>
      <c r="AH1764" t="s">
        <v>100</v>
      </c>
    </row>
    <row r="1765" spans="1:34" x14ac:dyDescent="0.3">
      <c r="A1765" t="s">
        <v>2481</v>
      </c>
      <c r="B1765" t="s">
        <v>164</v>
      </c>
      <c r="C1765" t="s">
        <v>129</v>
      </c>
      <c r="D1765" t="s">
        <v>104</v>
      </c>
      <c r="E1765" s="1">
        <v>45720</v>
      </c>
      <c r="F1765" s="1">
        <v>45723</v>
      </c>
      <c r="G1765" t="s">
        <v>81</v>
      </c>
      <c r="H1765">
        <v>8329</v>
      </c>
      <c r="I1765" t="s">
        <v>39</v>
      </c>
      <c r="J1765" t="b">
        <v>0</v>
      </c>
      <c r="K1765">
        <v>3</v>
      </c>
      <c r="L1765">
        <v>3</v>
      </c>
      <c r="M1765">
        <v>2025</v>
      </c>
      <c r="N1765">
        <v>4</v>
      </c>
      <c r="O1765">
        <v>3</v>
      </c>
      <c r="P1765">
        <v>2025</v>
      </c>
      <c r="Q1765">
        <v>1</v>
      </c>
      <c r="R1765" t="s">
        <v>40</v>
      </c>
      <c r="S1765" t="s">
        <v>45</v>
      </c>
      <c r="T1765" t="s">
        <v>113</v>
      </c>
      <c r="U1765" t="s">
        <v>40</v>
      </c>
      <c r="V1765" t="s">
        <v>131</v>
      </c>
      <c r="W1765" t="s">
        <v>132</v>
      </c>
      <c r="X1765" t="s">
        <v>45</v>
      </c>
      <c r="Y1765">
        <v>110</v>
      </c>
      <c r="Z1765" t="s">
        <v>107</v>
      </c>
      <c r="AA1765" t="s">
        <v>108</v>
      </c>
      <c r="AB1765" s="1">
        <v>45723</v>
      </c>
      <c r="AC1765" t="s">
        <v>40</v>
      </c>
      <c r="AD1765" t="s">
        <v>40</v>
      </c>
      <c r="AE1765" t="s">
        <v>60</v>
      </c>
      <c r="AF1765" t="s">
        <v>40</v>
      </c>
      <c r="AG1765">
        <v>0</v>
      </c>
      <c r="AH1765" t="s">
        <v>100</v>
      </c>
    </row>
    <row r="1766" spans="1:34" x14ac:dyDescent="0.3">
      <c r="A1766" t="s">
        <v>2482</v>
      </c>
      <c r="B1766" t="s">
        <v>475</v>
      </c>
      <c r="C1766" t="s">
        <v>73</v>
      </c>
      <c r="D1766" t="s">
        <v>53</v>
      </c>
      <c r="E1766" s="1">
        <v>46342</v>
      </c>
      <c r="F1766" s="1">
        <v>46372</v>
      </c>
      <c r="G1766" t="s">
        <v>41</v>
      </c>
      <c r="H1766">
        <v>7442</v>
      </c>
      <c r="I1766" t="s">
        <v>65</v>
      </c>
      <c r="J1766" t="b">
        <v>0</v>
      </c>
      <c r="K1766">
        <v>30</v>
      </c>
      <c r="L1766">
        <v>12</v>
      </c>
      <c r="M1766">
        <v>2026</v>
      </c>
      <c r="N1766">
        <v>2</v>
      </c>
      <c r="O1766">
        <v>11</v>
      </c>
      <c r="P1766">
        <v>2026</v>
      </c>
      <c r="Q1766">
        <v>0</v>
      </c>
      <c r="R1766" t="s">
        <v>40</v>
      </c>
      <c r="S1766" t="s">
        <v>55</v>
      </c>
      <c r="T1766" t="s">
        <v>123</v>
      </c>
      <c r="U1766" t="s">
        <v>40</v>
      </c>
      <c r="V1766" t="s">
        <v>74</v>
      </c>
      <c r="W1766" t="s">
        <v>75</v>
      </c>
      <c r="X1766" t="s">
        <v>76</v>
      </c>
      <c r="Y1766">
        <v>75</v>
      </c>
      <c r="Z1766" t="s">
        <v>58</v>
      </c>
      <c r="AA1766" t="s">
        <v>59</v>
      </c>
      <c r="AB1766" s="1">
        <v>46372</v>
      </c>
      <c r="AC1766" t="s">
        <v>40</v>
      </c>
      <c r="AD1766" t="s">
        <v>40</v>
      </c>
      <c r="AE1766" t="s">
        <v>69</v>
      </c>
      <c r="AF1766" t="s">
        <v>40</v>
      </c>
      <c r="AG1766">
        <v>0</v>
      </c>
      <c r="AH1766" t="s">
        <v>70</v>
      </c>
    </row>
    <row r="1767" spans="1:34" x14ac:dyDescent="0.3">
      <c r="A1767" t="s">
        <v>2483</v>
      </c>
      <c r="B1767" t="s">
        <v>78</v>
      </c>
      <c r="C1767" t="s">
        <v>122</v>
      </c>
      <c r="D1767" t="s">
        <v>90</v>
      </c>
      <c r="E1767" s="1">
        <v>45937</v>
      </c>
      <c r="F1767" s="1">
        <v>45951</v>
      </c>
      <c r="G1767" t="s">
        <v>38</v>
      </c>
      <c r="H1767">
        <v>3948</v>
      </c>
      <c r="I1767" t="s">
        <v>39</v>
      </c>
      <c r="J1767" t="b">
        <v>0</v>
      </c>
      <c r="K1767">
        <v>14</v>
      </c>
      <c r="L1767">
        <v>10</v>
      </c>
      <c r="M1767">
        <v>2025</v>
      </c>
      <c r="N1767">
        <v>1</v>
      </c>
      <c r="O1767">
        <v>10</v>
      </c>
      <c r="P1767">
        <v>2025</v>
      </c>
      <c r="Q1767">
        <v>1</v>
      </c>
      <c r="R1767" t="s">
        <v>40</v>
      </c>
      <c r="S1767" t="s">
        <v>67</v>
      </c>
      <c r="T1767" t="s">
        <v>42</v>
      </c>
      <c r="U1767" t="s">
        <v>40</v>
      </c>
      <c r="V1767" t="s">
        <v>124</v>
      </c>
      <c r="W1767" t="s">
        <v>125</v>
      </c>
      <c r="X1767" t="s">
        <v>126</v>
      </c>
      <c r="Y1767">
        <v>85</v>
      </c>
      <c r="Z1767" t="s">
        <v>93</v>
      </c>
      <c r="AA1767" t="s">
        <v>94</v>
      </c>
      <c r="AB1767" s="1">
        <v>45951</v>
      </c>
      <c r="AC1767" t="s">
        <v>40</v>
      </c>
      <c r="AD1767" t="s">
        <v>40</v>
      </c>
      <c r="AE1767" t="s">
        <v>60</v>
      </c>
      <c r="AF1767" t="s">
        <v>40</v>
      </c>
      <c r="AG1767">
        <v>0</v>
      </c>
      <c r="AH1767" t="s">
        <v>70</v>
      </c>
    </row>
    <row r="1768" spans="1:34" x14ac:dyDescent="0.3">
      <c r="A1768" t="s">
        <v>2484</v>
      </c>
      <c r="B1768" t="s">
        <v>269</v>
      </c>
      <c r="C1768" t="s">
        <v>52</v>
      </c>
      <c r="D1768" t="s">
        <v>104</v>
      </c>
      <c r="E1768" s="1">
        <v>45867</v>
      </c>
      <c r="F1768" s="1">
        <v>45881</v>
      </c>
      <c r="G1768" t="s">
        <v>41</v>
      </c>
      <c r="H1768">
        <v>7347</v>
      </c>
      <c r="I1768" t="s">
        <v>212</v>
      </c>
      <c r="J1768" t="b">
        <v>0</v>
      </c>
      <c r="K1768">
        <v>14</v>
      </c>
      <c r="L1768">
        <v>8</v>
      </c>
      <c r="M1768">
        <v>2025</v>
      </c>
      <c r="N1768">
        <v>1</v>
      </c>
      <c r="O1768">
        <v>7</v>
      </c>
      <c r="P1768">
        <v>2025</v>
      </c>
      <c r="Q1768">
        <v>1</v>
      </c>
      <c r="R1768" t="s">
        <v>40</v>
      </c>
      <c r="S1768" t="s">
        <v>45</v>
      </c>
      <c r="T1768" t="s">
        <v>42</v>
      </c>
      <c r="U1768" t="s">
        <v>40</v>
      </c>
      <c r="V1768" t="s">
        <v>56</v>
      </c>
      <c r="W1768" t="s">
        <v>57</v>
      </c>
      <c r="X1768" t="s">
        <v>45</v>
      </c>
      <c r="Y1768">
        <v>120</v>
      </c>
      <c r="Z1768" t="s">
        <v>107</v>
      </c>
      <c r="AA1768" t="s">
        <v>108</v>
      </c>
      <c r="AB1768" s="1">
        <v>45881</v>
      </c>
      <c r="AC1768" t="s">
        <v>40</v>
      </c>
      <c r="AD1768" t="s">
        <v>40</v>
      </c>
      <c r="AE1768" t="s">
        <v>86</v>
      </c>
      <c r="AF1768" t="s">
        <v>40</v>
      </c>
      <c r="AG1768">
        <v>0</v>
      </c>
      <c r="AH1768" t="s">
        <v>70</v>
      </c>
    </row>
    <row r="1769" spans="1:34" x14ac:dyDescent="0.3">
      <c r="A1769" t="s">
        <v>2485</v>
      </c>
      <c r="B1769" t="s">
        <v>890</v>
      </c>
      <c r="C1769" t="s">
        <v>169</v>
      </c>
      <c r="D1769" t="s">
        <v>37</v>
      </c>
      <c r="E1769" s="1">
        <v>45677</v>
      </c>
      <c r="F1769" s="1">
        <v>45777</v>
      </c>
      <c r="G1769" t="s">
        <v>64</v>
      </c>
      <c r="H1769">
        <v>3547</v>
      </c>
      <c r="I1769" t="s">
        <v>54</v>
      </c>
      <c r="J1769" t="b">
        <v>0</v>
      </c>
      <c r="K1769">
        <v>100</v>
      </c>
      <c r="L1769">
        <v>4</v>
      </c>
      <c r="M1769">
        <v>2025</v>
      </c>
      <c r="N1769">
        <v>2</v>
      </c>
      <c r="O1769">
        <v>1</v>
      </c>
      <c r="P1769">
        <v>2025</v>
      </c>
      <c r="Q1769">
        <v>0</v>
      </c>
      <c r="R1769" t="s">
        <v>40</v>
      </c>
      <c r="S1769" t="s">
        <v>41</v>
      </c>
      <c r="T1769" t="s">
        <v>113</v>
      </c>
      <c r="U1769" t="s">
        <v>40</v>
      </c>
      <c r="V1769" t="s">
        <v>170</v>
      </c>
      <c r="W1769" t="s">
        <v>171</v>
      </c>
      <c r="X1769" t="s">
        <v>126</v>
      </c>
      <c r="Y1769">
        <v>90</v>
      </c>
      <c r="Z1769" t="s">
        <v>46</v>
      </c>
      <c r="AA1769" t="s">
        <v>47</v>
      </c>
      <c r="AB1769" s="1">
        <v>45777</v>
      </c>
      <c r="AC1769" t="s">
        <v>40</v>
      </c>
      <c r="AD1769" t="s">
        <v>40</v>
      </c>
      <c r="AE1769" t="s">
        <v>69</v>
      </c>
      <c r="AF1769" t="s">
        <v>40</v>
      </c>
      <c r="AG1769">
        <v>1</v>
      </c>
      <c r="AH1769" t="s">
        <v>49</v>
      </c>
    </row>
    <row r="1770" spans="1:34" x14ac:dyDescent="0.3">
      <c r="A1770" t="s">
        <v>2486</v>
      </c>
      <c r="B1770" t="s">
        <v>775</v>
      </c>
      <c r="C1770" t="s">
        <v>129</v>
      </c>
      <c r="D1770" t="s">
        <v>130</v>
      </c>
      <c r="E1770" s="1">
        <v>45896</v>
      </c>
      <c r="F1770" s="1">
        <v>46046</v>
      </c>
      <c r="G1770" t="s">
        <v>81</v>
      </c>
      <c r="H1770">
        <v>9220</v>
      </c>
      <c r="I1770" t="s">
        <v>39</v>
      </c>
      <c r="J1770" t="b">
        <v>0</v>
      </c>
      <c r="K1770">
        <v>150</v>
      </c>
      <c r="L1770">
        <v>1</v>
      </c>
      <c r="M1770">
        <v>2026</v>
      </c>
      <c r="N1770">
        <v>5</v>
      </c>
      <c r="O1770">
        <v>8</v>
      </c>
      <c r="P1770">
        <v>2025</v>
      </c>
      <c r="Q1770">
        <v>2</v>
      </c>
      <c r="R1770" t="s">
        <v>66</v>
      </c>
      <c r="S1770" t="s">
        <v>67</v>
      </c>
      <c r="T1770" t="s">
        <v>113</v>
      </c>
      <c r="U1770" t="s">
        <v>40</v>
      </c>
      <c r="V1770" t="s">
        <v>131</v>
      </c>
      <c r="W1770" t="s">
        <v>132</v>
      </c>
      <c r="X1770" t="s">
        <v>45</v>
      </c>
      <c r="Y1770">
        <v>110</v>
      </c>
      <c r="Z1770" t="s">
        <v>133</v>
      </c>
      <c r="AA1770" t="s">
        <v>134</v>
      </c>
      <c r="AB1770" s="1">
        <v>46046</v>
      </c>
      <c r="AC1770" t="s">
        <v>66</v>
      </c>
      <c r="AD1770" t="s">
        <v>40</v>
      </c>
      <c r="AE1770" t="s">
        <v>86</v>
      </c>
      <c r="AF1770" t="s">
        <v>40</v>
      </c>
      <c r="AG1770">
        <v>0</v>
      </c>
      <c r="AH1770" t="s">
        <v>49</v>
      </c>
    </row>
    <row r="1771" spans="1:34" x14ac:dyDescent="0.3">
      <c r="A1771" t="s">
        <v>2487</v>
      </c>
      <c r="B1771" t="s">
        <v>960</v>
      </c>
      <c r="C1771" t="s">
        <v>169</v>
      </c>
      <c r="D1771" t="s">
        <v>90</v>
      </c>
      <c r="E1771" s="1">
        <v>45699</v>
      </c>
      <c r="F1771" s="1">
        <v>45706</v>
      </c>
      <c r="G1771" t="s">
        <v>41</v>
      </c>
      <c r="H1771">
        <v>6789</v>
      </c>
      <c r="I1771" t="s">
        <v>212</v>
      </c>
      <c r="J1771" t="b">
        <v>0</v>
      </c>
      <c r="K1771">
        <v>7</v>
      </c>
      <c r="L1771">
        <v>2</v>
      </c>
      <c r="M1771">
        <v>2025</v>
      </c>
      <c r="N1771">
        <v>1</v>
      </c>
      <c r="O1771">
        <v>2</v>
      </c>
      <c r="P1771">
        <v>2025</v>
      </c>
      <c r="Q1771">
        <v>1</v>
      </c>
      <c r="R1771" t="s">
        <v>40</v>
      </c>
      <c r="S1771" t="s">
        <v>55</v>
      </c>
      <c r="T1771" t="s">
        <v>42</v>
      </c>
      <c r="U1771" t="s">
        <v>40</v>
      </c>
      <c r="V1771" t="s">
        <v>170</v>
      </c>
      <c r="W1771" t="s">
        <v>171</v>
      </c>
      <c r="X1771" t="s">
        <v>126</v>
      </c>
      <c r="Y1771">
        <v>90</v>
      </c>
      <c r="Z1771" t="s">
        <v>93</v>
      </c>
      <c r="AA1771" t="s">
        <v>94</v>
      </c>
      <c r="AB1771" s="1">
        <v>45706</v>
      </c>
      <c r="AC1771" t="s">
        <v>40</v>
      </c>
      <c r="AD1771" t="s">
        <v>40</v>
      </c>
      <c r="AE1771" t="s">
        <v>60</v>
      </c>
      <c r="AF1771" t="s">
        <v>40</v>
      </c>
      <c r="AG1771">
        <v>0</v>
      </c>
      <c r="AH1771" t="s">
        <v>100</v>
      </c>
    </row>
    <row r="1772" spans="1:34" x14ac:dyDescent="0.3">
      <c r="A1772" t="s">
        <v>2488</v>
      </c>
      <c r="B1772" t="s">
        <v>795</v>
      </c>
      <c r="C1772" t="s">
        <v>129</v>
      </c>
      <c r="D1772" t="s">
        <v>53</v>
      </c>
      <c r="E1772" s="1">
        <v>45726</v>
      </c>
      <c r="F1772" s="1">
        <v>45756</v>
      </c>
      <c r="G1772" t="s">
        <v>41</v>
      </c>
      <c r="H1772">
        <v>39475</v>
      </c>
      <c r="I1772" t="s">
        <v>39</v>
      </c>
      <c r="J1772" t="b">
        <v>1</v>
      </c>
      <c r="K1772">
        <v>30</v>
      </c>
      <c r="L1772">
        <v>4</v>
      </c>
      <c r="M1772">
        <v>2025</v>
      </c>
      <c r="N1772">
        <v>2</v>
      </c>
      <c r="O1772">
        <v>3</v>
      </c>
      <c r="P1772">
        <v>2025</v>
      </c>
      <c r="Q1772">
        <v>0</v>
      </c>
      <c r="R1772" t="s">
        <v>40</v>
      </c>
      <c r="S1772" t="s">
        <v>41</v>
      </c>
      <c r="T1772" t="s">
        <v>42</v>
      </c>
      <c r="U1772" t="s">
        <v>40</v>
      </c>
      <c r="V1772" t="s">
        <v>131</v>
      </c>
      <c r="W1772" t="s">
        <v>132</v>
      </c>
      <c r="X1772" t="s">
        <v>45</v>
      </c>
      <c r="Y1772">
        <v>110</v>
      </c>
      <c r="Z1772" t="s">
        <v>58</v>
      </c>
      <c r="AA1772" t="s">
        <v>59</v>
      </c>
      <c r="AB1772" s="1">
        <v>45756</v>
      </c>
      <c r="AC1772" t="s">
        <v>40</v>
      </c>
      <c r="AD1772" t="s">
        <v>40</v>
      </c>
      <c r="AE1772" t="s">
        <v>69</v>
      </c>
      <c r="AF1772" t="s">
        <v>40</v>
      </c>
      <c r="AG1772">
        <v>0</v>
      </c>
      <c r="AH1772" t="s">
        <v>70</v>
      </c>
    </row>
    <row r="1773" spans="1:34" x14ac:dyDescent="0.3">
      <c r="A1773" t="s">
        <v>2489</v>
      </c>
      <c r="B1773" t="s">
        <v>806</v>
      </c>
      <c r="C1773" t="s">
        <v>79</v>
      </c>
      <c r="D1773" t="s">
        <v>37</v>
      </c>
      <c r="E1773" s="1">
        <v>46190</v>
      </c>
      <c r="F1773" s="1">
        <v>46290</v>
      </c>
      <c r="G1773" t="s">
        <v>81</v>
      </c>
      <c r="H1773">
        <v>7803</v>
      </c>
      <c r="I1773" t="s">
        <v>54</v>
      </c>
      <c r="J1773" t="b">
        <v>0</v>
      </c>
      <c r="K1773">
        <v>100</v>
      </c>
      <c r="L1773">
        <v>9</v>
      </c>
      <c r="M1773">
        <v>2026</v>
      </c>
      <c r="N1773">
        <v>4</v>
      </c>
      <c r="O1773">
        <v>6</v>
      </c>
      <c r="P1773">
        <v>2026</v>
      </c>
      <c r="Q1773">
        <v>2</v>
      </c>
      <c r="R1773" t="s">
        <v>40</v>
      </c>
      <c r="S1773" t="s">
        <v>41</v>
      </c>
      <c r="T1773" t="s">
        <v>42</v>
      </c>
      <c r="U1773" t="s">
        <v>66</v>
      </c>
      <c r="V1773" t="s">
        <v>82</v>
      </c>
      <c r="W1773" t="s">
        <v>83</v>
      </c>
      <c r="X1773" t="s">
        <v>76</v>
      </c>
      <c r="Y1773">
        <v>100</v>
      </c>
      <c r="Z1773" t="s">
        <v>46</v>
      </c>
      <c r="AA1773" t="s">
        <v>47</v>
      </c>
      <c r="AB1773" s="1">
        <v>46290</v>
      </c>
      <c r="AC1773" t="s">
        <v>40</v>
      </c>
      <c r="AD1773" t="s">
        <v>40</v>
      </c>
      <c r="AE1773" t="s">
        <v>60</v>
      </c>
      <c r="AF1773" t="s">
        <v>40</v>
      </c>
      <c r="AG1773">
        <v>1</v>
      </c>
      <c r="AH1773" t="s">
        <v>49</v>
      </c>
    </row>
    <row r="1774" spans="1:34" x14ac:dyDescent="0.3">
      <c r="A1774" t="s">
        <v>2490</v>
      </c>
      <c r="B1774" t="s">
        <v>228</v>
      </c>
      <c r="C1774" t="s">
        <v>52</v>
      </c>
      <c r="D1774" t="s">
        <v>37</v>
      </c>
      <c r="E1774" s="1">
        <v>46316</v>
      </c>
      <c r="F1774" s="1">
        <v>46330</v>
      </c>
      <c r="G1774" t="s">
        <v>41</v>
      </c>
      <c r="H1774">
        <v>6881</v>
      </c>
      <c r="I1774" t="s">
        <v>65</v>
      </c>
      <c r="J1774" t="b">
        <v>0</v>
      </c>
      <c r="K1774">
        <v>14</v>
      </c>
      <c r="L1774">
        <v>11</v>
      </c>
      <c r="M1774">
        <v>2026</v>
      </c>
      <c r="N1774">
        <v>2</v>
      </c>
      <c r="O1774">
        <v>10</v>
      </c>
      <c r="P1774">
        <v>2026</v>
      </c>
      <c r="Q1774">
        <v>2</v>
      </c>
      <c r="R1774" t="s">
        <v>40</v>
      </c>
      <c r="S1774" t="s">
        <v>41</v>
      </c>
      <c r="T1774" t="s">
        <v>42</v>
      </c>
      <c r="U1774" t="s">
        <v>40</v>
      </c>
      <c r="V1774" t="s">
        <v>56</v>
      </c>
      <c r="W1774" t="s">
        <v>57</v>
      </c>
      <c r="X1774" t="s">
        <v>45</v>
      </c>
      <c r="Y1774">
        <v>120</v>
      </c>
      <c r="Z1774" t="s">
        <v>46</v>
      </c>
      <c r="AA1774" t="s">
        <v>47</v>
      </c>
      <c r="AB1774" s="1">
        <v>46330</v>
      </c>
      <c r="AC1774" t="s">
        <v>40</v>
      </c>
      <c r="AD1774" t="s">
        <v>40</v>
      </c>
      <c r="AE1774" t="s">
        <v>86</v>
      </c>
      <c r="AF1774" t="s">
        <v>40</v>
      </c>
      <c r="AG1774">
        <v>0</v>
      </c>
      <c r="AH1774" t="s">
        <v>70</v>
      </c>
    </row>
    <row r="1775" spans="1:34" x14ac:dyDescent="0.3">
      <c r="A1775" t="s">
        <v>2491</v>
      </c>
      <c r="B1775" t="s">
        <v>305</v>
      </c>
      <c r="C1775" t="s">
        <v>36</v>
      </c>
      <c r="D1775" t="s">
        <v>104</v>
      </c>
      <c r="E1775" s="1">
        <v>45855</v>
      </c>
      <c r="F1775" s="1">
        <v>45915</v>
      </c>
      <c r="G1775" t="s">
        <v>41</v>
      </c>
      <c r="H1775">
        <v>7691</v>
      </c>
      <c r="I1775" t="s">
        <v>39</v>
      </c>
      <c r="J1775" t="b">
        <v>0</v>
      </c>
      <c r="K1775">
        <v>60</v>
      </c>
      <c r="L1775">
        <v>9</v>
      </c>
      <c r="M1775">
        <v>2025</v>
      </c>
      <c r="N1775">
        <v>0</v>
      </c>
      <c r="O1775">
        <v>7</v>
      </c>
      <c r="P1775">
        <v>2025</v>
      </c>
      <c r="Q1775">
        <v>3</v>
      </c>
      <c r="R1775" t="s">
        <v>40</v>
      </c>
      <c r="S1775" t="s">
        <v>41</v>
      </c>
      <c r="T1775" t="s">
        <v>42</v>
      </c>
      <c r="U1775" t="s">
        <v>40</v>
      </c>
      <c r="V1775" t="s">
        <v>43</v>
      </c>
      <c r="W1775" t="s">
        <v>44</v>
      </c>
      <c r="X1775" t="s">
        <v>45</v>
      </c>
      <c r="Y1775">
        <v>150</v>
      </c>
      <c r="Z1775" t="s">
        <v>107</v>
      </c>
      <c r="AA1775" t="s">
        <v>108</v>
      </c>
      <c r="AB1775" s="1">
        <v>45915</v>
      </c>
      <c r="AC1775" t="s">
        <v>40</v>
      </c>
      <c r="AD1775" t="s">
        <v>40</v>
      </c>
      <c r="AE1775" t="s">
        <v>60</v>
      </c>
      <c r="AF1775" t="s">
        <v>40</v>
      </c>
      <c r="AG1775">
        <v>0</v>
      </c>
      <c r="AH1775" t="s">
        <v>61</v>
      </c>
    </row>
    <row r="1776" spans="1:34" x14ac:dyDescent="0.3">
      <c r="A1776" t="s">
        <v>2492</v>
      </c>
      <c r="B1776" t="s">
        <v>1270</v>
      </c>
      <c r="C1776" t="s">
        <v>146</v>
      </c>
      <c r="D1776" t="s">
        <v>130</v>
      </c>
      <c r="E1776" s="1">
        <v>46137</v>
      </c>
      <c r="F1776" s="1">
        <v>46167</v>
      </c>
      <c r="G1776" t="s">
        <v>38</v>
      </c>
      <c r="H1776">
        <v>4100</v>
      </c>
      <c r="I1776" t="s">
        <v>39</v>
      </c>
      <c r="J1776" t="b">
        <v>0</v>
      </c>
      <c r="K1776">
        <v>30</v>
      </c>
      <c r="L1776">
        <v>5</v>
      </c>
      <c r="M1776">
        <v>2026</v>
      </c>
      <c r="N1776">
        <v>0</v>
      </c>
      <c r="O1776">
        <v>4</v>
      </c>
      <c r="P1776">
        <v>2026</v>
      </c>
      <c r="Q1776">
        <v>5</v>
      </c>
      <c r="R1776" t="s">
        <v>40</v>
      </c>
      <c r="S1776" t="s">
        <v>41</v>
      </c>
      <c r="T1776" t="s">
        <v>42</v>
      </c>
      <c r="U1776" t="s">
        <v>40</v>
      </c>
      <c r="V1776" t="s">
        <v>147</v>
      </c>
      <c r="W1776" t="s">
        <v>148</v>
      </c>
      <c r="X1776" t="s">
        <v>45</v>
      </c>
      <c r="Y1776">
        <v>160</v>
      </c>
      <c r="Z1776" t="s">
        <v>133</v>
      </c>
      <c r="AA1776" t="s">
        <v>134</v>
      </c>
      <c r="AB1776" s="1">
        <v>46167</v>
      </c>
      <c r="AC1776" t="s">
        <v>40</v>
      </c>
      <c r="AD1776" t="s">
        <v>40</v>
      </c>
      <c r="AE1776" t="s">
        <v>69</v>
      </c>
      <c r="AF1776" t="s">
        <v>40</v>
      </c>
      <c r="AG1776">
        <v>0</v>
      </c>
      <c r="AH1776" t="s">
        <v>70</v>
      </c>
    </row>
    <row r="1777" spans="1:34" x14ac:dyDescent="0.3">
      <c r="A1777" t="s">
        <v>2493</v>
      </c>
      <c r="B1777" t="s">
        <v>1212</v>
      </c>
      <c r="C1777" t="s">
        <v>146</v>
      </c>
      <c r="D1777" t="s">
        <v>80</v>
      </c>
      <c r="E1777" s="1">
        <v>45681</v>
      </c>
      <c r="F1777" s="1">
        <v>45831</v>
      </c>
      <c r="G1777" t="s">
        <v>38</v>
      </c>
      <c r="H1777">
        <v>5384</v>
      </c>
      <c r="I1777" t="s">
        <v>54</v>
      </c>
      <c r="J1777" t="b">
        <v>0</v>
      </c>
      <c r="K1777">
        <v>150</v>
      </c>
      <c r="L1777">
        <v>6</v>
      </c>
      <c r="M1777">
        <v>2025</v>
      </c>
      <c r="N1777">
        <v>0</v>
      </c>
      <c r="O1777">
        <v>1</v>
      </c>
      <c r="P1777">
        <v>2025</v>
      </c>
      <c r="Q1777">
        <v>4</v>
      </c>
      <c r="R1777" t="s">
        <v>40</v>
      </c>
      <c r="S1777" t="s">
        <v>45</v>
      </c>
      <c r="T1777" t="s">
        <v>42</v>
      </c>
      <c r="U1777" t="s">
        <v>40</v>
      </c>
      <c r="V1777" t="s">
        <v>147</v>
      </c>
      <c r="W1777" t="s">
        <v>148</v>
      </c>
      <c r="X1777" t="s">
        <v>45</v>
      </c>
      <c r="Y1777">
        <v>160</v>
      </c>
      <c r="Z1777" t="s">
        <v>84</v>
      </c>
      <c r="AA1777" t="s">
        <v>85</v>
      </c>
      <c r="AB1777" s="1">
        <v>45831</v>
      </c>
      <c r="AC1777" t="s">
        <v>40</v>
      </c>
      <c r="AD1777" t="s">
        <v>40</v>
      </c>
      <c r="AE1777" t="s">
        <v>60</v>
      </c>
      <c r="AF1777" t="s">
        <v>40</v>
      </c>
      <c r="AG1777">
        <v>1</v>
      </c>
      <c r="AH1777" t="s">
        <v>49</v>
      </c>
    </row>
    <row r="1778" spans="1:34" x14ac:dyDescent="0.3">
      <c r="A1778" t="s">
        <v>2494</v>
      </c>
      <c r="B1778" t="s">
        <v>788</v>
      </c>
      <c r="C1778" t="s">
        <v>146</v>
      </c>
      <c r="D1778" t="s">
        <v>80</v>
      </c>
      <c r="E1778" s="1">
        <v>45685</v>
      </c>
      <c r="F1778" s="1">
        <v>45905</v>
      </c>
      <c r="G1778" t="s">
        <v>38</v>
      </c>
      <c r="H1778">
        <v>5847</v>
      </c>
      <c r="I1778" t="s">
        <v>212</v>
      </c>
      <c r="J1778" t="b">
        <v>0</v>
      </c>
      <c r="K1778">
        <v>220</v>
      </c>
      <c r="L1778">
        <v>9</v>
      </c>
      <c r="M1778">
        <v>2025</v>
      </c>
      <c r="N1778">
        <v>4</v>
      </c>
      <c r="O1778">
        <v>1</v>
      </c>
      <c r="P1778">
        <v>2025</v>
      </c>
      <c r="Q1778">
        <v>1</v>
      </c>
      <c r="R1778" t="s">
        <v>40</v>
      </c>
      <c r="S1778" t="s">
        <v>45</v>
      </c>
      <c r="T1778" t="s">
        <v>42</v>
      </c>
      <c r="U1778" t="s">
        <v>40</v>
      </c>
      <c r="V1778" t="s">
        <v>147</v>
      </c>
      <c r="W1778" t="s">
        <v>148</v>
      </c>
      <c r="X1778" t="s">
        <v>45</v>
      </c>
      <c r="Y1778">
        <v>160</v>
      </c>
      <c r="Z1778" t="s">
        <v>84</v>
      </c>
      <c r="AA1778" t="s">
        <v>85</v>
      </c>
      <c r="AB1778" s="1">
        <v>45905</v>
      </c>
      <c r="AC1778" t="s">
        <v>40</v>
      </c>
      <c r="AD1778" t="s">
        <v>40</v>
      </c>
      <c r="AE1778" t="s">
        <v>60</v>
      </c>
      <c r="AF1778" t="s">
        <v>40</v>
      </c>
      <c r="AG1778">
        <v>0</v>
      </c>
      <c r="AH1778" t="s">
        <v>142</v>
      </c>
    </row>
    <row r="1779" spans="1:34" x14ac:dyDescent="0.3">
      <c r="A1779" t="s">
        <v>2495</v>
      </c>
      <c r="B1779" t="s">
        <v>2496</v>
      </c>
      <c r="C1779" t="s">
        <v>169</v>
      </c>
      <c r="D1779" t="s">
        <v>37</v>
      </c>
      <c r="E1779" s="1">
        <v>46213</v>
      </c>
      <c r="F1779" s="1">
        <v>46243</v>
      </c>
      <c r="G1779" t="s">
        <v>41</v>
      </c>
      <c r="H1779">
        <v>8317</v>
      </c>
      <c r="I1779" t="s">
        <v>39</v>
      </c>
      <c r="J1779" t="b">
        <v>0</v>
      </c>
      <c r="K1779">
        <v>30</v>
      </c>
      <c r="L1779">
        <v>8</v>
      </c>
      <c r="M1779">
        <v>2026</v>
      </c>
      <c r="N1779">
        <v>6</v>
      </c>
      <c r="O1779">
        <v>7</v>
      </c>
      <c r="P1779">
        <v>2026</v>
      </c>
      <c r="Q1779">
        <v>4</v>
      </c>
      <c r="R1779" t="s">
        <v>66</v>
      </c>
      <c r="S1779" t="s">
        <v>67</v>
      </c>
      <c r="T1779" t="s">
        <v>42</v>
      </c>
      <c r="U1779" t="s">
        <v>66</v>
      </c>
      <c r="V1779" t="s">
        <v>170</v>
      </c>
      <c r="W1779" t="s">
        <v>171</v>
      </c>
      <c r="X1779" t="s">
        <v>126</v>
      </c>
      <c r="Y1779">
        <v>90</v>
      </c>
      <c r="Z1779" t="s">
        <v>46</v>
      </c>
      <c r="AA1779" t="s">
        <v>47</v>
      </c>
      <c r="AB1779" s="1">
        <v>46243</v>
      </c>
      <c r="AC1779" t="s">
        <v>66</v>
      </c>
      <c r="AD1779" t="s">
        <v>40</v>
      </c>
      <c r="AE1779" t="s">
        <v>86</v>
      </c>
      <c r="AF1779" t="s">
        <v>40</v>
      </c>
      <c r="AG1779">
        <v>0</v>
      </c>
      <c r="AH1779" t="s">
        <v>70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0DE8EF8-DACC-4E2E-AF5F-CB867FF044A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Cancellation_By_Channel</vt:lpstr>
      <vt:lpstr>Lead-Time Analysis</vt:lpstr>
      <vt:lpstr>Seasonal Occupancy</vt:lpstr>
      <vt:lpstr>Guest-Type Comparison</vt:lpstr>
      <vt:lpstr>Room Performance</vt:lpstr>
      <vt:lpstr>Event Impact</vt:lpstr>
      <vt:lpstr>Statistical_Summary</vt:lpstr>
      <vt:lpstr>Executive_Summary</vt:lpstr>
      <vt:lpstr>cleaned_bookings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Logavarshhni S</dc:creator>
  <cp:lastModifiedBy>Logavarshhni S</cp:lastModifiedBy>
  <dcterms:created xsi:type="dcterms:W3CDTF">2026-10-13T06:08:37Z</dcterms:created>
  <dcterms:modified xsi:type="dcterms:W3CDTF">2026-10-13T09:32:52Z</dcterms:modified>
</cp:coreProperties>
</file>